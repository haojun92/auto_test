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Code\arxmlGen\"/>
    </mc:Choice>
  </mc:AlternateContent>
  <bookViews>
    <workbookView xWindow="4245" yWindow="645" windowWidth="28035" windowHeight="15795" activeTab="2"/>
  </bookViews>
  <sheets>
    <sheet name="README" sheetId="2" r:id="rId1"/>
    <sheet name="ChangeHistory" sheetId="3" r:id="rId2"/>
    <sheet name="Interface_Platform" sheetId="4" r:id="rId3"/>
    <sheet name="DataType_Platform" sheetId="5" r:id="rId4"/>
    <sheet name="Interface_T1GC" sheetId="6" r:id="rId5"/>
    <sheet name="DataType_T1GC" sheetId="7" r:id="rId6"/>
    <sheet name="Interface_E01" sheetId="8" r:id="rId7"/>
    <sheet name="DataType_E01" sheetId="9" r:id="rId8"/>
    <sheet name="BaseType" sheetId="10" r:id="rId9"/>
    <sheet name="InternalBehavior" sheetId="11" r:id="rId10"/>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625" i="9" l="1"/>
  <c r="F624" i="9"/>
  <c r="F623" i="9"/>
  <c r="F622" i="9"/>
  <c r="B621" i="9"/>
  <c r="F620" i="9"/>
  <c r="B620" i="9"/>
  <c r="F619" i="9"/>
  <c r="B619" i="9"/>
  <c r="F618" i="9"/>
  <c r="B618" i="9"/>
  <c r="F617" i="9"/>
  <c r="F616" i="9"/>
  <c r="B616" i="9"/>
  <c r="F615" i="9"/>
  <c r="F614" i="9"/>
  <c r="B614" i="9"/>
  <c r="F613" i="9"/>
  <c r="B613" i="9"/>
  <c r="F612" i="9"/>
  <c r="B612" i="9"/>
  <c r="F611" i="9"/>
  <c r="B611" i="9"/>
  <c r="F610" i="9"/>
  <c r="B610" i="9"/>
  <c r="F609" i="9"/>
  <c r="B609" i="9"/>
  <c r="F608" i="9"/>
  <c r="B608" i="9"/>
  <c r="F607" i="9"/>
  <c r="B607" i="9"/>
  <c r="F606" i="9"/>
  <c r="B606" i="9"/>
  <c r="F605" i="9"/>
  <c r="B605" i="9"/>
  <c r="F604" i="9"/>
  <c r="B604" i="9"/>
  <c r="F603" i="9"/>
  <c r="B603" i="9"/>
  <c r="F602" i="9"/>
  <c r="B602" i="9"/>
  <c r="F601" i="9"/>
  <c r="B601" i="9"/>
  <c r="F600" i="9"/>
  <c r="B600" i="9"/>
  <c r="F599" i="9"/>
  <c r="B599" i="9"/>
  <c r="F598" i="9"/>
  <c r="B598" i="9"/>
  <c r="F597" i="9"/>
  <c r="B597" i="9"/>
  <c r="F596" i="9"/>
  <c r="B596" i="9"/>
  <c r="F595" i="9"/>
  <c r="B595" i="9"/>
  <c r="F594" i="9"/>
  <c r="B594" i="9"/>
  <c r="F593" i="9"/>
  <c r="B593" i="9"/>
  <c r="F592" i="9"/>
  <c r="B592" i="9"/>
  <c r="F591" i="9"/>
  <c r="B591" i="9"/>
  <c r="F590" i="9"/>
  <c r="B590" i="9"/>
  <c r="F589" i="9"/>
  <c r="B589" i="9"/>
  <c r="F588" i="9"/>
  <c r="B588" i="9"/>
  <c r="F587" i="9"/>
  <c r="B587" i="9"/>
  <c r="F586" i="9"/>
  <c r="B586" i="9"/>
  <c r="F585" i="9"/>
  <c r="B585" i="9"/>
  <c r="F584" i="9"/>
  <c r="F583" i="9"/>
  <c r="F582" i="9"/>
  <c r="B582" i="9"/>
  <c r="F581" i="9"/>
  <c r="F580" i="9"/>
  <c r="B580" i="9"/>
  <c r="F579" i="9"/>
  <c r="F578" i="9"/>
  <c r="F577" i="9"/>
  <c r="F576" i="9"/>
  <c r="B576" i="9"/>
  <c r="F575" i="9"/>
  <c r="F574" i="9"/>
  <c r="F573" i="9"/>
  <c r="F572" i="9"/>
  <c r="F571" i="9"/>
  <c r="F570" i="9"/>
  <c r="F569" i="9"/>
  <c r="F568" i="9"/>
  <c r="F567" i="9"/>
  <c r="F566" i="9"/>
  <c r="F565" i="9"/>
  <c r="F564" i="9"/>
  <c r="F563" i="9"/>
  <c r="F562" i="9"/>
  <c r="F561" i="9"/>
  <c r="F560" i="9"/>
  <c r="F559" i="9"/>
  <c r="F558" i="9"/>
  <c r="F557" i="9"/>
  <c r="F556" i="9"/>
  <c r="F555" i="9"/>
  <c r="F554" i="9"/>
  <c r="F553" i="9"/>
  <c r="F552" i="9"/>
  <c r="F551" i="9"/>
  <c r="F550" i="9"/>
  <c r="F549" i="9"/>
  <c r="F548" i="9"/>
  <c r="F547" i="9"/>
  <c r="F546" i="9"/>
  <c r="B546" i="9"/>
  <c r="F545" i="9"/>
  <c r="B545" i="9"/>
  <c r="F544" i="9"/>
  <c r="B544" i="9"/>
  <c r="F543" i="9"/>
  <c r="B543" i="9"/>
  <c r="F542" i="9"/>
  <c r="B542" i="9"/>
  <c r="F541" i="9"/>
  <c r="B541" i="9"/>
  <c r="F540" i="9"/>
  <c r="B540" i="9"/>
  <c r="F539" i="9"/>
  <c r="B539" i="9"/>
  <c r="F538" i="9"/>
  <c r="B538" i="9"/>
  <c r="F537" i="9"/>
  <c r="B537" i="9"/>
  <c r="F536" i="9"/>
  <c r="B536" i="9"/>
  <c r="F535" i="9"/>
  <c r="B535" i="9"/>
  <c r="F534" i="9"/>
  <c r="B534" i="9"/>
  <c r="F533" i="9"/>
  <c r="B533" i="9"/>
  <c r="F532" i="9"/>
  <c r="B532" i="9"/>
  <c r="F531" i="9"/>
  <c r="F530" i="9"/>
  <c r="F529" i="9"/>
  <c r="F528" i="9"/>
  <c r="F527" i="9"/>
  <c r="F526" i="9"/>
  <c r="B526" i="9"/>
  <c r="F525" i="9"/>
  <c r="F524" i="9"/>
  <c r="F523" i="9"/>
  <c r="F522" i="9"/>
  <c r="B522" i="9"/>
  <c r="F491" i="9"/>
  <c r="F490" i="9"/>
  <c r="F489" i="9"/>
  <c r="B489" i="9"/>
  <c r="F488" i="9"/>
  <c r="F487" i="9"/>
  <c r="F486" i="9"/>
  <c r="F485" i="9"/>
  <c r="F484" i="9"/>
  <c r="B484" i="9"/>
  <c r="F483" i="9"/>
  <c r="F482" i="9"/>
  <c r="F481" i="9"/>
  <c r="F480" i="9"/>
  <c r="F479" i="9"/>
  <c r="F478" i="9"/>
  <c r="F477" i="9"/>
  <c r="F476" i="9"/>
  <c r="F475" i="9"/>
  <c r="B475" i="9"/>
  <c r="F474" i="9"/>
  <c r="F473" i="9"/>
  <c r="F472" i="9"/>
  <c r="F471" i="9"/>
  <c r="F470" i="9"/>
  <c r="B470" i="9"/>
  <c r="F469" i="9"/>
  <c r="F468" i="9"/>
  <c r="F467" i="9"/>
  <c r="F466" i="9"/>
  <c r="B466" i="9"/>
  <c r="F465" i="9"/>
  <c r="F464" i="9"/>
  <c r="F463" i="9"/>
  <c r="F462" i="9"/>
  <c r="F461" i="9"/>
  <c r="B461" i="9"/>
  <c r="F460" i="9"/>
  <c r="F459" i="9"/>
  <c r="F458" i="9"/>
  <c r="F457" i="9"/>
  <c r="F456" i="9"/>
  <c r="F455" i="9"/>
  <c r="F454" i="9"/>
  <c r="F453" i="9"/>
  <c r="F452" i="9"/>
  <c r="F451" i="9"/>
  <c r="F450" i="9"/>
  <c r="F449" i="9"/>
  <c r="F448" i="9"/>
  <c r="F447" i="9"/>
  <c r="F446" i="9"/>
  <c r="F445" i="9"/>
  <c r="F444" i="9"/>
  <c r="F443" i="9"/>
  <c r="F442" i="9"/>
  <c r="B442" i="9"/>
  <c r="F441" i="9"/>
  <c r="F440" i="9"/>
  <c r="F439" i="9"/>
  <c r="F438" i="9"/>
  <c r="F437" i="9"/>
  <c r="F436" i="9"/>
  <c r="F435" i="9"/>
  <c r="F434" i="9"/>
  <c r="F433" i="9"/>
  <c r="B433" i="9"/>
  <c r="F432" i="9"/>
  <c r="F431" i="9"/>
  <c r="F430" i="9"/>
  <c r="F429" i="9"/>
  <c r="F428" i="9"/>
  <c r="F427" i="9"/>
  <c r="F426" i="9"/>
  <c r="B426" i="9"/>
  <c r="F425" i="9"/>
  <c r="F424" i="9"/>
  <c r="F423" i="9"/>
  <c r="F422" i="9"/>
  <c r="F421" i="9"/>
  <c r="F420" i="9"/>
  <c r="F419" i="9"/>
  <c r="F418" i="9"/>
  <c r="F417" i="9"/>
  <c r="F416" i="9"/>
  <c r="F415" i="9"/>
  <c r="F414" i="9"/>
  <c r="F413" i="9"/>
  <c r="F412" i="9"/>
  <c r="F411" i="9"/>
  <c r="B411" i="9"/>
  <c r="F410" i="9"/>
  <c r="F409" i="9"/>
  <c r="F408" i="9"/>
  <c r="F407" i="9"/>
  <c r="F406" i="9"/>
  <c r="F405" i="9"/>
  <c r="F404" i="9"/>
  <c r="F403" i="9"/>
  <c r="F402" i="9"/>
  <c r="F401" i="9"/>
  <c r="F400" i="9"/>
  <c r="B400" i="9"/>
  <c r="F399" i="9"/>
  <c r="F398" i="9"/>
  <c r="F397" i="9"/>
  <c r="F396" i="9"/>
  <c r="F395" i="9"/>
  <c r="F394" i="9"/>
  <c r="F393" i="9"/>
  <c r="F392" i="9"/>
  <c r="F391" i="9"/>
  <c r="F390" i="9"/>
  <c r="F389" i="9"/>
  <c r="F388" i="9"/>
  <c r="F387" i="9"/>
  <c r="F386" i="9"/>
  <c r="B386" i="9"/>
  <c r="F385" i="9"/>
  <c r="F384" i="9"/>
  <c r="F383" i="9"/>
  <c r="F382" i="9"/>
  <c r="F381" i="9"/>
  <c r="F380" i="9"/>
  <c r="F379" i="9"/>
  <c r="F378" i="9"/>
  <c r="F377" i="9"/>
  <c r="F376" i="9"/>
  <c r="B376" i="9"/>
  <c r="F375" i="9"/>
  <c r="F374" i="9"/>
  <c r="F373" i="9"/>
  <c r="F372" i="9"/>
  <c r="F371" i="9"/>
  <c r="F370" i="9"/>
  <c r="F369" i="9"/>
  <c r="F368" i="9"/>
  <c r="F367" i="9"/>
  <c r="F366" i="9"/>
  <c r="F365" i="9"/>
  <c r="F364" i="9"/>
  <c r="B364" i="9"/>
  <c r="F363" i="9"/>
  <c r="F362" i="9"/>
  <c r="F361" i="9"/>
  <c r="F360" i="9"/>
  <c r="F359" i="9"/>
  <c r="B359" i="9"/>
  <c r="F358" i="9"/>
  <c r="F357" i="9"/>
  <c r="F356" i="9"/>
  <c r="F355" i="9"/>
  <c r="F354" i="9"/>
  <c r="F353" i="9"/>
  <c r="F352" i="9"/>
  <c r="F351" i="9"/>
  <c r="F350" i="9"/>
  <c r="F349" i="9"/>
  <c r="F348" i="9"/>
  <c r="F347" i="9"/>
  <c r="F346" i="9"/>
  <c r="F345" i="9"/>
  <c r="F344" i="9"/>
  <c r="F343" i="9"/>
  <c r="F342" i="9"/>
  <c r="F341" i="9"/>
  <c r="F340" i="9"/>
  <c r="F339" i="9"/>
  <c r="F338" i="9"/>
  <c r="F337" i="9"/>
  <c r="F336" i="9"/>
  <c r="F335" i="9"/>
  <c r="F334" i="9"/>
  <c r="F333" i="9"/>
  <c r="F332" i="9"/>
  <c r="F331" i="9"/>
  <c r="F330" i="9"/>
  <c r="F329" i="9"/>
  <c r="F328" i="9"/>
  <c r="F327" i="9"/>
  <c r="F326" i="9"/>
  <c r="F325" i="9"/>
  <c r="F324" i="9"/>
  <c r="F323" i="9"/>
  <c r="F322" i="9"/>
  <c r="F321" i="9"/>
  <c r="F320" i="9"/>
  <c r="F319" i="9"/>
  <c r="F318" i="9"/>
  <c r="F317" i="9"/>
  <c r="F316" i="9"/>
  <c r="F315" i="9"/>
  <c r="F314" i="9"/>
  <c r="F313" i="9"/>
  <c r="F312" i="9"/>
  <c r="F311" i="9"/>
  <c r="F310" i="9"/>
  <c r="F309" i="9"/>
  <c r="F308" i="9"/>
  <c r="F307" i="9"/>
  <c r="F306" i="9"/>
  <c r="F305" i="9"/>
  <c r="B305" i="9"/>
  <c r="F304" i="9"/>
  <c r="B304" i="9"/>
  <c r="F303" i="9"/>
  <c r="B303" i="9"/>
  <c r="F302" i="9"/>
  <c r="B302" i="9"/>
  <c r="F301" i="9"/>
  <c r="B301" i="9"/>
  <c r="F300" i="9"/>
  <c r="B300" i="9"/>
  <c r="F299" i="9"/>
  <c r="B299" i="9"/>
  <c r="F298" i="9"/>
  <c r="B298" i="9"/>
  <c r="F297" i="9"/>
  <c r="B297" i="9"/>
  <c r="F296" i="9"/>
  <c r="B296" i="9"/>
  <c r="F295" i="9"/>
  <c r="B295" i="9"/>
  <c r="F294" i="9"/>
  <c r="B294" i="9"/>
  <c r="F293" i="9"/>
  <c r="B293" i="9"/>
  <c r="F292" i="9"/>
  <c r="B292" i="9"/>
  <c r="F291" i="9"/>
  <c r="B291" i="9"/>
  <c r="F290" i="9"/>
  <c r="B290" i="9"/>
  <c r="F289" i="9"/>
  <c r="B289" i="9"/>
  <c r="F288" i="9"/>
  <c r="B288" i="9"/>
  <c r="F287" i="9"/>
  <c r="B287" i="9"/>
  <c r="F286" i="9"/>
  <c r="B286" i="9"/>
  <c r="F285" i="9"/>
  <c r="B285" i="9"/>
  <c r="F284" i="9"/>
  <c r="B284" i="9"/>
  <c r="F283" i="9"/>
  <c r="B283" i="9"/>
  <c r="F282" i="9"/>
  <c r="B282" i="9"/>
  <c r="F281" i="9"/>
  <c r="B281" i="9"/>
  <c r="F280" i="9"/>
  <c r="B280" i="9"/>
  <c r="F279" i="9"/>
  <c r="B279" i="9"/>
  <c r="F278" i="9"/>
  <c r="B278" i="9"/>
  <c r="F277" i="9"/>
  <c r="B277" i="9"/>
  <c r="F276" i="9"/>
  <c r="B276" i="9"/>
  <c r="F275" i="9"/>
  <c r="B275" i="9"/>
  <c r="F274" i="9"/>
  <c r="B274" i="9"/>
  <c r="F273" i="9"/>
  <c r="B273" i="9"/>
  <c r="F272" i="9"/>
  <c r="B272" i="9"/>
  <c r="F271" i="9"/>
  <c r="B271" i="9"/>
  <c r="F270" i="9"/>
  <c r="B270" i="9"/>
  <c r="F269" i="9"/>
  <c r="B269" i="9"/>
  <c r="F268" i="9"/>
  <c r="B268" i="9"/>
  <c r="F267" i="9"/>
  <c r="F266" i="9"/>
  <c r="F265" i="9"/>
  <c r="B265" i="9"/>
  <c r="F264" i="9"/>
  <c r="F263" i="9"/>
  <c r="F262" i="9"/>
  <c r="F261" i="9"/>
  <c r="F260" i="9"/>
  <c r="F259" i="9"/>
  <c r="F258" i="9"/>
  <c r="F257" i="9"/>
  <c r="F256" i="9"/>
  <c r="F255" i="9"/>
  <c r="F254" i="9"/>
  <c r="F253" i="9"/>
  <c r="B253" i="9"/>
  <c r="F252" i="9"/>
  <c r="F251" i="9"/>
  <c r="F250" i="9"/>
  <c r="F249" i="9"/>
  <c r="F248" i="9"/>
  <c r="F247" i="9"/>
  <c r="F246" i="9"/>
  <c r="F245" i="9"/>
  <c r="F244" i="9"/>
  <c r="F243" i="9"/>
  <c r="F242" i="9"/>
  <c r="F241" i="9"/>
  <c r="F240" i="9"/>
  <c r="F239" i="9"/>
  <c r="F238" i="9"/>
  <c r="F237" i="9"/>
  <c r="F236" i="9"/>
  <c r="F235" i="9"/>
  <c r="F234" i="9"/>
  <c r="F233" i="9"/>
  <c r="F232" i="9"/>
  <c r="F231" i="9"/>
  <c r="F230" i="9"/>
  <c r="F229" i="9"/>
  <c r="F228" i="9"/>
  <c r="F227" i="9"/>
  <c r="F226" i="9"/>
  <c r="F225" i="9"/>
  <c r="F224" i="9"/>
  <c r="F223" i="9"/>
  <c r="F222" i="9"/>
  <c r="F221" i="9"/>
  <c r="F220" i="9"/>
  <c r="F219" i="9"/>
  <c r="F218" i="9"/>
  <c r="F217" i="9"/>
  <c r="F216" i="9"/>
  <c r="F215" i="9"/>
  <c r="F214" i="9"/>
  <c r="F213" i="9"/>
  <c r="F212" i="9"/>
  <c r="F211" i="9"/>
  <c r="F210" i="9"/>
  <c r="F209" i="9"/>
  <c r="F208" i="9"/>
  <c r="F207" i="9"/>
  <c r="F206" i="9"/>
  <c r="F205" i="9"/>
  <c r="F204" i="9"/>
  <c r="F203" i="9"/>
  <c r="F202" i="9"/>
  <c r="F201" i="9"/>
  <c r="F200" i="9"/>
  <c r="F199" i="9"/>
  <c r="F198" i="9"/>
  <c r="F197" i="9"/>
  <c r="F196" i="9"/>
  <c r="F195" i="9"/>
  <c r="F194" i="9"/>
  <c r="F193" i="9"/>
  <c r="F192" i="9"/>
  <c r="F191" i="9"/>
  <c r="F190" i="9"/>
  <c r="F189" i="9"/>
  <c r="F188" i="9"/>
  <c r="F187" i="9"/>
  <c r="F186" i="9"/>
  <c r="F185" i="9"/>
  <c r="F184" i="9"/>
  <c r="F183" i="9"/>
  <c r="F182" i="9"/>
  <c r="F181" i="9"/>
  <c r="F180" i="9"/>
  <c r="F179" i="9"/>
  <c r="F178" i="9"/>
  <c r="F177" i="9"/>
  <c r="F176" i="9"/>
  <c r="F175" i="9"/>
  <c r="F174" i="9"/>
  <c r="F173" i="9"/>
  <c r="F172" i="9"/>
  <c r="B172" i="9"/>
  <c r="F171" i="9"/>
  <c r="F170" i="9"/>
  <c r="F169" i="9"/>
  <c r="F168" i="9"/>
  <c r="F167" i="9"/>
  <c r="F166" i="9"/>
  <c r="F165" i="9"/>
  <c r="F164" i="9"/>
  <c r="F163" i="9"/>
  <c r="F162" i="9"/>
  <c r="F161" i="9"/>
  <c r="F160" i="9"/>
  <c r="F159" i="9"/>
  <c r="F158" i="9"/>
  <c r="F157" i="9"/>
  <c r="F156" i="9"/>
  <c r="F155" i="9"/>
  <c r="F154" i="9"/>
  <c r="F153" i="9"/>
  <c r="F152" i="9"/>
  <c r="F151" i="9"/>
  <c r="F150" i="9"/>
  <c r="F149" i="9"/>
  <c r="F148" i="9"/>
  <c r="F147" i="9"/>
  <c r="F146" i="9"/>
  <c r="F145" i="9"/>
  <c r="F144" i="9"/>
  <c r="F143" i="9"/>
  <c r="F142" i="9"/>
  <c r="F141" i="9"/>
  <c r="F140" i="9"/>
  <c r="F139" i="9"/>
  <c r="F138" i="9"/>
  <c r="F137" i="9"/>
  <c r="F136" i="9"/>
  <c r="F135" i="9"/>
  <c r="F134" i="9"/>
  <c r="F133" i="9"/>
  <c r="F132" i="9"/>
  <c r="F131" i="9"/>
  <c r="F130" i="9"/>
  <c r="F129" i="9"/>
  <c r="F128" i="9"/>
  <c r="F127" i="9"/>
  <c r="F126" i="9"/>
  <c r="F125" i="9"/>
  <c r="F124" i="9"/>
  <c r="F123" i="9"/>
  <c r="F122" i="9"/>
  <c r="F121" i="9"/>
  <c r="F120" i="9"/>
  <c r="F119" i="9"/>
  <c r="F118" i="9"/>
  <c r="F117" i="9"/>
  <c r="F116" i="9"/>
  <c r="F115" i="9"/>
  <c r="F114" i="9"/>
  <c r="F113" i="9"/>
  <c r="F112" i="9"/>
  <c r="F111" i="9"/>
  <c r="F110" i="9"/>
  <c r="F109" i="9"/>
  <c r="F108" i="9"/>
  <c r="F107" i="9"/>
  <c r="F106" i="9"/>
  <c r="F105" i="9"/>
  <c r="F104" i="9"/>
  <c r="F103" i="9"/>
  <c r="F102" i="9"/>
  <c r="F101" i="9"/>
  <c r="F100" i="9"/>
  <c r="F99" i="9"/>
  <c r="F98" i="9"/>
  <c r="F97" i="9"/>
  <c r="F96" i="9"/>
  <c r="F95" i="9"/>
  <c r="F94" i="9"/>
  <c r="F93" i="9"/>
  <c r="F92" i="9"/>
  <c r="F91" i="9"/>
  <c r="F90" i="9"/>
  <c r="F89" i="9"/>
  <c r="F88" i="9"/>
  <c r="F87" i="9"/>
  <c r="F86" i="9"/>
  <c r="F85" i="9"/>
  <c r="F84" i="9"/>
  <c r="F83" i="9"/>
  <c r="F82" i="9"/>
  <c r="F81" i="9"/>
  <c r="F80" i="9"/>
  <c r="F79" i="9"/>
  <c r="F78" i="9"/>
  <c r="F77" i="9"/>
  <c r="F76" i="9"/>
  <c r="F75" i="9"/>
  <c r="F74" i="9"/>
  <c r="F73" i="9"/>
  <c r="F72" i="9"/>
  <c r="F71" i="9"/>
  <c r="F70" i="9"/>
  <c r="F69" i="9"/>
  <c r="F68" i="9"/>
  <c r="F67" i="9"/>
  <c r="F66" i="9"/>
  <c r="F65" i="9"/>
  <c r="F64" i="9"/>
  <c r="F63" i="9"/>
  <c r="F62" i="9"/>
  <c r="F61" i="9"/>
  <c r="F60" i="9"/>
  <c r="F59" i="9"/>
  <c r="F58" i="9"/>
  <c r="F57" i="9"/>
  <c r="F56" i="9"/>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7" i="9"/>
  <c r="F6" i="9"/>
  <c r="F5" i="9"/>
  <c r="F4" i="9"/>
  <c r="F3" i="9"/>
  <c r="F2" i="9"/>
  <c r="B2" i="9"/>
  <c r="F17" i="8"/>
  <c r="F16" i="8"/>
  <c r="F15" i="8"/>
  <c r="F14" i="8"/>
  <c r="F13" i="8"/>
  <c r="F12" i="8"/>
  <c r="F11" i="8"/>
  <c r="F10" i="8"/>
  <c r="F9" i="8"/>
  <c r="F8" i="8"/>
  <c r="F7" i="8"/>
  <c r="F6" i="8"/>
  <c r="F5" i="8"/>
  <c r="F4" i="8"/>
  <c r="F3" i="8"/>
  <c r="F2" i="8"/>
  <c r="F339" i="7"/>
  <c r="F338" i="7"/>
  <c r="F337" i="7"/>
  <c r="F336" i="7"/>
  <c r="F335" i="7"/>
  <c r="F334" i="7"/>
  <c r="F333" i="7"/>
  <c r="F332" i="7"/>
  <c r="F331" i="7"/>
  <c r="F330" i="7"/>
  <c r="F329" i="7"/>
  <c r="B329" i="7"/>
  <c r="F328" i="7"/>
  <c r="F327" i="7"/>
  <c r="F326" i="7"/>
  <c r="B326" i="7"/>
  <c r="F325" i="7"/>
  <c r="F324" i="7"/>
  <c r="F323" i="7"/>
  <c r="F322" i="7"/>
  <c r="F321" i="7"/>
  <c r="F320" i="7"/>
  <c r="F319" i="7"/>
  <c r="F318" i="7"/>
  <c r="F317" i="7"/>
  <c r="F316" i="7"/>
  <c r="F315" i="7"/>
  <c r="F314" i="7"/>
  <c r="F313" i="7"/>
  <c r="B313" i="7"/>
  <c r="F312" i="7"/>
  <c r="F311" i="7"/>
  <c r="F310" i="7"/>
  <c r="F309" i="7"/>
  <c r="F308" i="7"/>
  <c r="F307" i="7"/>
  <c r="F306" i="7"/>
  <c r="F305" i="7"/>
  <c r="F304" i="7"/>
  <c r="F303" i="7"/>
  <c r="F302" i="7"/>
  <c r="F301" i="7"/>
  <c r="F300" i="7"/>
  <c r="F299" i="7"/>
  <c r="F298" i="7"/>
  <c r="F297" i="7"/>
  <c r="F296" i="7"/>
  <c r="F295" i="7"/>
  <c r="F294" i="7"/>
  <c r="F293" i="7"/>
  <c r="F292" i="7"/>
  <c r="B292" i="7"/>
  <c r="F291" i="7"/>
  <c r="F290" i="7"/>
  <c r="F289" i="7"/>
  <c r="F288" i="7"/>
  <c r="F287" i="7"/>
  <c r="F286" i="7"/>
  <c r="F285" i="7"/>
  <c r="F284" i="7"/>
  <c r="F283" i="7"/>
  <c r="F282" i="7"/>
  <c r="F281" i="7"/>
  <c r="F280" i="7"/>
  <c r="F279" i="7"/>
  <c r="B279" i="7"/>
  <c r="F278" i="7"/>
  <c r="F277" i="7"/>
  <c r="F276" i="7"/>
  <c r="F275" i="7"/>
  <c r="F274" i="7"/>
  <c r="F273" i="7"/>
  <c r="F272" i="7"/>
  <c r="F271" i="7"/>
  <c r="F270" i="7"/>
  <c r="F269" i="7"/>
  <c r="F268" i="7"/>
  <c r="F267" i="7"/>
  <c r="F266" i="7"/>
  <c r="F265" i="7"/>
  <c r="F264" i="7"/>
  <c r="F263" i="7"/>
  <c r="F262" i="7"/>
  <c r="B262" i="7"/>
  <c r="F261" i="7"/>
  <c r="F260" i="7"/>
  <c r="F259" i="7"/>
  <c r="F258" i="7"/>
  <c r="F257" i="7"/>
  <c r="F256" i="7"/>
  <c r="F255" i="7"/>
  <c r="F254" i="7"/>
  <c r="F253" i="7"/>
  <c r="F252" i="7"/>
  <c r="F251" i="7"/>
  <c r="F250" i="7"/>
  <c r="F249" i="7"/>
  <c r="F248" i="7"/>
  <c r="F247" i="7"/>
  <c r="F246" i="7"/>
  <c r="F245" i="7"/>
  <c r="F244" i="7"/>
  <c r="F243" i="7"/>
  <c r="F242" i="7"/>
  <c r="F241" i="7"/>
  <c r="F240" i="7"/>
  <c r="F239" i="7"/>
  <c r="F238" i="7"/>
  <c r="F237" i="7"/>
  <c r="F236" i="7"/>
  <c r="F235" i="7"/>
  <c r="F234" i="7"/>
  <c r="F233" i="7"/>
  <c r="F232" i="7"/>
  <c r="F231" i="7"/>
  <c r="F230" i="7"/>
  <c r="F229" i="7"/>
  <c r="F228" i="7"/>
  <c r="F227" i="7"/>
  <c r="B227" i="7"/>
  <c r="F226" i="7"/>
  <c r="F225" i="7"/>
  <c r="F224" i="7"/>
  <c r="F223" i="7"/>
  <c r="F222" i="7"/>
  <c r="F221" i="7"/>
  <c r="F220" i="7"/>
  <c r="F219" i="7"/>
  <c r="F218" i="7"/>
  <c r="F217" i="7"/>
  <c r="F216" i="7"/>
  <c r="F215" i="7"/>
  <c r="F214" i="7"/>
  <c r="F213" i="7"/>
  <c r="F212" i="7"/>
  <c r="F211" i="7"/>
  <c r="B211" i="7"/>
  <c r="F210" i="7"/>
  <c r="F209" i="7"/>
  <c r="F208" i="7"/>
  <c r="F207" i="7"/>
  <c r="F206" i="7"/>
  <c r="F205" i="7"/>
  <c r="F204" i="7"/>
  <c r="F203" i="7"/>
  <c r="F202" i="7"/>
  <c r="F201" i="7"/>
  <c r="F200" i="7"/>
  <c r="F199" i="7"/>
  <c r="F198" i="7"/>
  <c r="F197" i="7"/>
  <c r="F196" i="7"/>
  <c r="F195" i="7"/>
  <c r="F194" i="7"/>
  <c r="F193" i="7"/>
  <c r="F192" i="7"/>
  <c r="F191" i="7"/>
  <c r="F190" i="7"/>
  <c r="F189" i="7"/>
  <c r="B189" i="7"/>
  <c r="F188" i="7"/>
  <c r="F187" i="7"/>
  <c r="F186" i="7"/>
  <c r="F185" i="7"/>
  <c r="F184" i="7"/>
  <c r="F183" i="7"/>
  <c r="F182" i="7"/>
  <c r="F181" i="7"/>
  <c r="F180" i="7"/>
  <c r="F179" i="7"/>
  <c r="F178" i="7"/>
  <c r="F177" i="7"/>
  <c r="F176" i="7"/>
  <c r="F175" i="7"/>
  <c r="F174" i="7"/>
  <c r="B174" i="7"/>
  <c r="F173" i="7"/>
  <c r="F172" i="7"/>
  <c r="F171" i="7"/>
  <c r="B171" i="7"/>
  <c r="F170" i="7"/>
  <c r="F169" i="7"/>
  <c r="F168" i="7"/>
  <c r="F167" i="7"/>
  <c r="F166" i="7"/>
  <c r="F165" i="7"/>
  <c r="F164" i="7"/>
  <c r="B164" i="7"/>
  <c r="F163" i="7"/>
  <c r="F162" i="7"/>
  <c r="F161" i="7"/>
  <c r="F160" i="7"/>
  <c r="F159" i="7"/>
  <c r="F158" i="7"/>
  <c r="F157" i="7"/>
  <c r="F156" i="7"/>
  <c r="F155" i="7"/>
  <c r="F154" i="7"/>
  <c r="F153" i="7"/>
  <c r="F152" i="7"/>
  <c r="F151" i="7"/>
  <c r="F150" i="7"/>
  <c r="F149" i="7"/>
  <c r="F148" i="7"/>
  <c r="F147" i="7"/>
  <c r="F146" i="7"/>
  <c r="F145" i="7"/>
  <c r="F144" i="7"/>
  <c r="F143" i="7"/>
  <c r="F142" i="7"/>
  <c r="F141" i="7"/>
  <c r="B141" i="7"/>
  <c r="F140" i="7"/>
  <c r="F139" i="7"/>
  <c r="F138" i="7"/>
  <c r="F137" i="7"/>
  <c r="F136" i="7"/>
  <c r="F135" i="7"/>
  <c r="F134" i="7"/>
  <c r="F133" i="7"/>
  <c r="F132" i="7"/>
  <c r="F131" i="7"/>
  <c r="B131" i="7"/>
  <c r="F130" i="7"/>
  <c r="F129" i="7"/>
  <c r="F128" i="7"/>
  <c r="F127" i="7"/>
  <c r="F126" i="7"/>
  <c r="F125" i="7"/>
  <c r="F124" i="7"/>
  <c r="F123" i="7"/>
  <c r="F122" i="7"/>
  <c r="F121" i="7"/>
  <c r="F120" i="7"/>
  <c r="F119" i="7"/>
  <c r="F118" i="7"/>
  <c r="B118" i="7"/>
  <c r="F117" i="7"/>
  <c r="F116" i="7"/>
  <c r="F115" i="7"/>
  <c r="F114" i="7"/>
  <c r="F113" i="7"/>
  <c r="F112" i="7"/>
  <c r="F111" i="7"/>
  <c r="F110" i="7"/>
  <c r="F109" i="7"/>
  <c r="F108" i="7"/>
  <c r="F107" i="7"/>
  <c r="F106" i="7"/>
  <c r="F105" i="7"/>
  <c r="F104" i="7"/>
  <c r="F103" i="7"/>
  <c r="F102" i="7"/>
  <c r="F101" i="7"/>
  <c r="F100" i="7"/>
  <c r="F99" i="7"/>
  <c r="F98" i="7"/>
  <c r="F97" i="7"/>
  <c r="F96" i="7"/>
  <c r="F95" i="7"/>
  <c r="F94" i="7"/>
  <c r="F93" i="7"/>
  <c r="F92" i="7"/>
  <c r="F91" i="7"/>
  <c r="B91" i="7"/>
  <c r="F90" i="7"/>
  <c r="B90" i="7"/>
  <c r="F89" i="7"/>
  <c r="B89" i="7"/>
  <c r="F88" i="7"/>
  <c r="B88" i="7"/>
  <c r="F87" i="7"/>
  <c r="B87" i="7"/>
  <c r="F86" i="7"/>
  <c r="B86" i="7"/>
  <c r="F85" i="7"/>
  <c r="B85" i="7"/>
  <c r="F84" i="7"/>
  <c r="B84" i="7"/>
  <c r="F83" i="7"/>
  <c r="B83" i="7"/>
  <c r="F82" i="7"/>
  <c r="B82" i="7"/>
  <c r="F81" i="7"/>
  <c r="B81" i="7"/>
  <c r="F80" i="7"/>
  <c r="B80" i="7"/>
  <c r="F79" i="7"/>
  <c r="B79" i="7"/>
  <c r="F78" i="7"/>
  <c r="B78" i="7"/>
  <c r="F77" i="7"/>
  <c r="B77" i="7"/>
  <c r="F76" i="7"/>
  <c r="B76" i="7"/>
  <c r="F75" i="7"/>
  <c r="B75" i="7"/>
  <c r="F74" i="7"/>
  <c r="B74" i="7"/>
  <c r="F73" i="7"/>
  <c r="B73" i="7"/>
  <c r="F72" i="7"/>
  <c r="B72" i="7"/>
  <c r="F71" i="7"/>
  <c r="B71" i="7"/>
  <c r="F70" i="7"/>
  <c r="B70" i="7"/>
  <c r="F69" i="7"/>
  <c r="B69" i="7"/>
  <c r="F68" i="7"/>
  <c r="B68" i="7"/>
  <c r="F67" i="7"/>
  <c r="B67" i="7"/>
  <c r="F66" i="7"/>
  <c r="B66" i="7"/>
  <c r="F65" i="7"/>
  <c r="B65" i="7"/>
  <c r="F64" i="7"/>
  <c r="B64" i="7"/>
  <c r="F63" i="7"/>
  <c r="B63" i="7"/>
  <c r="F62" i="7"/>
  <c r="B62" i="7"/>
  <c r="F61" i="7"/>
  <c r="B61" i="7"/>
  <c r="F60" i="7"/>
  <c r="B60" i="7"/>
  <c r="F59" i="7"/>
  <c r="B59" i="7"/>
  <c r="F58" i="7"/>
  <c r="B58" i="7"/>
  <c r="F57" i="7"/>
  <c r="B57" i="7"/>
  <c r="F56" i="7"/>
  <c r="B56" i="7"/>
  <c r="F55" i="7"/>
  <c r="B55" i="7"/>
  <c r="F54" i="7"/>
  <c r="B54" i="7"/>
  <c r="F53" i="7"/>
  <c r="B53" i="7"/>
  <c r="F52" i="7"/>
  <c r="B52" i="7"/>
  <c r="F51" i="7"/>
  <c r="B51" i="7"/>
  <c r="F50" i="7"/>
  <c r="B50" i="7"/>
  <c r="F49" i="7"/>
  <c r="B49" i="7"/>
  <c r="F48" i="7"/>
  <c r="B48" i="7"/>
  <c r="F47" i="7"/>
  <c r="B47" i="7"/>
  <c r="F46" i="7"/>
  <c r="B46" i="7"/>
  <c r="F45" i="7"/>
  <c r="B45" i="7"/>
  <c r="F44" i="7"/>
  <c r="B44" i="7"/>
  <c r="F43" i="7"/>
  <c r="B43" i="7"/>
  <c r="F42" i="7"/>
  <c r="B42" i="7"/>
  <c r="F41" i="7"/>
  <c r="B41" i="7"/>
  <c r="F40" i="7"/>
  <c r="B40" i="7"/>
  <c r="F39" i="7"/>
  <c r="B39" i="7"/>
  <c r="F38" i="7"/>
  <c r="B38" i="7"/>
  <c r="F37" i="7"/>
  <c r="B37" i="7"/>
  <c r="F36" i="7"/>
  <c r="B36" i="7"/>
  <c r="F35" i="7"/>
  <c r="B35" i="7"/>
  <c r="F34" i="7"/>
  <c r="B34" i="7"/>
  <c r="F33" i="7"/>
  <c r="B33" i="7"/>
  <c r="F32" i="7"/>
  <c r="B32" i="7"/>
  <c r="F31" i="7"/>
  <c r="B31" i="7"/>
  <c r="F30" i="7"/>
  <c r="B30" i="7"/>
  <c r="F29" i="7"/>
  <c r="B29" i="7"/>
  <c r="F28" i="7"/>
  <c r="B28" i="7"/>
  <c r="F27" i="7"/>
  <c r="B27" i="7"/>
  <c r="F26" i="7"/>
  <c r="B26" i="7"/>
  <c r="F25" i="7"/>
  <c r="B25" i="7"/>
  <c r="F24" i="7"/>
  <c r="B24" i="7"/>
  <c r="F23" i="7"/>
  <c r="B23" i="7"/>
  <c r="F22" i="7"/>
  <c r="B22" i="7"/>
  <c r="F21" i="7"/>
  <c r="B21" i="7"/>
  <c r="F20" i="7"/>
  <c r="B20" i="7"/>
  <c r="F19" i="7"/>
  <c r="B19" i="7"/>
  <c r="F18" i="7"/>
  <c r="B18" i="7"/>
  <c r="F17" i="7"/>
  <c r="B17" i="7"/>
  <c r="F16" i="7"/>
  <c r="B16" i="7"/>
  <c r="F15" i="7"/>
  <c r="B15" i="7"/>
  <c r="F14" i="7"/>
  <c r="B14" i="7"/>
  <c r="F13" i="7"/>
  <c r="B13" i="7"/>
  <c r="F12" i="7"/>
  <c r="B12" i="7"/>
  <c r="F11" i="7"/>
  <c r="B11" i="7"/>
  <c r="F10" i="7"/>
  <c r="B10" i="7"/>
  <c r="F9" i="7"/>
  <c r="B9" i="7"/>
  <c r="F8" i="7"/>
  <c r="B8" i="7"/>
  <c r="F7" i="7"/>
  <c r="B7" i="7"/>
  <c r="F6" i="7"/>
  <c r="B6" i="7"/>
  <c r="F5" i="7"/>
  <c r="B5" i="7"/>
  <c r="F4" i="7"/>
  <c r="B4" i="7"/>
  <c r="F3" i="7"/>
  <c r="B3" i="7"/>
  <c r="F2" i="7"/>
  <c r="B2" i="7"/>
  <c r="F20" i="6"/>
  <c r="F19" i="6"/>
  <c r="F18" i="6"/>
  <c r="F17" i="6"/>
  <c r="F16" i="6"/>
  <c r="F15" i="6"/>
  <c r="F14" i="6"/>
  <c r="F13" i="6"/>
  <c r="F12" i="6"/>
  <c r="F11" i="6"/>
  <c r="F10" i="6"/>
  <c r="F9" i="6"/>
  <c r="F8" i="6"/>
  <c r="F7" i="6"/>
  <c r="F6" i="6"/>
  <c r="F5" i="6"/>
  <c r="F4" i="6"/>
  <c r="F3" i="6"/>
  <c r="F2" i="6"/>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B2051" i="5"/>
  <c r="F2050" i="5"/>
  <c r="B2050" i="5"/>
  <c r="F2049" i="5"/>
  <c r="B2049" i="5"/>
  <c r="F2048" i="5"/>
  <c r="B2048" i="5"/>
  <c r="F2047" i="5"/>
  <c r="B2047" i="5"/>
  <c r="B2046" i="5"/>
  <c r="F2045" i="5"/>
  <c r="B2045" i="5"/>
  <c r="F2044" i="5"/>
  <c r="B2044" i="5"/>
  <c r="F2043" i="5"/>
  <c r="B2043" i="5"/>
  <c r="F2042" i="5"/>
  <c r="B2042" i="5"/>
  <c r="F2041" i="5"/>
  <c r="B2041" i="5"/>
  <c r="F2040" i="5"/>
  <c r="B2040" i="5"/>
  <c r="F2039" i="5"/>
  <c r="F2038" i="5"/>
  <c r="B2038" i="5"/>
  <c r="F2037" i="5"/>
  <c r="B2037" i="5"/>
  <c r="F2036" i="5"/>
  <c r="B2036" i="5"/>
  <c r="F2035" i="5"/>
  <c r="F2034" i="5"/>
  <c r="B2034" i="5"/>
  <c r="F2033" i="5"/>
  <c r="F2032" i="5"/>
  <c r="B2032" i="5"/>
  <c r="F2031" i="5"/>
  <c r="F2030" i="5"/>
  <c r="F2029" i="5"/>
  <c r="F2028" i="5"/>
  <c r="F2027" i="5"/>
  <c r="B2027" i="5"/>
  <c r="F2026" i="5"/>
  <c r="F2025" i="5"/>
  <c r="F2024" i="5"/>
  <c r="F2023" i="5"/>
  <c r="B2023" i="5"/>
  <c r="F2022" i="5"/>
  <c r="F2021" i="5"/>
  <c r="F2020" i="5"/>
  <c r="F2019" i="5"/>
  <c r="F2018" i="5"/>
  <c r="F2017" i="5"/>
  <c r="F2016" i="5"/>
  <c r="F2015" i="5"/>
  <c r="F2014" i="5"/>
  <c r="F2013" i="5"/>
  <c r="F2012" i="5"/>
  <c r="F2011" i="5"/>
  <c r="B2011" i="5"/>
  <c r="F2010" i="5"/>
  <c r="F2009" i="5"/>
  <c r="B2009" i="5"/>
  <c r="F2008" i="5"/>
  <c r="F2007" i="5"/>
  <c r="F2006" i="5"/>
  <c r="F2005" i="5"/>
  <c r="F2004" i="5"/>
  <c r="F2003" i="5"/>
  <c r="F2002" i="5"/>
  <c r="F2001" i="5"/>
  <c r="F2000" i="5"/>
  <c r="B2000" i="5"/>
  <c r="F1999" i="5"/>
  <c r="F1998" i="5"/>
  <c r="F1997" i="5"/>
  <c r="F1996" i="5"/>
  <c r="F1995" i="5"/>
  <c r="F1994" i="5"/>
  <c r="F1993" i="5"/>
  <c r="F1992" i="5"/>
  <c r="F1991" i="5"/>
  <c r="F1990" i="5"/>
  <c r="F1989" i="5"/>
  <c r="F1988" i="5"/>
  <c r="F1987" i="5"/>
  <c r="F1986" i="5"/>
  <c r="F1985" i="5"/>
  <c r="F1984" i="5"/>
  <c r="F1983" i="5"/>
  <c r="F1982" i="5"/>
  <c r="F1981" i="5"/>
  <c r="F1980" i="5"/>
  <c r="F1979" i="5"/>
  <c r="B1979" i="5"/>
  <c r="F1978" i="5"/>
  <c r="F1977" i="5"/>
  <c r="F1976" i="5"/>
  <c r="F1975" i="5"/>
  <c r="F1974" i="5"/>
  <c r="F1973" i="5"/>
  <c r="F1972" i="5"/>
  <c r="F1971" i="5"/>
  <c r="F1970" i="5"/>
  <c r="F1969" i="5"/>
  <c r="F1968" i="5"/>
  <c r="F1967" i="5"/>
  <c r="F1966" i="5"/>
  <c r="F1965" i="5"/>
  <c r="F1964" i="5"/>
  <c r="F1963" i="5"/>
  <c r="B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B1918" i="5"/>
  <c r="F1917" i="5"/>
  <c r="F1916" i="5"/>
  <c r="B1916" i="5"/>
  <c r="F1915" i="5"/>
  <c r="F1914" i="5"/>
  <c r="F1913" i="5"/>
  <c r="F1912" i="5"/>
  <c r="B1912" i="5"/>
  <c r="F1911" i="5"/>
  <c r="F1910" i="5"/>
  <c r="F1909" i="5"/>
  <c r="F1908" i="5"/>
  <c r="F1907" i="5"/>
  <c r="F1906" i="5"/>
  <c r="F1905" i="5"/>
  <c r="F1904" i="5"/>
  <c r="F1903" i="5"/>
  <c r="F1902" i="5"/>
  <c r="F1901" i="5"/>
  <c r="F1900" i="5"/>
  <c r="F1899" i="5"/>
  <c r="F1898" i="5"/>
  <c r="F1897" i="5"/>
  <c r="B1897" i="5"/>
  <c r="F1896" i="5"/>
  <c r="F1895" i="5"/>
  <c r="F1894" i="5"/>
  <c r="F1893" i="5"/>
  <c r="F1892" i="5"/>
  <c r="F1891" i="5"/>
  <c r="F1890" i="5"/>
  <c r="F1889" i="5"/>
  <c r="F1888" i="5"/>
  <c r="F1887" i="5"/>
  <c r="F1886" i="5"/>
  <c r="B1886" i="5"/>
  <c r="F1885" i="5"/>
  <c r="F1884" i="5"/>
  <c r="F1883" i="5"/>
  <c r="F1882" i="5"/>
  <c r="B1881" i="5"/>
  <c r="F1880" i="5"/>
  <c r="B1880" i="5"/>
  <c r="F1879" i="5"/>
  <c r="F1878" i="5"/>
  <c r="F1877" i="5"/>
  <c r="F1876" i="5"/>
  <c r="F1875" i="5"/>
  <c r="F1874" i="5"/>
  <c r="F1873" i="5"/>
  <c r="F1872" i="5"/>
  <c r="F1871" i="5"/>
  <c r="F1870" i="5"/>
  <c r="F1869" i="5"/>
  <c r="F1868" i="5"/>
  <c r="B1868" i="5"/>
  <c r="F1867" i="5"/>
  <c r="F1866" i="5"/>
  <c r="F1865" i="5"/>
  <c r="B1865" i="5"/>
  <c r="F1864" i="5"/>
  <c r="F1863" i="5"/>
  <c r="F1862" i="5"/>
  <c r="F1861" i="5"/>
  <c r="F1860" i="5"/>
  <c r="B1860" i="5"/>
  <c r="F1859" i="5"/>
  <c r="F1858" i="5"/>
  <c r="F1857" i="5"/>
  <c r="F1856" i="5"/>
  <c r="F1855" i="5"/>
  <c r="F1854" i="5"/>
  <c r="F1853" i="5"/>
  <c r="B1853" i="5"/>
  <c r="F1852" i="5"/>
  <c r="F1851" i="5"/>
  <c r="F1850" i="5"/>
  <c r="B1850" i="5"/>
  <c r="F1849" i="5"/>
  <c r="F1848" i="5"/>
  <c r="F1847" i="5"/>
  <c r="F1846" i="5"/>
  <c r="F1845" i="5"/>
  <c r="F1844" i="5"/>
  <c r="F1843" i="5"/>
  <c r="F1842" i="5"/>
  <c r="F1841" i="5"/>
  <c r="F1840" i="5"/>
  <c r="F1839" i="5"/>
  <c r="F1838" i="5"/>
  <c r="F1837" i="5"/>
  <c r="F1836" i="5"/>
  <c r="F1835" i="5"/>
  <c r="B1835" i="5"/>
  <c r="F1834" i="5"/>
  <c r="F1833" i="5"/>
  <c r="F1832" i="5"/>
  <c r="F1831"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B1785" i="5"/>
  <c r="F1784" i="5"/>
  <c r="F1783" i="5"/>
  <c r="B1782" i="5"/>
  <c r="F1781" i="5"/>
  <c r="F1780" i="5"/>
  <c r="B1780" i="5"/>
  <c r="F1779" i="5"/>
  <c r="B1779" i="5"/>
  <c r="F1778" i="5"/>
  <c r="F1777" i="5"/>
  <c r="F1776" i="5"/>
  <c r="B1776" i="5"/>
  <c r="F1775" i="5"/>
  <c r="F1774" i="5"/>
  <c r="F1773" i="5"/>
  <c r="F1772" i="5"/>
  <c r="F1771" i="5"/>
  <c r="F1770" i="5"/>
  <c r="F1769" i="5"/>
  <c r="F1768" i="5"/>
  <c r="B1768" i="5"/>
  <c r="F1767" i="5"/>
  <c r="B1767" i="5"/>
  <c r="F1766" i="5"/>
  <c r="B1766" i="5"/>
  <c r="F1765" i="5"/>
  <c r="F1764" i="5"/>
  <c r="F1763" i="5"/>
  <c r="F1762" i="5"/>
  <c r="F1761" i="5"/>
  <c r="F1760" i="5"/>
  <c r="F1759" i="5"/>
  <c r="F1758" i="5"/>
  <c r="F1757" i="5"/>
  <c r="F1756" i="5"/>
  <c r="F1755" i="5"/>
  <c r="F1754" i="5"/>
  <c r="F1753" i="5"/>
  <c r="F1752" i="5"/>
  <c r="F1751" i="5"/>
  <c r="F1750" i="5"/>
  <c r="F1749" i="5"/>
  <c r="F1748" i="5"/>
  <c r="F1747" i="5"/>
  <c r="F1746" i="5"/>
  <c r="B1745" i="5"/>
  <c r="F1744" i="5"/>
  <c r="F1743" i="5"/>
  <c r="F1742" i="5"/>
  <c r="F1741" i="5"/>
  <c r="F1740" i="5"/>
  <c r="F1739" i="5"/>
  <c r="F1738" i="5"/>
  <c r="F1737" i="5"/>
  <c r="F1736" i="5"/>
  <c r="F1735" i="5"/>
  <c r="F1734" i="5"/>
  <c r="F1733" i="5"/>
  <c r="F1732" i="5"/>
  <c r="F1731" i="5"/>
  <c r="F1730" i="5"/>
  <c r="F1729" i="5"/>
  <c r="B1728" i="5"/>
  <c r="F1727" i="5"/>
  <c r="B1726" i="5"/>
  <c r="F1725" i="5"/>
  <c r="F1724" i="5"/>
  <c r="F1723" i="5"/>
  <c r="F1722" i="5"/>
  <c r="F1721" i="5"/>
  <c r="F1720" i="5"/>
  <c r="F1719" i="5"/>
  <c r="B1719" i="5"/>
  <c r="F1718" i="5"/>
  <c r="F1717" i="5"/>
  <c r="F1716" i="5"/>
  <c r="F1715" i="5"/>
  <c r="F1714" i="5"/>
  <c r="F1713" i="5"/>
  <c r="B1713" i="5"/>
  <c r="F1711" i="5"/>
  <c r="B1711" i="5"/>
  <c r="F1710" i="5"/>
  <c r="B1710" i="5"/>
  <c r="F1709" i="5"/>
  <c r="B1709" i="5"/>
  <c r="F1708" i="5"/>
  <c r="F1707" i="5"/>
  <c r="B1707" i="5"/>
  <c r="F1706" i="5"/>
  <c r="F1705" i="5"/>
  <c r="F1704" i="5"/>
  <c r="F1703" i="5"/>
  <c r="B1703" i="5"/>
  <c r="F1702" i="5"/>
  <c r="B1702" i="5"/>
  <c r="F1701" i="5"/>
  <c r="F1700" i="5"/>
  <c r="F1699" i="5"/>
  <c r="B1699" i="5"/>
  <c r="F1698" i="5"/>
  <c r="F1697" i="5"/>
  <c r="B1697" i="5"/>
  <c r="F1696" i="5"/>
  <c r="B1696" i="5"/>
  <c r="F1695" i="5"/>
  <c r="B1695" i="5"/>
  <c r="F1694" i="5"/>
  <c r="B1694" i="5"/>
  <c r="F1693" i="5"/>
  <c r="B1693" i="5"/>
  <c r="F1692" i="5"/>
  <c r="F1691" i="5"/>
  <c r="F1690" i="5"/>
  <c r="F1689" i="5"/>
  <c r="F1688" i="5"/>
  <c r="B1688" i="5"/>
  <c r="F1687" i="5"/>
  <c r="B1687" i="5"/>
  <c r="F1686" i="5"/>
  <c r="B1686" i="5"/>
  <c r="F1685" i="5"/>
  <c r="B1685" i="5"/>
  <c r="F1684" i="5"/>
  <c r="B1684" i="5"/>
  <c r="F1683" i="5"/>
  <c r="B1683" i="5"/>
  <c r="F1682" i="5"/>
  <c r="B1682" i="5"/>
  <c r="F1681" i="5"/>
  <c r="B1681" i="5"/>
  <c r="F1680" i="5"/>
  <c r="B1680" i="5"/>
  <c r="F1679" i="5"/>
  <c r="B1679" i="5"/>
  <c r="F1678" i="5"/>
  <c r="F1677" i="5"/>
  <c r="B1677" i="5"/>
  <c r="F1676" i="5"/>
  <c r="B1676" i="5"/>
  <c r="F1675" i="5"/>
  <c r="B1675" i="5"/>
  <c r="F1674" i="5"/>
  <c r="B1674" i="5"/>
  <c r="F1673" i="5"/>
  <c r="B1673" i="5"/>
  <c r="F1672" i="5"/>
  <c r="B1672" i="5"/>
  <c r="F1671" i="5"/>
  <c r="B1671" i="5"/>
  <c r="F1670" i="5"/>
  <c r="B1670" i="5"/>
  <c r="F1669" i="5"/>
  <c r="B1669" i="5"/>
  <c r="F1668" i="5"/>
  <c r="B1668" i="5"/>
  <c r="F1667" i="5"/>
  <c r="B1667" i="5"/>
  <c r="F1666" i="5"/>
  <c r="B1666" i="5"/>
  <c r="F1665" i="5"/>
  <c r="F1664" i="5"/>
  <c r="F1663" i="5"/>
  <c r="B1663" i="5"/>
  <c r="F1662" i="5"/>
  <c r="F1661" i="5"/>
  <c r="B1661" i="5"/>
  <c r="F1660" i="5"/>
  <c r="F1659" i="5"/>
  <c r="B1659" i="5"/>
  <c r="F1658" i="5"/>
  <c r="B1658" i="5"/>
  <c r="F1657" i="5"/>
  <c r="B1657" i="5"/>
  <c r="F1656" i="5"/>
  <c r="B1656" i="5"/>
  <c r="F1655" i="5"/>
  <c r="B1655" i="5"/>
  <c r="F1654" i="5"/>
  <c r="B1654" i="5"/>
  <c r="F1653" i="5"/>
  <c r="B1653" i="5"/>
  <c r="F1652" i="5"/>
  <c r="B1652" i="5"/>
  <c r="F1651" i="5"/>
  <c r="B1651" i="5"/>
  <c r="F1650" i="5"/>
  <c r="B1650" i="5"/>
  <c r="F1649" i="5"/>
  <c r="B1649" i="5"/>
  <c r="F1648" i="5"/>
  <c r="F1647" i="5"/>
  <c r="F1646" i="5"/>
  <c r="F1645" i="5"/>
  <c r="B1645" i="5"/>
  <c r="F1644" i="5"/>
  <c r="F1643" i="5"/>
  <c r="F1642" i="5"/>
  <c r="F1641" i="5"/>
  <c r="B1641" i="5"/>
  <c r="F1640" i="5"/>
  <c r="F1639" i="5"/>
  <c r="F1638" i="5"/>
  <c r="B1638" i="5"/>
  <c r="F1637" i="5"/>
  <c r="B1637" i="5"/>
  <c r="F1636" i="5"/>
  <c r="B1636" i="5"/>
  <c r="F1635" i="5"/>
  <c r="B1635" i="5"/>
  <c r="F1634" i="5"/>
  <c r="B1634" i="5"/>
  <c r="F1633" i="5"/>
  <c r="F1632" i="5"/>
  <c r="F1631" i="5"/>
  <c r="B1631" i="5"/>
  <c r="F1630" i="5"/>
  <c r="F1629" i="5"/>
  <c r="F1628" i="5"/>
  <c r="B1628" i="5"/>
  <c r="F1627" i="5"/>
  <c r="B1627" i="5"/>
  <c r="F1626" i="5"/>
  <c r="F1625" i="5"/>
  <c r="B1625" i="5"/>
  <c r="F1624" i="5"/>
  <c r="B1624" i="5"/>
  <c r="F1623" i="5"/>
  <c r="B1623" i="5"/>
  <c r="F1622" i="5"/>
  <c r="B1622" i="5"/>
  <c r="F1621" i="5"/>
  <c r="F1620" i="5"/>
  <c r="F1619" i="5"/>
  <c r="F1618" i="5"/>
  <c r="F1617" i="5"/>
  <c r="F1616" i="5"/>
  <c r="B1616" i="5"/>
  <c r="F1615" i="5"/>
  <c r="F1614" i="5"/>
  <c r="F1613" i="5"/>
  <c r="F1612" i="5"/>
  <c r="F1611" i="5"/>
  <c r="F1610" i="5"/>
  <c r="F1609" i="5"/>
  <c r="B1609" i="5"/>
  <c r="F1608" i="5"/>
  <c r="F1607" i="5"/>
  <c r="F1606" i="5"/>
  <c r="F1605" i="5"/>
  <c r="B1605" i="5"/>
  <c r="F1604" i="5"/>
  <c r="F1603" i="5"/>
  <c r="F1602" i="5"/>
  <c r="F1601" i="5"/>
  <c r="F1600" i="5"/>
  <c r="B1600" i="5"/>
  <c r="F1599" i="5"/>
  <c r="F1598" i="5"/>
  <c r="F1597" i="5"/>
  <c r="F1596" i="5"/>
  <c r="F1595" i="5"/>
  <c r="F1594" i="5"/>
  <c r="F1593" i="5"/>
  <c r="F1592" i="5"/>
  <c r="B1592" i="5"/>
  <c r="F1591" i="5"/>
  <c r="B1591" i="5"/>
  <c r="F1590" i="5"/>
  <c r="B1590" i="5"/>
  <c r="F1589" i="5"/>
  <c r="B1589" i="5"/>
  <c r="F1588" i="5"/>
  <c r="B1588" i="5"/>
  <c r="F1587" i="5"/>
  <c r="B1587" i="5"/>
  <c r="F1586" i="5"/>
  <c r="B1586" i="5"/>
  <c r="F1585" i="5"/>
  <c r="B1585" i="5"/>
  <c r="F1584" i="5"/>
  <c r="B1584" i="5"/>
  <c r="F1583" i="5"/>
  <c r="B1583" i="5"/>
  <c r="F1582" i="5"/>
  <c r="B1582" i="5"/>
  <c r="F1581" i="5"/>
  <c r="B1581" i="5"/>
  <c r="F1580" i="5"/>
  <c r="B1580" i="5"/>
  <c r="F1579" i="5"/>
  <c r="B1579" i="5"/>
  <c r="F1578" i="5"/>
  <c r="B1578" i="5"/>
  <c r="F1577" i="5"/>
  <c r="B1577" i="5"/>
  <c r="F1576" i="5"/>
  <c r="B1576" i="5"/>
  <c r="F1575" i="5"/>
  <c r="B1575" i="5"/>
  <c r="F1574" i="5"/>
  <c r="B1574" i="5"/>
  <c r="F1573" i="5"/>
  <c r="F1572" i="5"/>
  <c r="B1572" i="5"/>
  <c r="F1571" i="5"/>
  <c r="B1571" i="5"/>
  <c r="F1570" i="5"/>
  <c r="B1570" i="5"/>
  <c r="F1569" i="5"/>
  <c r="B1569" i="5"/>
  <c r="F1568" i="5"/>
  <c r="B1568" i="5"/>
  <c r="F1567" i="5"/>
  <c r="B1567" i="5"/>
  <c r="F1566" i="5"/>
  <c r="B1566" i="5"/>
  <c r="F1565" i="5"/>
  <c r="B1565" i="5"/>
  <c r="F1564" i="5"/>
  <c r="B1564" i="5"/>
  <c r="F1563" i="5"/>
  <c r="B1563" i="5"/>
  <c r="F1562" i="5"/>
  <c r="B1562" i="5"/>
  <c r="F1561" i="5"/>
  <c r="B1561" i="5"/>
  <c r="F1560" i="5"/>
  <c r="B1560" i="5"/>
  <c r="F1559" i="5"/>
  <c r="B1559" i="5"/>
  <c r="F1558" i="5"/>
  <c r="F1557" i="5"/>
  <c r="F1556" i="5"/>
  <c r="F1555" i="5"/>
  <c r="B1555" i="5"/>
  <c r="F1554" i="5"/>
  <c r="B1554" i="5"/>
  <c r="F1553" i="5"/>
  <c r="B1553" i="5"/>
  <c r="F1552" i="5"/>
  <c r="F1551" i="5"/>
  <c r="B1551" i="5"/>
  <c r="F1550" i="5"/>
  <c r="B1550" i="5"/>
  <c r="F1549" i="5"/>
  <c r="B1549" i="5"/>
  <c r="F1548" i="5"/>
  <c r="F1547" i="5"/>
  <c r="F1546" i="5"/>
  <c r="F1545" i="5"/>
  <c r="F1544" i="5"/>
  <c r="B1544" i="5"/>
  <c r="F1543" i="5"/>
  <c r="B1543" i="5"/>
  <c r="F1542" i="5"/>
  <c r="B1542" i="5"/>
  <c r="F1541" i="5"/>
  <c r="B1541" i="5"/>
  <c r="F1540" i="5"/>
  <c r="F1539" i="5"/>
  <c r="B1539" i="5"/>
  <c r="F1538" i="5"/>
  <c r="F1537" i="5"/>
  <c r="F1536" i="5"/>
  <c r="F1535" i="5"/>
  <c r="B1535" i="5"/>
  <c r="F1534" i="5"/>
  <c r="F1533" i="5"/>
  <c r="F1532" i="5"/>
  <c r="F1531" i="5"/>
  <c r="F1530" i="5"/>
  <c r="F1529" i="5"/>
  <c r="B1529" i="5"/>
  <c r="F1528" i="5"/>
  <c r="F1527" i="5"/>
  <c r="B1527" i="5"/>
  <c r="F1526" i="5"/>
  <c r="F1525" i="5"/>
  <c r="F1524" i="5"/>
  <c r="F1523" i="5"/>
  <c r="F1522" i="5"/>
  <c r="B1522" i="5"/>
  <c r="F1521" i="5"/>
  <c r="F1520" i="5"/>
  <c r="F1519" i="5"/>
  <c r="B1519" i="5"/>
  <c r="F1518" i="5"/>
  <c r="B1518" i="5"/>
  <c r="F1517" i="5"/>
  <c r="B1517" i="5"/>
  <c r="F1516" i="5"/>
  <c r="B1516" i="5"/>
  <c r="F1515" i="5"/>
  <c r="B1515" i="5"/>
  <c r="F1514" i="5"/>
  <c r="B1514" i="5"/>
  <c r="F1513" i="5"/>
  <c r="B1513" i="5"/>
  <c r="F1512" i="5"/>
  <c r="B1512" i="5"/>
  <c r="F1511" i="5"/>
  <c r="B1511" i="5"/>
  <c r="F1510" i="5"/>
  <c r="B1510" i="5"/>
  <c r="F1509" i="5"/>
  <c r="F1508" i="5"/>
  <c r="B1508" i="5"/>
  <c r="F1507" i="5"/>
  <c r="F1506" i="5"/>
  <c r="F1505" i="5"/>
  <c r="B1505" i="5"/>
  <c r="F1504" i="5"/>
  <c r="F1503" i="5"/>
  <c r="F1502" i="5"/>
  <c r="F1501" i="5"/>
  <c r="F1500" i="5"/>
  <c r="F1499" i="5"/>
  <c r="F1498" i="5"/>
  <c r="F1497" i="5"/>
  <c r="F1496" i="5"/>
  <c r="F1495" i="5"/>
  <c r="F1494" i="5"/>
  <c r="F1493" i="5"/>
  <c r="F1492" i="5"/>
  <c r="F1491" i="5"/>
  <c r="F1490" i="5"/>
  <c r="B1489" i="5"/>
  <c r="F1488" i="5"/>
  <c r="F1487" i="5"/>
  <c r="F1486" i="5"/>
  <c r="F1485" i="5"/>
  <c r="F1484" i="5"/>
  <c r="F1483" i="5"/>
  <c r="F1482" i="5"/>
  <c r="F1481" i="5"/>
  <c r="F1480" i="5"/>
  <c r="F1479" i="5"/>
  <c r="F1478" i="5"/>
  <c r="F1477" i="5"/>
  <c r="F1476" i="5"/>
  <c r="F1475" i="5"/>
  <c r="F1474" i="5"/>
  <c r="F1473" i="5"/>
  <c r="B1473" i="5"/>
  <c r="F1472" i="5"/>
  <c r="F1471" i="5"/>
  <c r="F1470" i="5"/>
  <c r="F1469" i="5"/>
  <c r="F1468" i="5"/>
  <c r="F1467" i="5"/>
  <c r="F1466" i="5"/>
  <c r="F1465" i="5"/>
  <c r="F1464" i="5"/>
  <c r="F1463" i="5"/>
  <c r="F1462" i="5"/>
  <c r="F1461" i="5"/>
  <c r="B1461" i="5"/>
  <c r="F1460" i="5"/>
  <c r="F1459" i="5"/>
  <c r="F1458" i="5"/>
  <c r="F1457" i="5"/>
  <c r="F1456" i="5"/>
  <c r="F1455" i="5"/>
  <c r="F1454" i="5"/>
  <c r="F1453" i="5"/>
  <c r="F1452" i="5"/>
  <c r="F1451" i="5"/>
  <c r="F1450" i="5"/>
  <c r="F1449" i="5"/>
  <c r="F1448" i="5"/>
  <c r="F1447" i="5"/>
  <c r="F1446" i="5"/>
  <c r="F1445" i="5"/>
  <c r="B1445" i="5"/>
  <c r="F1444" i="5"/>
  <c r="F1443" i="5"/>
  <c r="F1442" i="5"/>
  <c r="F1441" i="5"/>
  <c r="F1440" i="5"/>
  <c r="F1439" i="5"/>
  <c r="F1438" i="5"/>
  <c r="F1437" i="5"/>
  <c r="F1436" i="5"/>
  <c r="F1435" i="5"/>
  <c r="F1434" i="5"/>
  <c r="F1433" i="5"/>
  <c r="F1432" i="5"/>
  <c r="F1431" i="5"/>
  <c r="F1430" i="5"/>
  <c r="F1429" i="5"/>
  <c r="F1428" i="5"/>
  <c r="F1427" i="5"/>
  <c r="F1426" i="5"/>
  <c r="F1425" i="5"/>
  <c r="B1425" i="5"/>
  <c r="F1424" i="5"/>
  <c r="F1423" i="5"/>
  <c r="F1422" i="5"/>
  <c r="F1421" i="5"/>
  <c r="F1420" i="5"/>
  <c r="F1419" i="5"/>
  <c r="F1418" i="5"/>
  <c r="F1417" i="5"/>
  <c r="F1416" i="5"/>
  <c r="F1415" i="5"/>
  <c r="F1414" i="5"/>
  <c r="F1413" i="5"/>
  <c r="F1412" i="5"/>
  <c r="F1411" i="5"/>
  <c r="F1410" i="5"/>
  <c r="F1409" i="5"/>
  <c r="F1408" i="5"/>
  <c r="F1407" i="5"/>
  <c r="F1406" i="5"/>
  <c r="F1405" i="5"/>
  <c r="F1404" i="5"/>
  <c r="F1403" i="5"/>
  <c r="B1403" i="5"/>
  <c r="F1402" i="5"/>
  <c r="F1401" i="5"/>
  <c r="F1400" i="5"/>
  <c r="F1399" i="5"/>
  <c r="F1398" i="5"/>
  <c r="F1397" i="5"/>
  <c r="F1396" i="5"/>
  <c r="F1395" i="5"/>
  <c r="F1394" i="5"/>
  <c r="F1393" i="5"/>
  <c r="F1392" i="5"/>
  <c r="F1391" i="5"/>
  <c r="F1390" i="5"/>
  <c r="F1389" i="5"/>
  <c r="B1389" i="5"/>
  <c r="F1388" i="5"/>
  <c r="F1387" i="5"/>
  <c r="F1386" i="5"/>
  <c r="B1386" i="5"/>
  <c r="F1385" i="5"/>
  <c r="F1384" i="5"/>
  <c r="F1383" i="5"/>
  <c r="F1382" i="5"/>
  <c r="F1381" i="5"/>
  <c r="F1380" i="5"/>
  <c r="F1379" i="5"/>
  <c r="F1378" i="5"/>
  <c r="B1378" i="5"/>
  <c r="B1358" i="5"/>
  <c r="F1357" i="5"/>
  <c r="F1356" i="5"/>
  <c r="F1355" i="5"/>
  <c r="F1354" i="5"/>
  <c r="F1353" i="5"/>
  <c r="F1352" i="5"/>
  <c r="F1351" i="5"/>
  <c r="F1350" i="5"/>
  <c r="F1349" i="5"/>
  <c r="B1349" i="5"/>
  <c r="F1348" i="5"/>
  <c r="F1347" i="5"/>
  <c r="F1346" i="5"/>
  <c r="B1346" i="5"/>
  <c r="F1345" i="5"/>
  <c r="F1344" i="5"/>
  <c r="F1343" i="5"/>
  <c r="F1342" i="5"/>
  <c r="B1342" i="5"/>
  <c r="F1341" i="5"/>
  <c r="F1340" i="5"/>
  <c r="F1339" i="5"/>
  <c r="F1338" i="5"/>
  <c r="F1337" i="5"/>
  <c r="B1337" i="5"/>
  <c r="B1332" i="5"/>
  <c r="B1322"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B1277" i="5"/>
  <c r="F1276" i="5"/>
  <c r="F1275" i="5"/>
  <c r="F1274" i="5"/>
  <c r="F1273" i="5"/>
  <c r="F1272" i="5"/>
  <c r="F1271" i="5"/>
  <c r="F1270" i="5"/>
  <c r="F1269" i="5"/>
  <c r="F1268" i="5"/>
  <c r="F1267" i="5"/>
  <c r="F1266" i="5"/>
  <c r="F1265" i="5"/>
  <c r="F1264" i="5"/>
  <c r="F1263" i="5"/>
  <c r="F1262" i="5"/>
  <c r="F1261" i="5"/>
  <c r="B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B1218" i="5"/>
  <c r="F1217" i="5"/>
  <c r="B1217" i="5"/>
  <c r="F1216" i="5"/>
  <c r="B1216" i="5"/>
  <c r="F1215" i="5"/>
  <c r="B1215" i="5"/>
  <c r="F1214" i="5"/>
  <c r="B1214" i="5"/>
  <c r="F1213" i="5"/>
  <c r="B1213" i="5"/>
  <c r="F1212" i="5"/>
  <c r="B1212" i="5"/>
  <c r="F1211" i="5"/>
  <c r="B1211" i="5"/>
  <c r="F1210" i="5"/>
  <c r="B1210" i="5"/>
  <c r="F1209" i="5"/>
  <c r="B1209" i="5"/>
  <c r="F1208" i="5"/>
  <c r="B1208" i="5"/>
  <c r="F1207" i="5"/>
  <c r="B1207" i="5"/>
  <c r="F1206" i="5"/>
  <c r="F1205" i="5"/>
  <c r="B1205" i="5"/>
  <c r="F1204" i="5"/>
  <c r="B1204" i="5"/>
  <c r="F1203" i="5"/>
  <c r="B1203" i="5"/>
  <c r="F1202" i="5"/>
  <c r="B1202" i="5"/>
  <c r="F1201" i="5"/>
  <c r="F1200" i="5"/>
  <c r="B1199" i="5"/>
  <c r="F1198" i="5"/>
  <c r="F1197" i="5"/>
  <c r="F1196" i="5"/>
  <c r="F1195" i="5"/>
  <c r="F1194" i="5"/>
  <c r="F1193" i="5"/>
  <c r="F1192" i="5"/>
  <c r="F1191" i="5"/>
  <c r="F1190" i="5"/>
  <c r="B1189" i="5"/>
  <c r="F1188" i="5"/>
  <c r="B1188" i="5"/>
  <c r="F1187" i="5"/>
  <c r="B1187" i="5"/>
  <c r="F1186" i="5"/>
  <c r="B1186" i="5"/>
  <c r="F1185" i="5"/>
  <c r="B1185" i="5"/>
  <c r="F1184" i="5"/>
  <c r="B1184" i="5"/>
  <c r="F1183" i="5"/>
  <c r="B1183" i="5"/>
  <c r="F1182" i="5"/>
  <c r="B1182"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B1147" i="5"/>
  <c r="F1146" i="5"/>
  <c r="B1146" i="5"/>
  <c r="F1145" i="5"/>
  <c r="B1145" i="5"/>
  <c r="F1144" i="5"/>
  <c r="B1144" i="5"/>
  <c r="F1143" i="5"/>
  <c r="B1143" i="5"/>
  <c r="F1142" i="5"/>
  <c r="B1142" i="5"/>
  <c r="F1141" i="5"/>
  <c r="B1141" i="5"/>
  <c r="F1140" i="5"/>
  <c r="B1140" i="5"/>
  <c r="F1139" i="5"/>
  <c r="B1139" i="5"/>
  <c r="F1138" i="5"/>
  <c r="B1138" i="5"/>
  <c r="F1137" i="5"/>
  <c r="B1137" i="5"/>
  <c r="F1136" i="5"/>
  <c r="B1136" i="5"/>
  <c r="F1135" i="5"/>
  <c r="B1135" i="5"/>
  <c r="F1134" i="5"/>
  <c r="B1134" i="5"/>
  <c r="F1133" i="5"/>
  <c r="F1132" i="5"/>
  <c r="F1131" i="5"/>
  <c r="B1131" i="5"/>
  <c r="F1130" i="5"/>
  <c r="B1130" i="5"/>
  <c r="F1129" i="5"/>
  <c r="F1128" i="5"/>
  <c r="F1127" i="5"/>
  <c r="F1126" i="5"/>
  <c r="B1126" i="5"/>
  <c r="F1125" i="5"/>
  <c r="B1125" i="5"/>
  <c r="F1124" i="5"/>
  <c r="B1124" i="5"/>
  <c r="F1123" i="5"/>
  <c r="B1123" i="5"/>
  <c r="F1122" i="5"/>
  <c r="B1122" i="5"/>
  <c r="F1121" i="5"/>
  <c r="B1121" i="5"/>
  <c r="F1120" i="5"/>
  <c r="B1120" i="5"/>
  <c r="F1119" i="5"/>
  <c r="B1119" i="5"/>
  <c r="F1118" i="5"/>
  <c r="B1118" i="5"/>
  <c r="F1117" i="5"/>
  <c r="B1117" i="5"/>
  <c r="F1116" i="5"/>
  <c r="B1116" i="5"/>
  <c r="F1115" i="5"/>
  <c r="B1115" i="5"/>
  <c r="F1114" i="5"/>
  <c r="B1114" i="5"/>
  <c r="F1113" i="5"/>
  <c r="B1113" i="5"/>
  <c r="F1112" i="5"/>
  <c r="B1112" i="5"/>
  <c r="F1111" i="5"/>
  <c r="F1110" i="5"/>
  <c r="B1110" i="5"/>
  <c r="F1109" i="5"/>
  <c r="F1108" i="5"/>
  <c r="B1108" i="5"/>
  <c r="F1107" i="5"/>
  <c r="F1106" i="5"/>
  <c r="B1106" i="5"/>
  <c r="F1105" i="5"/>
  <c r="B1105" i="5"/>
  <c r="F1104" i="5"/>
  <c r="F1103" i="5"/>
  <c r="F1102" i="5"/>
  <c r="F1101" i="5"/>
  <c r="F1100" i="5"/>
  <c r="F1099" i="5"/>
  <c r="B1099" i="5"/>
  <c r="F1098" i="5"/>
  <c r="F1097" i="5"/>
  <c r="F1096" i="5"/>
  <c r="B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B1031" i="5"/>
  <c r="F1030" i="5"/>
  <c r="F1029" i="5"/>
  <c r="F1028" i="5"/>
  <c r="F1027" i="5"/>
  <c r="F1026" i="5"/>
  <c r="F1025" i="5"/>
  <c r="F1024" i="5"/>
  <c r="F1023" i="5"/>
  <c r="F1022" i="5"/>
  <c r="F1021" i="5"/>
  <c r="F1020" i="5"/>
  <c r="F1019" i="5"/>
  <c r="F1018" i="5"/>
  <c r="F1017" i="5"/>
  <c r="B1017" i="5"/>
  <c r="F1016" i="5"/>
  <c r="B1016" i="5"/>
  <c r="F1015" i="5"/>
  <c r="B1015" i="5"/>
  <c r="F1014" i="5"/>
  <c r="B1014" i="5"/>
  <c r="F1013" i="5"/>
  <c r="B1013" i="5"/>
  <c r="F1012" i="5"/>
  <c r="B1012" i="5"/>
  <c r="F1011" i="5"/>
  <c r="B1011" i="5"/>
  <c r="F1010" i="5"/>
  <c r="F1009" i="5"/>
  <c r="F1008" i="5"/>
  <c r="B1008" i="5"/>
  <c r="F1007" i="5"/>
  <c r="B1007" i="5"/>
  <c r="F1006" i="5"/>
  <c r="B1006" i="5"/>
  <c r="F1005" i="5"/>
  <c r="B1005" i="5"/>
  <c r="F1004" i="5"/>
  <c r="B1004" i="5"/>
  <c r="F1003" i="5"/>
  <c r="B1003" i="5"/>
  <c r="F1002" i="5"/>
  <c r="B1002" i="5"/>
  <c r="F1001" i="5"/>
  <c r="F1000" i="5"/>
  <c r="B999" i="5"/>
  <c r="F998" i="5"/>
  <c r="F997" i="5"/>
  <c r="B996" i="5"/>
  <c r="F995" i="5"/>
  <c r="F994" i="5"/>
  <c r="F993" i="5"/>
  <c r="F992" i="5"/>
  <c r="F991" i="5"/>
  <c r="F990" i="5"/>
  <c r="B990" i="5"/>
  <c r="F989" i="5"/>
  <c r="B989" i="5"/>
  <c r="F988" i="5"/>
  <c r="B988" i="5"/>
  <c r="F987" i="5"/>
  <c r="B987" i="5"/>
  <c r="F986" i="5"/>
  <c r="B986" i="5"/>
  <c r="F985" i="5"/>
  <c r="B985" i="5"/>
  <c r="F984" i="5"/>
  <c r="B984" i="5"/>
  <c r="F983" i="5"/>
  <c r="B983" i="5"/>
  <c r="F982" i="5"/>
  <c r="B982" i="5"/>
  <c r="F981" i="5"/>
  <c r="B981" i="5"/>
  <c r="F980" i="5"/>
  <c r="F979" i="5"/>
  <c r="F978" i="5"/>
  <c r="B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B953" i="5"/>
  <c r="B952" i="5"/>
  <c r="F949" i="5"/>
  <c r="B949" i="5"/>
  <c r="F948" i="5"/>
  <c r="B948" i="5"/>
  <c r="F947" i="5"/>
  <c r="B947" i="5"/>
  <c r="F946" i="5"/>
  <c r="B946" i="5"/>
  <c r="F945" i="5"/>
  <c r="B945" i="5"/>
  <c r="F944" i="5"/>
  <c r="B944" i="5"/>
  <c r="F943" i="5"/>
  <c r="B943" i="5"/>
  <c r="F942" i="5"/>
  <c r="B942" i="5"/>
  <c r="F941" i="5"/>
  <c r="B941" i="5"/>
  <c r="F940" i="5"/>
  <c r="B940" i="5"/>
  <c r="F939" i="5"/>
  <c r="B939" i="5"/>
  <c r="F938" i="5"/>
  <c r="B938" i="5"/>
  <c r="F937" i="5"/>
  <c r="B937" i="5"/>
  <c r="F936" i="5"/>
  <c r="B936" i="5"/>
  <c r="F935" i="5"/>
  <c r="B935" i="5"/>
  <c r="F934" i="5"/>
  <c r="B934" i="5"/>
  <c r="F933" i="5"/>
  <c r="B933" i="5"/>
  <c r="F932" i="5"/>
  <c r="B932" i="5"/>
  <c r="F931" i="5"/>
  <c r="B931" i="5"/>
  <c r="F930" i="5"/>
  <c r="B930" i="5"/>
  <c r="F929" i="5"/>
  <c r="B929" i="5"/>
  <c r="F928" i="5"/>
  <c r="B928" i="5"/>
  <c r="F927" i="5"/>
  <c r="B927" i="5"/>
  <c r="F926" i="5"/>
  <c r="B926" i="5"/>
  <c r="F925" i="5"/>
  <c r="B925" i="5"/>
  <c r="F924" i="5"/>
  <c r="B924" i="5"/>
  <c r="F923" i="5"/>
  <c r="B923" i="5"/>
  <c r="F922" i="5"/>
  <c r="B922" i="5"/>
  <c r="F921" i="5"/>
  <c r="B921" i="5"/>
  <c r="F920" i="5"/>
  <c r="B920" i="5"/>
  <c r="F919" i="5"/>
  <c r="B919" i="5"/>
  <c r="F918" i="5"/>
  <c r="B918" i="5"/>
  <c r="F917" i="5"/>
  <c r="B917" i="5"/>
  <c r="F916" i="5"/>
  <c r="B916" i="5"/>
  <c r="F915" i="5"/>
  <c r="B915" i="5"/>
  <c r="F914" i="5"/>
  <c r="B914" i="5"/>
  <c r="F913" i="5"/>
  <c r="B913" i="5"/>
  <c r="F912" i="5"/>
  <c r="B912" i="5"/>
  <c r="F911" i="5"/>
  <c r="B911" i="5"/>
  <c r="F910" i="5"/>
  <c r="B910" i="5"/>
  <c r="F909" i="5"/>
  <c r="B909" i="5"/>
  <c r="F908" i="5"/>
  <c r="B908" i="5"/>
  <c r="F907" i="5"/>
  <c r="B907" i="5"/>
  <c r="F906" i="5"/>
  <c r="B906" i="5"/>
  <c r="F905" i="5"/>
  <c r="B905" i="5"/>
  <c r="F904" i="5"/>
  <c r="B904" i="5"/>
  <c r="F903" i="5"/>
  <c r="B903" i="5"/>
  <c r="F902" i="5"/>
  <c r="B902" i="5"/>
  <c r="F901" i="5"/>
  <c r="B901" i="5"/>
  <c r="F900" i="5"/>
  <c r="B900" i="5"/>
  <c r="F899" i="5"/>
  <c r="B899" i="5"/>
  <c r="F898" i="5"/>
  <c r="B898" i="5"/>
  <c r="F897" i="5"/>
  <c r="B897" i="5"/>
  <c r="F896" i="5"/>
  <c r="B896" i="5"/>
  <c r="F895" i="5"/>
  <c r="B895" i="5"/>
  <c r="F894" i="5"/>
  <c r="B894" i="5"/>
  <c r="F893" i="5"/>
  <c r="B893" i="5"/>
  <c r="F892" i="5"/>
  <c r="B892" i="5"/>
  <c r="F891" i="5"/>
  <c r="B891" i="5"/>
  <c r="F890" i="5"/>
  <c r="B890" i="5"/>
  <c r="F889" i="5"/>
  <c r="B889" i="5"/>
  <c r="F888" i="5"/>
  <c r="B888" i="5"/>
  <c r="F887" i="5"/>
  <c r="B887" i="5"/>
  <c r="F886" i="5"/>
  <c r="B886" i="5"/>
  <c r="F885" i="5"/>
  <c r="B885" i="5"/>
  <c r="F884" i="5"/>
  <c r="B884" i="5"/>
  <c r="F883" i="5"/>
  <c r="B883" i="5"/>
  <c r="F882" i="5"/>
  <c r="B882" i="5"/>
  <c r="F881" i="5"/>
  <c r="B881" i="5"/>
  <c r="F880" i="5"/>
  <c r="B880" i="5"/>
  <c r="F879" i="5"/>
  <c r="B879" i="5"/>
  <c r="F878" i="5"/>
  <c r="B878" i="5"/>
  <c r="F877" i="5"/>
  <c r="B877" i="5"/>
  <c r="F876" i="5"/>
  <c r="B876" i="5"/>
  <c r="F875" i="5"/>
  <c r="B875" i="5"/>
  <c r="F874" i="5"/>
  <c r="B874" i="5"/>
  <c r="F873" i="5"/>
  <c r="B873" i="5"/>
  <c r="F872" i="5"/>
  <c r="B872" i="5"/>
  <c r="F871" i="5"/>
  <c r="B871" i="5"/>
  <c r="F870" i="5"/>
  <c r="B870" i="5"/>
  <c r="F869" i="5"/>
  <c r="B869" i="5"/>
  <c r="F868" i="5"/>
  <c r="B868" i="5"/>
  <c r="F867" i="5"/>
  <c r="B867" i="5"/>
  <c r="F866" i="5"/>
  <c r="B866" i="5"/>
  <c r="F865" i="5"/>
  <c r="B865" i="5"/>
  <c r="F864" i="5"/>
  <c r="B864" i="5"/>
  <c r="F863" i="5"/>
  <c r="B863" i="5"/>
  <c r="F862" i="5"/>
  <c r="B862" i="5"/>
  <c r="F861" i="5"/>
  <c r="B861" i="5"/>
  <c r="F860" i="5"/>
  <c r="B860" i="5"/>
  <c r="F859" i="5"/>
  <c r="B859" i="5"/>
  <c r="F858" i="5"/>
  <c r="B858" i="5"/>
  <c r="F857" i="5"/>
  <c r="B857" i="5"/>
  <c r="F856" i="5"/>
  <c r="B856" i="5"/>
  <c r="F855" i="5"/>
  <c r="B855" i="5"/>
  <c r="F854" i="5"/>
  <c r="B854" i="5"/>
  <c r="F853" i="5"/>
  <c r="B853" i="5"/>
  <c r="F852" i="5"/>
  <c r="B852" i="5"/>
  <c r="F851" i="5"/>
  <c r="B851" i="5"/>
  <c r="F850" i="5"/>
  <c r="B850" i="5"/>
  <c r="F849" i="5"/>
  <c r="B849" i="5"/>
  <c r="F848" i="5"/>
  <c r="B848" i="5"/>
  <c r="F847" i="5"/>
  <c r="B847" i="5"/>
  <c r="F846" i="5"/>
  <c r="B846" i="5"/>
  <c r="F845" i="5"/>
  <c r="B845" i="5"/>
  <c r="F844" i="5"/>
  <c r="B844" i="5"/>
  <c r="F843" i="5"/>
  <c r="B843" i="5"/>
  <c r="F842" i="5"/>
  <c r="B842" i="5"/>
  <c r="F841" i="5"/>
  <c r="B841" i="5"/>
  <c r="F840" i="5"/>
  <c r="B840" i="5"/>
  <c r="F839" i="5"/>
  <c r="B839" i="5"/>
  <c r="F838" i="5"/>
  <c r="B838" i="5"/>
  <c r="F837" i="5"/>
  <c r="B837" i="5"/>
  <c r="F836" i="5"/>
  <c r="B836" i="5"/>
  <c r="F835" i="5"/>
  <c r="B835" i="5"/>
  <c r="F834" i="5"/>
  <c r="B834" i="5"/>
  <c r="F833" i="5"/>
  <c r="B833" i="5"/>
  <c r="F832" i="5"/>
  <c r="B832" i="5"/>
  <c r="F831" i="5"/>
  <c r="B831" i="5"/>
  <c r="F830" i="5"/>
  <c r="F829" i="5"/>
  <c r="B829" i="5"/>
  <c r="F828" i="5"/>
  <c r="B828" i="5"/>
  <c r="F827" i="5"/>
  <c r="B827" i="5"/>
  <c r="F826" i="5"/>
  <c r="B826" i="5"/>
  <c r="F825" i="5"/>
  <c r="F824" i="5"/>
  <c r="B824" i="5"/>
  <c r="F823" i="5"/>
  <c r="B823" i="5"/>
  <c r="F822" i="5"/>
  <c r="B822" i="5"/>
  <c r="F821" i="5"/>
  <c r="B821" i="5"/>
  <c r="F820" i="5"/>
  <c r="B820" i="5"/>
  <c r="F819" i="5"/>
  <c r="B819" i="5"/>
  <c r="F818" i="5"/>
  <c r="B818" i="5"/>
  <c r="F817" i="5"/>
  <c r="B817" i="5"/>
  <c r="F816" i="5"/>
  <c r="B816" i="5"/>
  <c r="F815" i="5"/>
  <c r="B815" i="5"/>
  <c r="F814" i="5"/>
  <c r="B814" i="5"/>
  <c r="F813" i="5"/>
  <c r="B813" i="5"/>
  <c r="F812" i="5"/>
  <c r="B812" i="5"/>
  <c r="F811" i="5"/>
  <c r="B811" i="5"/>
  <c r="F810" i="5"/>
  <c r="B810" i="5"/>
  <c r="F809" i="5"/>
  <c r="B809" i="5"/>
  <c r="F808" i="5"/>
  <c r="F807" i="5"/>
  <c r="B807" i="5"/>
  <c r="F806" i="5"/>
  <c r="B806" i="5"/>
  <c r="F805" i="5"/>
  <c r="B805" i="5"/>
  <c r="F804" i="5"/>
  <c r="B804" i="5"/>
  <c r="F803" i="5"/>
  <c r="B803" i="5"/>
  <c r="F802" i="5"/>
  <c r="B802" i="5"/>
  <c r="F801" i="5"/>
  <c r="B801" i="5"/>
  <c r="F800" i="5"/>
  <c r="B800" i="5"/>
  <c r="F799" i="5"/>
  <c r="B799" i="5"/>
  <c r="F798" i="5"/>
  <c r="B798" i="5"/>
  <c r="F797" i="5"/>
  <c r="B797" i="5"/>
  <c r="F796" i="5"/>
  <c r="B796" i="5"/>
  <c r="F795" i="5"/>
  <c r="B795" i="5"/>
  <c r="F794" i="5"/>
  <c r="B794" i="5"/>
  <c r="F793" i="5"/>
  <c r="B793" i="5"/>
  <c r="F792" i="5"/>
  <c r="B792" i="5"/>
  <c r="F791" i="5"/>
  <c r="B791" i="5"/>
  <c r="F790" i="5"/>
  <c r="B790" i="5"/>
  <c r="F789" i="5"/>
  <c r="B789" i="5"/>
  <c r="F788" i="5"/>
  <c r="B788" i="5"/>
  <c r="F787" i="5"/>
  <c r="B787" i="5"/>
  <c r="F786" i="5"/>
  <c r="B786" i="5"/>
  <c r="F785" i="5"/>
  <c r="B785" i="5"/>
  <c r="F784" i="5"/>
  <c r="B784" i="5"/>
  <c r="F783" i="5"/>
  <c r="B783" i="5"/>
  <c r="F782" i="5"/>
  <c r="B782" i="5"/>
  <c r="F781" i="5"/>
  <c r="B781" i="5"/>
  <c r="F780" i="5"/>
  <c r="B780" i="5"/>
  <c r="F779" i="5"/>
  <c r="F778" i="5"/>
  <c r="B778" i="5"/>
  <c r="F777" i="5"/>
  <c r="B777" i="5"/>
  <c r="F776" i="5"/>
  <c r="B776" i="5"/>
  <c r="F775" i="5"/>
  <c r="B775" i="5"/>
  <c r="F774" i="5"/>
  <c r="B774" i="5"/>
  <c r="F773" i="5"/>
  <c r="B773" i="5"/>
  <c r="F772" i="5"/>
  <c r="B772" i="5"/>
  <c r="F771" i="5"/>
  <c r="B771" i="5"/>
  <c r="F770" i="5"/>
  <c r="B770" i="5"/>
  <c r="F769" i="5"/>
  <c r="B769" i="5"/>
  <c r="F768" i="5"/>
  <c r="B768" i="5"/>
  <c r="F767" i="5"/>
  <c r="B767" i="5"/>
  <c r="F766" i="5"/>
  <c r="B766" i="5"/>
  <c r="F765" i="5"/>
  <c r="B765" i="5"/>
  <c r="F764" i="5"/>
  <c r="B764" i="5"/>
  <c r="F763" i="5"/>
  <c r="B763" i="5"/>
  <c r="F762" i="5"/>
  <c r="B762" i="5"/>
  <c r="F761" i="5"/>
  <c r="F760" i="5"/>
  <c r="B760" i="5"/>
  <c r="F759" i="5"/>
  <c r="B759" i="5"/>
  <c r="F758" i="5"/>
  <c r="B758" i="5"/>
  <c r="F757" i="5"/>
  <c r="B757" i="5"/>
  <c r="F756" i="5"/>
  <c r="B756" i="5"/>
  <c r="F755" i="5"/>
  <c r="B755" i="5"/>
  <c r="F754" i="5"/>
  <c r="B754" i="5"/>
  <c r="F753" i="5"/>
  <c r="B753" i="5"/>
  <c r="F752" i="5"/>
  <c r="B752" i="5"/>
  <c r="F751" i="5"/>
  <c r="B751" i="5"/>
  <c r="F750" i="5"/>
  <c r="B750" i="5"/>
  <c r="F749" i="5"/>
  <c r="B749" i="5"/>
  <c r="F748" i="5"/>
  <c r="B748" i="5"/>
  <c r="F747" i="5"/>
  <c r="B747" i="5"/>
  <c r="F746" i="5"/>
  <c r="B746" i="5"/>
  <c r="F745" i="5"/>
  <c r="B745" i="5"/>
  <c r="F744" i="5"/>
  <c r="B744" i="5"/>
  <c r="F743" i="5"/>
  <c r="F742" i="5"/>
  <c r="B742" i="5"/>
  <c r="F741" i="5"/>
  <c r="B741" i="5"/>
  <c r="F740" i="5"/>
  <c r="B740" i="5"/>
  <c r="F739" i="5"/>
  <c r="B739" i="5"/>
  <c r="F738" i="5"/>
  <c r="B738" i="5"/>
  <c r="F737" i="5"/>
  <c r="B737" i="5"/>
  <c r="F736" i="5"/>
  <c r="B736" i="5"/>
  <c r="F735" i="5"/>
  <c r="B735" i="5"/>
  <c r="F734" i="5"/>
  <c r="B734" i="5"/>
  <c r="F733" i="5"/>
  <c r="B733" i="5"/>
  <c r="F732" i="5"/>
  <c r="B732" i="5"/>
  <c r="F731" i="5"/>
  <c r="B731" i="5"/>
  <c r="F730" i="5"/>
  <c r="B730" i="5"/>
  <c r="F729" i="5"/>
  <c r="B729" i="5"/>
  <c r="F728" i="5"/>
  <c r="B728" i="5"/>
  <c r="F727" i="5"/>
  <c r="B727" i="5"/>
  <c r="F726" i="5"/>
  <c r="B726" i="5"/>
  <c r="F725" i="5"/>
  <c r="B725" i="5"/>
  <c r="F724" i="5"/>
  <c r="B724" i="5"/>
  <c r="F723" i="5"/>
  <c r="B723" i="5"/>
  <c r="F722" i="5"/>
  <c r="B722" i="5"/>
  <c r="F721" i="5"/>
  <c r="B721" i="5"/>
  <c r="F720" i="5"/>
  <c r="B720" i="5"/>
  <c r="F719" i="5"/>
  <c r="B719" i="5"/>
  <c r="F718" i="5"/>
  <c r="B718" i="5"/>
  <c r="F717" i="5"/>
  <c r="B717" i="5"/>
  <c r="F716" i="5"/>
  <c r="B716" i="5"/>
  <c r="F715" i="5"/>
  <c r="B715" i="5"/>
  <c r="F714" i="5"/>
  <c r="B714" i="5"/>
  <c r="F713" i="5"/>
  <c r="F712" i="5"/>
  <c r="B712" i="5"/>
  <c r="F711" i="5"/>
  <c r="B711" i="5"/>
  <c r="F710" i="5"/>
  <c r="B710" i="5"/>
  <c r="F709" i="5"/>
  <c r="B709" i="5"/>
  <c r="F708" i="5"/>
  <c r="B708" i="5"/>
  <c r="F707" i="5"/>
  <c r="B707" i="5"/>
  <c r="F706" i="5"/>
  <c r="B706" i="5"/>
  <c r="F705" i="5"/>
  <c r="B705" i="5"/>
  <c r="F704" i="5"/>
  <c r="B704" i="5"/>
  <c r="F703" i="5"/>
  <c r="B703" i="5"/>
  <c r="F702" i="5"/>
  <c r="B702" i="5"/>
  <c r="F701" i="5"/>
  <c r="B701" i="5"/>
  <c r="F700" i="5"/>
  <c r="B700" i="5"/>
  <c r="F699" i="5"/>
  <c r="F698" i="5"/>
  <c r="B698" i="5"/>
  <c r="F697" i="5"/>
  <c r="B697" i="5"/>
  <c r="F696" i="5"/>
  <c r="B696" i="5"/>
  <c r="F695" i="5"/>
  <c r="B695" i="5"/>
  <c r="F694" i="5"/>
  <c r="B694" i="5"/>
  <c r="F693" i="5"/>
  <c r="F692" i="5"/>
  <c r="F691" i="5"/>
  <c r="B691" i="5"/>
  <c r="F690" i="5"/>
  <c r="B690" i="5"/>
  <c r="F689" i="5"/>
  <c r="B689" i="5"/>
  <c r="F688" i="5"/>
  <c r="B688" i="5"/>
  <c r="F687" i="5"/>
  <c r="B687" i="5"/>
  <c r="F686" i="5"/>
  <c r="B686" i="5"/>
  <c r="F685" i="5"/>
  <c r="B685" i="5"/>
  <c r="F684" i="5"/>
  <c r="B684" i="5"/>
  <c r="F683" i="5"/>
  <c r="B683" i="5"/>
  <c r="F682" i="5"/>
  <c r="B682" i="5"/>
  <c r="F681" i="5"/>
  <c r="B681" i="5"/>
  <c r="F680" i="5"/>
  <c r="B680" i="5"/>
  <c r="F679" i="5"/>
  <c r="B679" i="5"/>
  <c r="F678" i="5"/>
  <c r="B678" i="5"/>
  <c r="F677" i="5"/>
  <c r="B677" i="5"/>
  <c r="F676" i="5"/>
  <c r="B676" i="5"/>
  <c r="F675" i="5"/>
  <c r="B675" i="5"/>
  <c r="F674" i="5"/>
  <c r="B674" i="5"/>
  <c r="F673" i="5"/>
  <c r="B673" i="5"/>
  <c r="F672" i="5"/>
  <c r="B672" i="5"/>
  <c r="F671" i="5"/>
  <c r="B671" i="5"/>
  <c r="F670" i="5"/>
  <c r="B670" i="5"/>
  <c r="F669" i="5"/>
  <c r="B669" i="5"/>
  <c r="F668" i="5"/>
  <c r="F667" i="5"/>
  <c r="B667" i="5"/>
  <c r="F666" i="5"/>
  <c r="B666" i="5"/>
  <c r="F665" i="5"/>
  <c r="B665" i="5"/>
  <c r="F664" i="5"/>
  <c r="B664" i="5"/>
  <c r="F663" i="5"/>
  <c r="B663" i="5"/>
  <c r="F662" i="5"/>
  <c r="B662" i="5"/>
  <c r="F661" i="5"/>
  <c r="B661" i="5"/>
  <c r="F660" i="5"/>
  <c r="B660" i="5"/>
  <c r="F659" i="5"/>
  <c r="B659" i="5"/>
  <c r="F658" i="5"/>
  <c r="B658" i="5"/>
  <c r="F657" i="5"/>
  <c r="B657" i="5"/>
  <c r="F656" i="5"/>
  <c r="B656" i="5"/>
  <c r="F655" i="5"/>
  <c r="B655" i="5"/>
  <c r="F654" i="5"/>
  <c r="B654" i="5"/>
  <c r="F653" i="5"/>
  <c r="F652" i="5"/>
  <c r="F651" i="5"/>
  <c r="B651" i="5"/>
  <c r="F650" i="5"/>
  <c r="B650" i="5"/>
  <c r="F649" i="5"/>
  <c r="F648" i="5"/>
  <c r="F647" i="5"/>
  <c r="F646" i="5"/>
  <c r="B646" i="5"/>
  <c r="F645" i="5"/>
  <c r="B645" i="5"/>
  <c r="F644" i="5"/>
  <c r="B644" i="5"/>
  <c r="F643" i="5"/>
  <c r="B643" i="5"/>
  <c r="F642" i="5"/>
  <c r="B642" i="5"/>
  <c r="F641" i="5"/>
  <c r="B641" i="5"/>
  <c r="F640" i="5"/>
  <c r="B640" i="5"/>
  <c r="F639" i="5"/>
  <c r="B639" i="5"/>
  <c r="F638" i="5"/>
  <c r="B638" i="5"/>
  <c r="F637" i="5"/>
  <c r="B637" i="5"/>
  <c r="F636" i="5"/>
  <c r="B636" i="5"/>
  <c r="F635" i="5"/>
  <c r="B635" i="5"/>
  <c r="F634" i="5"/>
  <c r="B634" i="5"/>
  <c r="F633" i="5"/>
  <c r="B633" i="5"/>
  <c r="F632" i="5"/>
  <c r="B632" i="5"/>
  <c r="F631" i="5"/>
  <c r="B631" i="5"/>
  <c r="F630" i="5"/>
  <c r="B630" i="5"/>
  <c r="F629" i="5"/>
  <c r="B629" i="5"/>
  <c r="F628" i="5"/>
  <c r="B628" i="5"/>
  <c r="F627" i="5"/>
  <c r="B627" i="5"/>
  <c r="F626" i="5"/>
  <c r="B626" i="5"/>
  <c r="F625" i="5"/>
  <c r="B625" i="5"/>
  <c r="F624" i="5"/>
  <c r="B624" i="5"/>
  <c r="F623" i="5"/>
  <c r="F622" i="5"/>
  <c r="F621" i="5"/>
  <c r="F620" i="5"/>
  <c r="F619" i="5"/>
  <c r="B619" i="5"/>
  <c r="F618" i="5"/>
  <c r="F617" i="5"/>
  <c r="F616" i="5"/>
  <c r="F615" i="5"/>
  <c r="F614" i="5"/>
  <c r="F613" i="5"/>
  <c r="F612" i="5"/>
  <c r="F611" i="5"/>
  <c r="F610" i="5"/>
  <c r="F609" i="5"/>
  <c r="F608" i="5"/>
  <c r="F607" i="5"/>
  <c r="F606" i="5"/>
  <c r="B606" i="5"/>
  <c r="F605" i="5"/>
  <c r="F604" i="5"/>
  <c r="F603" i="5"/>
  <c r="F602" i="5"/>
  <c r="F601" i="5"/>
  <c r="F600" i="5"/>
  <c r="F599" i="5"/>
  <c r="F598" i="5"/>
  <c r="F597" i="5"/>
  <c r="F596" i="5"/>
  <c r="F595" i="5"/>
  <c r="F594" i="5"/>
  <c r="F593" i="5"/>
  <c r="F592" i="5"/>
  <c r="B592" i="5"/>
  <c r="F591" i="5"/>
  <c r="F590" i="5"/>
  <c r="F589" i="5"/>
  <c r="F588" i="5"/>
  <c r="F587" i="5"/>
  <c r="F586" i="5"/>
  <c r="F585" i="5"/>
  <c r="F584" i="5"/>
  <c r="F583" i="5"/>
  <c r="B583" i="5"/>
  <c r="F582" i="5"/>
  <c r="F581" i="5"/>
  <c r="F580" i="5"/>
  <c r="F579" i="5"/>
  <c r="F578" i="5"/>
  <c r="B578" i="5"/>
  <c r="F577" i="5"/>
  <c r="F576" i="5"/>
  <c r="F575" i="5"/>
  <c r="F574" i="5"/>
  <c r="B574" i="5"/>
  <c r="F573" i="5"/>
  <c r="F572" i="5"/>
  <c r="F571" i="5"/>
  <c r="F570" i="5"/>
  <c r="F569" i="5"/>
  <c r="F568" i="5"/>
  <c r="F567" i="5"/>
  <c r="F566" i="5"/>
  <c r="F565" i="5"/>
  <c r="F564" i="5"/>
  <c r="F563" i="5"/>
  <c r="F562" i="5"/>
  <c r="F561" i="5"/>
  <c r="F560" i="5"/>
  <c r="B560" i="5"/>
  <c r="F559" i="5"/>
  <c r="F558" i="5"/>
  <c r="F557" i="5"/>
  <c r="F556" i="5"/>
  <c r="F555" i="5"/>
  <c r="F554" i="5"/>
  <c r="B554" i="5"/>
  <c r="F553" i="5"/>
  <c r="B553" i="5"/>
  <c r="F552" i="5"/>
  <c r="F551" i="5"/>
  <c r="F550" i="5"/>
  <c r="F549" i="5"/>
  <c r="B549" i="5"/>
  <c r="F548" i="5"/>
  <c r="B548" i="5"/>
  <c r="F547" i="5"/>
  <c r="B547" i="5"/>
  <c r="F546" i="5"/>
  <c r="B546" i="5"/>
  <c r="F545" i="5"/>
  <c r="B545" i="5"/>
  <c r="F544" i="5"/>
  <c r="B544" i="5"/>
  <c r="F543" i="5"/>
  <c r="B543" i="5"/>
  <c r="F542" i="5"/>
  <c r="B542" i="5"/>
  <c r="F541" i="5"/>
  <c r="F540" i="5"/>
  <c r="B540" i="5"/>
  <c r="F539" i="5"/>
  <c r="B539" i="5"/>
  <c r="F538" i="5"/>
  <c r="B538" i="5"/>
  <c r="F537" i="5"/>
  <c r="B537" i="5"/>
  <c r="F536" i="5"/>
  <c r="F535" i="5"/>
  <c r="B535" i="5"/>
  <c r="F534" i="5"/>
  <c r="B534" i="5"/>
  <c r="F533" i="5"/>
  <c r="B533" i="5"/>
  <c r="F532" i="5"/>
  <c r="B532" i="5"/>
  <c r="F531" i="5"/>
  <c r="B531" i="5"/>
  <c r="F530" i="5"/>
  <c r="B530" i="5"/>
  <c r="F529" i="5"/>
  <c r="B529" i="5"/>
  <c r="F528" i="5"/>
  <c r="B528" i="5"/>
  <c r="F527" i="5"/>
  <c r="B527" i="5"/>
  <c r="F526" i="5"/>
  <c r="B526" i="5"/>
  <c r="F525" i="5"/>
  <c r="F524" i="5"/>
  <c r="F523" i="5"/>
  <c r="F522" i="5"/>
  <c r="F521" i="5"/>
  <c r="F520" i="5"/>
  <c r="F519" i="5"/>
  <c r="B519" i="5"/>
  <c r="F518" i="5"/>
  <c r="B518" i="5"/>
  <c r="F517" i="5"/>
  <c r="B517" i="5"/>
  <c r="F516" i="5"/>
  <c r="F515" i="5"/>
  <c r="B515" i="5"/>
  <c r="F514" i="5"/>
  <c r="B514" i="5"/>
  <c r="F513" i="5"/>
  <c r="B513" i="5"/>
  <c r="F512" i="5"/>
  <c r="B512" i="5"/>
  <c r="F511" i="5"/>
  <c r="F510" i="5"/>
  <c r="B510" i="5"/>
  <c r="F509" i="5"/>
  <c r="B509" i="5"/>
  <c r="F508" i="5"/>
  <c r="B508" i="5"/>
  <c r="F507" i="5"/>
  <c r="B507" i="5"/>
  <c r="F506" i="5"/>
  <c r="B506" i="5"/>
  <c r="F505" i="5"/>
  <c r="B505" i="5"/>
  <c r="F504" i="5"/>
  <c r="B504" i="5"/>
  <c r="F503" i="5"/>
  <c r="B503" i="5"/>
  <c r="F502" i="5"/>
  <c r="B502" i="5"/>
  <c r="F501" i="5"/>
  <c r="B501" i="5"/>
  <c r="F500" i="5"/>
  <c r="B500" i="5"/>
  <c r="F499" i="5"/>
  <c r="B499" i="5"/>
  <c r="F498" i="5"/>
  <c r="B498" i="5"/>
  <c r="F497" i="5"/>
  <c r="B497" i="5"/>
  <c r="F496" i="5"/>
  <c r="B496" i="5"/>
  <c r="F495" i="5"/>
  <c r="B495" i="5"/>
  <c r="F494" i="5"/>
  <c r="B494" i="5"/>
  <c r="F493" i="5"/>
  <c r="B493" i="5"/>
  <c r="F492" i="5"/>
  <c r="B492" i="5"/>
  <c r="F491" i="5"/>
  <c r="B491" i="5"/>
  <c r="F490" i="5"/>
  <c r="B490" i="5"/>
  <c r="F489" i="5"/>
  <c r="B489" i="5"/>
  <c r="F488" i="5"/>
  <c r="B488" i="5"/>
  <c r="F487" i="5"/>
  <c r="B487" i="5"/>
  <c r="F486" i="5"/>
  <c r="B486" i="5"/>
  <c r="F485" i="5"/>
  <c r="B485" i="5"/>
  <c r="F484" i="5"/>
  <c r="B484" i="5"/>
  <c r="F483" i="5"/>
  <c r="B483" i="5"/>
  <c r="F482" i="5"/>
  <c r="B482" i="5"/>
  <c r="F481" i="5"/>
  <c r="B481" i="5"/>
  <c r="F478" i="5"/>
  <c r="B478" i="5"/>
  <c r="F477" i="5"/>
  <c r="B477" i="5"/>
  <c r="F476" i="5"/>
  <c r="B476" i="5"/>
  <c r="F475" i="5"/>
  <c r="B475" i="5"/>
  <c r="F474" i="5"/>
  <c r="B474" i="5"/>
  <c r="F473" i="5"/>
  <c r="B473" i="5"/>
  <c r="F472" i="5"/>
  <c r="B472" i="5"/>
  <c r="F471" i="5"/>
  <c r="B471" i="5"/>
  <c r="F470" i="5"/>
  <c r="B470" i="5"/>
  <c r="F469" i="5"/>
  <c r="B469" i="5"/>
  <c r="F468" i="5"/>
  <c r="B468" i="5"/>
  <c r="F467" i="5"/>
  <c r="B467" i="5"/>
  <c r="F466" i="5"/>
  <c r="B466" i="5"/>
  <c r="F465" i="5"/>
  <c r="B465" i="5"/>
  <c r="F464" i="5"/>
  <c r="F463" i="5"/>
  <c r="F462" i="5"/>
  <c r="F461" i="5"/>
  <c r="F460" i="5"/>
  <c r="F459" i="5"/>
  <c r="F458" i="5"/>
  <c r="F457" i="5"/>
  <c r="F456" i="5"/>
  <c r="B456" i="5"/>
  <c r="F455" i="5"/>
  <c r="B455" i="5"/>
  <c r="F454" i="5"/>
  <c r="F453" i="5"/>
  <c r="F452" i="5"/>
  <c r="F451" i="5"/>
  <c r="F450" i="5"/>
  <c r="F449" i="5"/>
  <c r="F448" i="5"/>
  <c r="F447" i="5"/>
  <c r="F446" i="5"/>
  <c r="F445" i="5"/>
  <c r="F444" i="5"/>
  <c r="F443" i="5"/>
  <c r="B443" i="5"/>
  <c r="F442" i="5"/>
  <c r="B442" i="5"/>
  <c r="F441" i="5"/>
  <c r="B441" i="5"/>
  <c r="F440" i="5"/>
  <c r="B440" i="5"/>
  <c r="F439" i="5"/>
  <c r="F438" i="5"/>
  <c r="B438" i="5"/>
  <c r="F437" i="5"/>
  <c r="F436" i="5"/>
  <c r="B436" i="5"/>
  <c r="F435" i="5"/>
  <c r="F434" i="5"/>
  <c r="F433" i="5"/>
  <c r="F432" i="5"/>
  <c r="F431" i="5"/>
  <c r="F430" i="5"/>
  <c r="B430" i="5"/>
  <c r="F429" i="5"/>
  <c r="B429" i="5"/>
  <c r="F428" i="5"/>
  <c r="F427" i="5"/>
  <c r="F426" i="5"/>
  <c r="F425" i="5"/>
  <c r="F424" i="5"/>
  <c r="B424" i="5"/>
  <c r="F423" i="5"/>
  <c r="B423" i="5"/>
  <c r="F422" i="5"/>
  <c r="B422" i="5"/>
  <c r="F421" i="5"/>
  <c r="B421" i="5"/>
  <c r="F420" i="5"/>
  <c r="B420" i="5"/>
  <c r="F419" i="5"/>
  <c r="F418" i="5"/>
  <c r="F417" i="5"/>
  <c r="F416" i="5"/>
  <c r="F415" i="5"/>
  <c r="F414" i="5"/>
  <c r="F413" i="5"/>
  <c r="F412" i="5"/>
  <c r="F411" i="5"/>
  <c r="F410" i="5"/>
  <c r="F409" i="5"/>
  <c r="F408" i="5"/>
  <c r="F407" i="5"/>
  <c r="B407" i="5"/>
  <c r="F406" i="5"/>
  <c r="B406" i="5"/>
  <c r="F405" i="5"/>
  <c r="F404" i="5"/>
  <c r="B404" i="5"/>
  <c r="F403" i="5"/>
  <c r="B403" i="5"/>
  <c r="F402" i="5"/>
  <c r="F401" i="5"/>
  <c r="F400" i="5"/>
  <c r="F399" i="5"/>
  <c r="F398" i="5"/>
  <c r="F397" i="5"/>
  <c r="F396" i="5"/>
  <c r="F395" i="5"/>
  <c r="F394" i="5"/>
  <c r="B394" i="5"/>
  <c r="F393" i="5"/>
  <c r="B393" i="5"/>
  <c r="F392" i="5"/>
  <c r="F391" i="5"/>
  <c r="F390" i="5"/>
  <c r="B390" i="5"/>
  <c r="F389" i="5"/>
  <c r="B389" i="5"/>
  <c r="F388" i="5"/>
  <c r="B388" i="5"/>
  <c r="F387" i="5"/>
  <c r="B387" i="5"/>
  <c r="F386" i="5"/>
  <c r="B386" i="5"/>
  <c r="F385" i="5"/>
  <c r="B385" i="5"/>
  <c r="F384" i="5"/>
  <c r="B384" i="5"/>
  <c r="F383" i="5"/>
  <c r="B383" i="5"/>
  <c r="F382" i="5"/>
  <c r="B382" i="5"/>
  <c r="F381" i="5"/>
  <c r="B381" i="5"/>
  <c r="F380" i="5"/>
  <c r="B380" i="5"/>
  <c r="F379" i="5"/>
  <c r="F378" i="5"/>
  <c r="F377" i="5"/>
  <c r="B377" i="5"/>
  <c r="F376" i="5"/>
  <c r="B376" i="5"/>
  <c r="F375" i="5"/>
  <c r="B375" i="5"/>
  <c r="F374" i="5"/>
  <c r="B374" i="5"/>
  <c r="F373" i="5"/>
  <c r="B373" i="5"/>
  <c r="F372" i="5"/>
  <c r="B372" i="5"/>
  <c r="F371" i="5"/>
  <c r="B371" i="5"/>
  <c r="F370" i="5"/>
  <c r="B370" i="5"/>
  <c r="F369" i="5"/>
  <c r="B369" i="5"/>
  <c r="F368" i="5"/>
  <c r="B368" i="5"/>
  <c r="F367" i="5"/>
  <c r="B367" i="5"/>
  <c r="F366" i="5"/>
  <c r="B366" i="5"/>
  <c r="F365" i="5"/>
  <c r="B365" i="5"/>
  <c r="F364" i="5"/>
  <c r="B364" i="5"/>
  <c r="F363" i="5"/>
  <c r="B363" i="5"/>
  <c r="F362" i="5"/>
  <c r="B362" i="5"/>
  <c r="F361" i="5"/>
  <c r="B361" i="5"/>
  <c r="F360" i="5"/>
  <c r="B360" i="5"/>
  <c r="F359" i="5"/>
  <c r="B359" i="5"/>
  <c r="F358" i="5"/>
  <c r="F357" i="5"/>
  <c r="F356" i="5"/>
  <c r="F355" i="5"/>
  <c r="F354" i="5"/>
  <c r="F353" i="5"/>
  <c r="F352" i="5"/>
  <c r="F351" i="5"/>
  <c r="F350" i="5"/>
  <c r="B350" i="5"/>
  <c r="F349" i="5"/>
  <c r="F348" i="5"/>
  <c r="F347" i="5"/>
  <c r="B347" i="5"/>
  <c r="F346" i="5"/>
  <c r="F345" i="5"/>
  <c r="F344" i="5"/>
  <c r="B344" i="5"/>
  <c r="F343" i="5"/>
  <c r="B343" i="5"/>
  <c r="F342" i="5"/>
  <c r="B342" i="5"/>
  <c r="F341" i="5"/>
  <c r="B341" i="5"/>
  <c r="F340" i="5"/>
  <c r="B340" i="5"/>
  <c r="F339" i="5"/>
  <c r="B339" i="5"/>
  <c r="F338" i="5"/>
  <c r="B338" i="5"/>
  <c r="F337" i="5"/>
  <c r="B337" i="5"/>
  <c r="F336" i="5"/>
  <c r="B336" i="5"/>
  <c r="F335" i="5"/>
  <c r="B335" i="5"/>
  <c r="F334" i="5"/>
  <c r="B334" i="5"/>
  <c r="F333" i="5"/>
  <c r="B333" i="5"/>
  <c r="F332" i="5"/>
  <c r="B332" i="5"/>
  <c r="F331" i="5"/>
  <c r="B331" i="5"/>
  <c r="F330" i="5"/>
  <c r="B330" i="5"/>
  <c r="F329" i="5"/>
  <c r="B329" i="5"/>
  <c r="F328" i="5"/>
  <c r="B328" i="5"/>
  <c r="F327" i="5"/>
  <c r="B327" i="5"/>
  <c r="F326" i="5"/>
  <c r="B326" i="5"/>
  <c r="F325" i="5"/>
  <c r="B325" i="5"/>
  <c r="F324" i="5"/>
  <c r="B324" i="5"/>
  <c r="F323" i="5"/>
  <c r="B323" i="5"/>
  <c r="F322" i="5"/>
  <c r="B322" i="5"/>
  <c r="F321" i="5"/>
  <c r="B321" i="5"/>
  <c r="F320" i="5"/>
  <c r="B320" i="5"/>
  <c r="F319" i="5"/>
  <c r="B319" i="5"/>
  <c r="F318" i="5"/>
  <c r="B318" i="5"/>
  <c r="F317" i="5"/>
  <c r="B317" i="5"/>
  <c r="F316" i="5"/>
  <c r="F315" i="5"/>
  <c r="F314" i="5"/>
  <c r="F313" i="5"/>
  <c r="B313" i="5"/>
  <c r="F312" i="5"/>
  <c r="F311" i="5"/>
  <c r="B311" i="5"/>
  <c r="F310" i="5"/>
  <c r="F309" i="5"/>
  <c r="B309" i="5"/>
  <c r="F308" i="5"/>
  <c r="B308" i="5"/>
  <c r="F307" i="5"/>
  <c r="B307" i="5"/>
  <c r="F306" i="5"/>
  <c r="F305" i="5"/>
  <c r="F304" i="5"/>
  <c r="F303" i="5"/>
  <c r="F302" i="5"/>
  <c r="F301" i="5"/>
  <c r="F300" i="5"/>
  <c r="F299" i="5"/>
  <c r="F298" i="5"/>
  <c r="F297" i="5"/>
  <c r="F296" i="5"/>
  <c r="F295" i="5"/>
  <c r="F294" i="5"/>
  <c r="B294" i="5"/>
  <c r="F293" i="5"/>
  <c r="F292" i="5"/>
  <c r="F291" i="5"/>
  <c r="F290" i="5"/>
  <c r="F289" i="5"/>
  <c r="F288" i="5"/>
  <c r="F287" i="5"/>
  <c r="F286" i="5"/>
  <c r="B286" i="5"/>
  <c r="F285" i="5"/>
  <c r="F284" i="5"/>
  <c r="F283" i="5"/>
  <c r="F282" i="5"/>
  <c r="B282" i="5"/>
  <c r="F281" i="5"/>
  <c r="B281" i="5"/>
  <c r="F280" i="5"/>
  <c r="F279" i="5"/>
  <c r="B279" i="5"/>
  <c r="F278" i="5"/>
  <c r="F277" i="5"/>
  <c r="B277" i="5"/>
  <c r="F276" i="5"/>
  <c r="B276" i="5"/>
  <c r="F275" i="5"/>
  <c r="B275" i="5"/>
  <c r="F274" i="5"/>
  <c r="F273" i="5"/>
  <c r="F272" i="5"/>
  <c r="F271" i="5"/>
  <c r="F270" i="5"/>
  <c r="F269" i="5"/>
  <c r="B269" i="5"/>
  <c r="F268" i="5"/>
  <c r="F267" i="5"/>
  <c r="B267" i="5"/>
  <c r="F266" i="5"/>
  <c r="B266" i="5"/>
  <c r="F265" i="5"/>
  <c r="B265" i="5"/>
  <c r="F264" i="5"/>
  <c r="B264" i="5"/>
  <c r="F263" i="5"/>
  <c r="B263" i="5"/>
  <c r="F262" i="5"/>
  <c r="B262" i="5"/>
  <c r="F261" i="5"/>
  <c r="B261" i="5"/>
  <c r="F260" i="5"/>
  <c r="B260" i="5"/>
  <c r="F259" i="5"/>
  <c r="B259" i="5"/>
  <c r="F258" i="5"/>
  <c r="B258" i="5"/>
  <c r="F257" i="5"/>
  <c r="B257" i="5"/>
  <c r="F256" i="5"/>
  <c r="B256" i="5"/>
  <c r="F255" i="5"/>
  <c r="B255" i="5"/>
  <c r="F254" i="5"/>
  <c r="F253" i="5"/>
  <c r="B253" i="5"/>
  <c r="F252" i="5"/>
  <c r="B252" i="5"/>
  <c r="F251" i="5"/>
  <c r="B251" i="5"/>
  <c r="F250" i="5"/>
  <c r="F249" i="5"/>
  <c r="B249" i="5"/>
  <c r="F248" i="5"/>
  <c r="B248" i="5"/>
  <c r="F247" i="5"/>
  <c r="B247" i="5"/>
  <c r="F246" i="5"/>
  <c r="B246" i="5"/>
  <c r="F245" i="5"/>
  <c r="B245" i="5"/>
  <c r="F244" i="5"/>
  <c r="B244" i="5"/>
  <c r="F243" i="5"/>
  <c r="B243" i="5"/>
  <c r="F242" i="5"/>
  <c r="B242" i="5"/>
  <c r="F241" i="5"/>
  <c r="B241" i="5"/>
  <c r="F240" i="5"/>
  <c r="F239" i="5"/>
  <c r="F238" i="5"/>
  <c r="F237" i="5"/>
  <c r="B237" i="5"/>
  <c r="F236" i="5"/>
  <c r="B236" i="5"/>
  <c r="F235" i="5"/>
  <c r="B235" i="5"/>
  <c r="F234" i="5"/>
  <c r="B234" i="5"/>
  <c r="F233" i="5"/>
  <c r="F232" i="5"/>
  <c r="B232" i="5"/>
  <c r="F231" i="5"/>
  <c r="B231" i="5"/>
  <c r="F230" i="5"/>
  <c r="B230" i="5"/>
  <c r="F229" i="5"/>
  <c r="B229" i="5"/>
  <c r="F228" i="5"/>
  <c r="B228" i="5"/>
  <c r="F227" i="5"/>
  <c r="B227" i="5"/>
  <c r="F226" i="5"/>
  <c r="F225" i="5"/>
  <c r="F224" i="5"/>
  <c r="B224" i="5"/>
  <c r="F223" i="5"/>
  <c r="F222" i="5"/>
  <c r="B222" i="5"/>
  <c r="F221" i="5"/>
  <c r="B221" i="5"/>
  <c r="F220" i="5"/>
  <c r="B220" i="5"/>
  <c r="F219" i="5"/>
  <c r="B219" i="5"/>
  <c r="F218" i="5"/>
  <c r="B218" i="5"/>
  <c r="F217" i="5"/>
  <c r="B217" i="5"/>
  <c r="F216" i="5"/>
  <c r="B216" i="5"/>
  <c r="F215" i="5"/>
  <c r="B215" i="5"/>
  <c r="F214" i="5"/>
  <c r="B214" i="5"/>
  <c r="F213" i="5"/>
  <c r="B213" i="5"/>
  <c r="F212" i="5"/>
  <c r="B212" i="5"/>
  <c r="F211" i="5"/>
  <c r="B211" i="5"/>
  <c r="F210" i="5"/>
  <c r="B210" i="5"/>
  <c r="F209" i="5"/>
  <c r="B209" i="5"/>
  <c r="F208" i="5"/>
  <c r="B208" i="5"/>
  <c r="F207" i="5"/>
  <c r="B207" i="5"/>
  <c r="F206" i="5"/>
  <c r="B206" i="5"/>
  <c r="F205" i="5"/>
  <c r="B205" i="5"/>
  <c r="F204" i="5"/>
  <c r="B204" i="5"/>
  <c r="F203" i="5"/>
  <c r="B203" i="5"/>
  <c r="F202" i="5"/>
  <c r="B202" i="5"/>
  <c r="F201" i="5"/>
  <c r="B201" i="5"/>
  <c r="F200" i="5"/>
  <c r="B200" i="5"/>
  <c r="F199" i="5"/>
  <c r="B199" i="5"/>
  <c r="F198" i="5"/>
  <c r="B198" i="5"/>
  <c r="F197" i="5"/>
  <c r="B197" i="5"/>
  <c r="F196" i="5"/>
  <c r="B196" i="5"/>
  <c r="F195" i="5"/>
  <c r="F194" i="5"/>
  <c r="B194" i="5"/>
  <c r="F193" i="5"/>
  <c r="B193" i="5"/>
  <c r="F192" i="5"/>
  <c r="F191" i="5"/>
  <c r="B191" i="5"/>
  <c r="F190" i="5"/>
  <c r="B190" i="5"/>
  <c r="F189" i="5"/>
  <c r="B189" i="5"/>
  <c r="F188" i="5"/>
  <c r="B188" i="5"/>
  <c r="F187" i="5"/>
  <c r="B187" i="5"/>
  <c r="F186" i="5"/>
  <c r="B186" i="5"/>
  <c r="F185" i="5"/>
  <c r="B185" i="5"/>
  <c r="F184" i="5"/>
  <c r="B184" i="5"/>
  <c r="F183" i="5"/>
  <c r="B183" i="5"/>
  <c r="F182" i="5"/>
  <c r="B182" i="5"/>
  <c r="F181" i="5"/>
  <c r="B181" i="5"/>
  <c r="F180" i="5"/>
  <c r="B180" i="5"/>
  <c r="F179" i="5"/>
  <c r="B179" i="5"/>
  <c r="F178" i="5"/>
  <c r="B178" i="5"/>
  <c r="F177" i="5"/>
  <c r="B177" i="5"/>
  <c r="F176" i="5"/>
  <c r="B176" i="5"/>
  <c r="F175" i="5"/>
  <c r="B175" i="5"/>
  <c r="F174" i="5"/>
  <c r="B174" i="5"/>
  <c r="F173" i="5"/>
  <c r="B173" i="5"/>
  <c r="F172" i="5"/>
  <c r="B172" i="5"/>
  <c r="F171" i="5"/>
  <c r="F170" i="5"/>
  <c r="F169" i="5"/>
  <c r="F168" i="5"/>
  <c r="F167" i="5"/>
  <c r="F166" i="5"/>
  <c r="F165" i="5"/>
  <c r="F164" i="5"/>
  <c r="F163" i="5"/>
  <c r="F162" i="5"/>
  <c r="F161" i="5"/>
  <c r="F160" i="5"/>
  <c r="F159" i="5"/>
  <c r="F158" i="5"/>
  <c r="B158" i="5"/>
  <c r="F157" i="5"/>
  <c r="B157" i="5"/>
  <c r="F156" i="5"/>
  <c r="B156" i="5"/>
  <c r="F155" i="5"/>
  <c r="B155" i="5"/>
  <c r="F154" i="5"/>
  <c r="B154" i="5"/>
  <c r="F153" i="5"/>
  <c r="B153" i="5"/>
  <c r="F152" i="5"/>
  <c r="B152" i="5"/>
  <c r="F151" i="5"/>
  <c r="B151" i="5"/>
  <c r="F150" i="5"/>
  <c r="B150" i="5"/>
  <c r="F149" i="5"/>
  <c r="B149" i="5"/>
  <c r="F148" i="5"/>
  <c r="B148" i="5"/>
  <c r="F147" i="5"/>
  <c r="F146" i="5"/>
  <c r="B146" i="5"/>
  <c r="F145" i="5"/>
  <c r="F144" i="5"/>
  <c r="F143" i="5"/>
  <c r="F142" i="5"/>
  <c r="F141" i="5"/>
  <c r="B141" i="5"/>
  <c r="F140" i="5"/>
  <c r="B140" i="5"/>
  <c r="F139" i="5"/>
  <c r="B139" i="5"/>
  <c r="F138" i="5"/>
  <c r="B138" i="5"/>
  <c r="F137" i="5"/>
  <c r="F136" i="5"/>
  <c r="F135" i="5"/>
  <c r="B135" i="5"/>
  <c r="F134" i="5"/>
  <c r="B134" i="5"/>
  <c r="F133" i="5"/>
  <c r="B133" i="5"/>
  <c r="F132" i="5"/>
  <c r="F131" i="5"/>
  <c r="B131" i="5"/>
  <c r="F130" i="5"/>
  <c r="F129" i="5"/>
  <c r="F128" i="5"/>
  <c r="F127" i="5"/>
  <c r="F126" i="5"/>
  <c r="B126" i="5"/>
  <c r="F125" i="5"/>
  <c r="F124" i="5"/>
  <c r="B124" i="5"/>
  <c r="F123" i="5"/>
  <c r="B123" i="5"/>
  <c r="F122" i="5"/>
  <c r="B122" i="5"/>
  <c r="F121" i="5"/>
  <c r="F120" i="5"/>
  <c r="B120" i="5"/>
  <c r="F119" i="5"/>
  <c r="B119" i="5"/>
  <c r="F118" i="5"/>
  <c r="B118" i="5"/>
  <c r="F117" i="5"/>
  <c r="B117" i="5"/>
  <c r="F116" i="5"/>
  <c r="B116" i="5"/>
  <c r="F115" i="5"/>
  <c r="F114" i="5"/>
  <c r="B114" i="5"/>
  <c r="F113" i="5"/>
  <c r="F112" i="5"/>
  <c r="B112" i="5"/>
  <c r="F111" i="5"/>
  <c r="B111" i="5"/>
  <c r="F110" i="5"/>
  <c r="F109" i="5"/>
  <c r="B109" i="5"/>
  <c r="F108" i="5"/>
  <c r="B108" i="5"/>
  <c r="F107" i="5"/>
  <c r="B107" i="5"/>
  <c r="F106" i="5"/>
  <c r="B106" i="5"/>
  <c r="F105" i="5"/>
  <c r="B105" i="5"/>
  <c r="F104" i="5"/>
  <c r="B104" i="5"/>
  <c r="F103" i="5"/>
  <c r="B103" i="5"/>
  <c r="F102" i="5"/>
  <c r="B102" i="5"/>
  <c r="F101" i="5"/>
  <c r="B101" i="5"/>
  <c r="F100" i="5"/>
  <c r="B100" i="5"/>
  <c r="F99" i="5"/>
  <c r="B99" i="5"/>
  <c r="F98" i="5"/>
  <c r="B98" i="5"/>
  <c r="F97" i="5"/>
  <c r="F96" i="5"/>
  <c r="F95" i="5"/>
  <c r="F94" i="5"/>
  <c r="F93" i="5"/>
  <c r="F92" i="5"/>
  <c r="B92" i="5"/>
  <c r="F91" i="5"/>
  <c r="B91" i="5"/>
  <c r="F90" i="5"/>
  <c r="B90" i="5"/>
  <c r="F89" i="5"/>
  <c r="B89" i="5"/>
  <c r="F88" i="5"/>
  <c r="B88" i="5"/>
  <c r="F87" i="5"/>
  <c r="B87" i="5"/>
  <c r="F86" i="5"/>
  <c r="B86" i="5"/>
  <c r="F85" i="5"/>
  <c r="B85" i="5"/>
  <c r="F84" i="5"/>
  <c r="B84" i="5"/>
  <c r="F83" i="5"/>
  <c r="B83" i="5"/>
  <c r="F82" i="5"/>
  <c r="B82" i="5"/>
  <c r="F81" i="5"/>
  <c r="B81" i="5"/>
  <c r="F80" i="5"/>
  <c r="B80" i="5"/>
  <c r="F79" i="5"/>
  <c r="F78" i="5"/>
  <c r="F77" i="5"/>
  <c r="F76" i="5"/>
  <c r="F75" i="5"/>
  <c r="F74" i="5"/>
  <c r="B74" i="5"/>
  <c r="F73" i="5"/>
  <c r="B73" i="5"/>
  <c r="F72" i="5"/>
  <c r="B72" i="5"/>
  <c r="F71" i="5"/>
  <c r="B71" i="5"/>
  <c r="F70" i="5"/>
  <c r="B70" i="5"/>
  <c r="F69" i="5"/>
  <c r="B69" i="5"/>
  <c r="F68" i="5"/>
  <c r="B68" i="5"/>
  <c r="F67" i="5"/>
  <c r="B67" i="5"/>
  <c r="F66" i="5"/>
  <c r="B66" i="5"/>
  <c r="F65" i="5"/>
  <c r="B65" i="5"/>
  <c r="F64" i="5"/>
  <c r="F63" i="5"/>
  <c r="F62" i="5"/>
  <c r="F61" i="5"/>
  <c r="F60" i="5"/>
  <c r="F59" i="5"/>
  <c r="F58" i="5"/>
  <c r="F57" i="5"/>
  <c r="F56" i="5"/>
  <c r="F55" i="5"/>
  <c r="F54" i="5"/>
  <c r="F53" i="5"/>
  <c r="F52" i="5"/>
  <c r="F51" i="5"/>
  <c r="B51" i="5"/>
  <c r="F50" i="5"/>
  <c r="B50" i="5"/>
  <c r="F49" i="5"/>
  <c r="B49" i="5"/>
  <c r="F48" i="5"/>
  <c r="B48" i="5"/>
  <c r="F47" i="5"/>
  <c r="B47" i="5"/>
  <c r="F46" i="5"/>
  <c r="B46" i="5"/>
  <c r="F45" i="5"/>
  <c r="F44" i="5"/>
  <c r="B44" i="5"/>
  <c r="F43" i="5"/>
  <c r="B43" i="5"/>
  <c r="F42" i="5"/>
  <c r="B42" i="5"/>
  <c r="F41" i="5"/>
  <c r="B41" i="5"/>
  <c r="F40" i="5"/>
  <c r="B40" i="5"/>
  <c r="F39" i="5"/>
  <c r="B39" i="5"/>
  <c r="F38" i="5"/>
  <c r="B38" i="5"/>
  <c r="F37" i="5"/>
  <c r="F36" i="5"/>
  <c r="F35" i="5"/>
  <c r="F34" i="5"/>
  <c r="F33" i="5"/>
  <c r="F32" i="5"/>
  <c r="F31" i="5"/>
  <c r="F30" i="5"/>
  <c r="B30" i="5"/>
  <c r="F29" i="5"/>
  <c r="B29" i="5"/>
  <c r="F28" i="5"/>
  <c r="B28" i="5"/>
  <c r="F27" i="5"/>
  <c r="B27" i="5"/>
  <c r="F26" i="5"/>
  <c r="B26" i="5"/>
  <c r="F25" i="5"/>
  <c r="B25" i="5"/>
  <c r="F24" i="5"/>
  <c r="B24" i="5"/>
  <c r="F23" i="5"/>
  <c r="B23" i="5"/>
  <c r="F22" i="5"/>
  <c r="B22" i="5"/>
  <c r="F21" i="5"/>
  <c r="B21" i="5"/>
  <c r="F20" i="5"/>
  <c r="B20" i="5"/>
  <c r="F19" i="5"/>
  <c r="B19" i="5"/>
  <c r="F18" i="5"/>
  <c r="B18" i="5"/>
  <c r="F17" i="5"/>
  <c r="B17" i="5"/>
  <c r="F16" i="5"/>
  <c r="B16" i="5"/>
  <c r="F15" i="5"/>
  <c r="B15" i="5"/>
  <c r="F14" i="5"/>
  <c r="B14" i="5"/>
  <c r="F13" i="5"/>
  <c r="B13" i="5"/>
  <c r="F12" i="5"/>
  <c r="F11" i="5"/>
  <c r="F10" i="5"/>
  <c r="F9" i="5"/>
  <c r="F8" i="5"/>
  <c r="F7" i="5"/>
  <c r="F6" i="5"/>
  <c r="B6" i="5"/>
  <c r="F5" i="5"/>
  <c r="B5" i="5"/>
  <c r="F4" i="5"/>
  <c r="B4" i="5"/>
  <c r="F3" i="5"/>
  <c r="B3" i="5"/>
  <c r="F2" i="5"/>
  <c r="B2" i="5"/>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alcChain>
</file>

<file path=xl/sharedStrings.xml><?xml version="1.0" encoding="utf-8"?>
<sst xmlns="http://schemas.openxmlformats.org/spreadsheetml/2006/main" count="12470" uniqueCount="4302">
  <si>
    <r>
      <rPr>
        <sz val="10.5"/>
        <color rgb="FF000000"/>
        <rFont val="Calibri"/>
        <family val="2"/>
      </rPr>
      <t xml:space="preserve"> </t>
    </r>
    <r>
      <rPr>
        <b/>
        <sz val="30"/>
        <color rgb="FFF54A45"/>
        <rFont val="Calibri"/>
        <family val="2"/>
      </rPr>
      <t>每月22号锁定！</t>
    </r>
  </si>
  <si>
    <r>
      <rPr>
        <sz val="10.5"/>
        <color rgb="FF000000"/>
        <rFont val="Calibri"/>
        <family val="2"/>
      </rPr>
      <t>1.VAL_DRIVER_DRIVE_BUS新增“DrvVoiceTimeGapAdjReq”和“DrvVoiceTimeGapAdjReqValue”用于语音控制调整时距，新增“BrkPedalStroke”用于AEB对制动踏板的判断
2.根据someIP版本，</t>
    </r>
    <r>
      <rPr>
        <b/>
        <sz val="10.5"/>
        <color rgb="FF000000"/>
        <rFont val="Calibri"/>
        <family val="2"/>
      </rPr>
      <t>T1GC接口</t>
    </r>
    <r>
      <rPr>
        <sz val="10.5"/>
        <color rgb="FF000000"/>
        <rFont val="Calibri"/>
        <family val="2"/>
      </rPr>
      <t>中新增"SysIn_DMC_DrivingControl"接口和其结构体定义
3.VAL模块新增接收"AEB_TAROBJ"接口</t>
    </r>
  </si>
  <si>
    <r>
      <rPr>
        <sz val="10.5"/>
        <color rgb="FF000000"/>
        <rFont val="Calibri"/>
        <family val="2"/>
      </rPr>
      <t xml:space="preserve">内容描述
</t>
    </r>
    <r>
      <rPr>
        <sz val="10.5"/>
        <color rgb="FF000000"/>
        <rFont val="Calibri"/>
        <family val="2"/>
      </rPr>
      <t>Details Description</t>
    </r>
  </si>
  <si>
    <r>
      <rPr>
        <sz val="10.5"/>
        <color rgb="FF000000"/>
        <rFont val="Calibri"/>
        <family val="2"/>
      </rPr>
      <t>由于UDP落盘带宽问题
1.调整E01的someIP接口LaneLineList_2结构简化为</t>
    </r>
    <r>
      <rPr>
        <b/>
        <sz val="10.5"/>
        <color rgb="FF000000"/>
        <rFont val="Calibri"/>
        <family val="2"/>
      </rPr>
      <t>8</t>
    </r>
    <r>
      <rPr>
        <sz val="10.5"/>
        <color rgb="FF000000"/>
        <rFont val="Calibri"/>
        <family val="2"/>
      </rPr>
      <t>；
2.调整E01的someIP接口LaneLineList及其结构体定义，删除，此内容在本项目不使用
3.调整E01的someIP接口DynamicObjectList结构简化为</t>
    </r>
    <r>
      <rPr>
        <b/>
        <sz val="10.5"/>
        <color rgb="FF000000"/>
        <rFont val="Calibri"/>
        <family val="2"/>
      </rPr>
      <t>10</t>
    </r>
    <r>
      <rPr>
        <sz val="10.5"/>
        <color rgb="FF000000"/>
        <rFont val="Calibri"/>
        <family val="2"/>
      </rPr>
      <t>维；
4.调整E01的someIP接口StaticObjectList结构简化为</t>
    </r>
    <r>
      <rPr>
        <b/>
        <sz val="10.5"/>
        <color rgb="FF000000"/>
        <rFont val="Calibri"/>
        <family val="2"/>
      </rPr>
      <t>10</t>
    </r>
    <r>
      <rPr>
        <sz val="10.5"/>
        <color rgb="FF000000"/>
        <rFont val="Calibri"/>
        <family val="2"/>
      </rPr>
      <t>维；</t>
    </r>
  </si>
  <si>
    <r>
      <rPr>
        <sz val="10.5"/>
        <color rgb="FF000000"/>
        <rFont val="Calibri"/>
        <family val="2"/>
      </rPr>
      <t>由于spi通讯带宽问题
1.SomeIP_LaneLine_2_BUS删除</t>
    </r>
    <r>
      <rPr>
        <b/>
        <sz val="10.5"/>
        <color rgb="FF000000"/>
        <rFont val="Calibri"/>
        <family val="2"/>
      </rPr>
      <t>型点和预留信息</t>
    </r>
    <r>
      <rPr>
        <sz val="10.5"/>
        <color rgb="FF000000"/>
        <rFont val="Calibri"/>
        <family val="2"/>
      </rPr>
      <t>[LinePointList][LaneLineReserved]</t>
    </r>
  </si>
  <si>
    <r>
      <rPr>
        <sz val="10.5"/>
        <color rgb="FF000000"/>
        <rFont val="Calibri"/>
        <family val="2"/>
      </rPr>
      <t xml:space="preserve">0x0: Off
0x1: Passive
0x2: Ready
0x3: Active control
</t>
    </r>
    <r>
      <rPr>
        <strike/>
        <sz val="10.5"/>
        <color rgb="FF000000"/>
        <rFont val="Calibri"/>
        <family val="2"/>
      </rPr>
      <t xml:space="preserve">0x4: Longitudinal Suspend
0x5: Lateral Suspend
0x6: Safe stop
</t>
    </r>
    <r>
      <rPr>
        <sz val="10.5"/>
        <color rgb="FF000000"/>
        <rFont val="Calibri"/>
        <family val="2"/>
      </rPr>
      <t>0x7: Failure</t>
    </r>
  </si>
  <si>
    <r>
      <t xml:space="preserve">透传J3信号：pro_flag     </t>
    </r>
    <r>
      <rPr>
        <u/>
        <sz val="10.5"/>
        <color theme="10"/>
        <rFont val="Calibri"/>
        <family val="2"/>
      </rPr>
      <t>3.1 SPI_Route需求文档</t>
    </r>
    <r>
      <rPr>
        <sz val="10"/>
        <color theme="1"/>
        <rFont val="等线"/>
        <family val="2"/>
        <scheme val="minor"/>
      </rPr>
      <t xml:space="preserve"> </t>
    </r>
  </si>
  <si>
    <r>
      <rPr>
        <u/>
        <sz val="10.5"/>
        <color theme="10"/>
        <rFont val="Calibri"/>
        <family val="2"/>
      </rPr>
      <t>3.1 SPI_Route需求文档</t>
    </r>
    <r>
      <rPr>
        <sz val="10"/>
        <color theme="1"/>
        <rFont val="等线"/>
        <family val="2"/>
        <scheme val="minor"/>
      </rPr>
      <t xml:space="preserve"> </t>
    </r>
  </si>
  <si>
    <r>
      <t xml:space="preserve">透传J3信号：ramp          </t>
    </r>
    <r>
      <rPr>
        <u/>
        <sz val="10.5"/>
        <color theme="10"/>
        <rFont val="Calibri"/>
        <family val="2"/>
      </rPr>
      <t>3.1 SPI_Route需求文档</t>
    </r>
    <r>
      <rPr>
        <sz val="10"/>
        <color theme="1"/>
        <rFont val="等线"/>
        <family val="2"/>
        <scheme val="minor"/>
      </rPr>
      <t xml:space="preserve"> </t>
    </r>
  </si>
  <si>
    <r>
      <rPr>
        <sz val="10.5"/>
        <color rgb="FF000000"/>
        <rFont val="Calibri"/>
        <family val="2"/>
      </rPr>
      <t xml:space="preserve">0x0:no request
0x1:The front car has started
0x2:The front car has started,Please pay attention to the road environmentahead
0x3:The front car has started,please keep your attention
</t>
    </r>
    <r>
      <rPr>
        <b/>
        <sz val="10.5"/>
        <color rgb="FF000000"/>
        <rFont val="Calibri"/>
        <family val="2"/>
      </rPr>
      <t>0x4:The front car has started,please take over the car</t>
    </r>
  </si>
  <si>
    <r>
      <rPr>
        <sz val="10.5"/>
        <color rgb="FF000000"/>
        <rFont val="Calibri"/>
        <family val="2"/>
      </rPr>
      <t xml:space="preserve">天气
0：普通 
1：小雨 
</t>
    </r>
    <r>
      <rPr>
        <b/>
        <sz val="10.5"/>
        <color rgb="FF000000"/>
        <rFont val="Calibri"/>
        <family val="2"/>
      </rPr>
      <t xml:space="preserve">2：暴雨 
</t>
    </r>
    <r>
      <rPr>
        <sz val="10.5"/>
        <color rgb="FF000000"/>
        <rFont val="Calibri"/>
        <family val="2"/>
      </rPr>
      <t xml:space="preserve">3：雪天
</t>
    </r>
    <r>
      <rPr>
        <b/>
        <sz val="10.5"/>
        <color rgb="FF000000"/>
        <rFont val="Calibri"/>
        <family val="2"/>
      </rPr>
      <t>4：雾天</t>
    </r>
  </si>
  <si>
    <r>
      <t>故障码定义范围表：</t>
    </r>
    <r>
      <rPr>
        <u/>
        <sz val="10.5"/>
        <color theme="10"/>
        <rFont val="Calibri"/>
        <family val="2"/>
      </rPr>
      <t>Pilot3.1 SystemMonitor Detail Design File</t>
    </r>
    <r>
      <rPr>
        <sz val="10"/>
        <color theme="1"/>
        <rFont val="等线"/>
        <family val="2"/>
        <scheme val="minor"/>
      </rPr>
      <t xml:space="preserve"> </t>
    </r>
  </si>
  <si>
    <t>填表须知</t>
  </si>
  <si>
    <t>1. 不随车型变换的平台化接口和数据类型，填写到Interface_Platform和DataType_Platform中；和车型相关的接口和数据类型填写到Interface_T1GC和DataType_T1GC中
2. 输入Port和对应的输出Port要求同名（Interface-C列）
3. Port上的成员真正的数据类型是其对应的Rte_Type（Interface-D列）
4. 若接口需要缓存队列，对应的IsQueued（Interface-H列）置为Y，并且填写QueueLength（Interface-I列）,PR Port需保持一致
5. 如果需要获取接口在上次读取后是否被更新，可以将对应的IsUpdated(Interface-L列)置为Y
6. 数组类型的成员，需要在Interface表格中将F列填写为rt_Array_XXX_YYY,XXX为对应每个成员的数据类型,YYY为数组长度；
   同时在DataType表格中对数组类型进行定义，填写结构体名称（A列），DataType(D列)和Dimensions（E列），名称为rt_Array_XXX_YYY，DataType为XXX，Dimensions为YYY
7. 结构体类型的成员，在DataType表格中起始列填写结构体名称（A列）和DataType(D列)，DataType写为Struct
   接下来的几行填写Member成员信息(C列)及其成员类型（D列）。
8. 枚举类型的成员，在DataType表格中起始列填写结构体名称（A列）和DataType(D列)，DataType写为Enum
   接下来的几行填写枚举的定义(C列)和对应值（D列）
9. 修改表格后请同步修改ChangeHistory，会同步到arxml的log中
10.建议swc名称遵循autosar_swc_xxx格式，周期runnable名称遵循autosar_swc_xxx_Step格式</t>
  </si>
  <si>
    <t>版本
Version</t>
  </si>
  <si>
    <t>状态
Status</t>
  </si>
  <si>
    <t>编制人
Author</t>
  </si>
  <si>
    <t>编制日期
Modify Data</t>
  </si>
  <si>
    <t>批准人
Approval</t>
  </si>
  <si>
    <t>批准日期
Approval Data</t>
  </si>
  <si>
    <t>T1GC</t>
  </si>
  <si>
    <t>E01</t>
  </si>
  <si>
    <t>0.0</t>
  </si>
  <si>
    <t>Draft</t>
  </si>
  <si>
    <t>程振宁</t>
  </si>
  <si>
    <t>初版，删除部分无用接口</t>
  </si>
  <si>
    <t>merged</t>
  </si>
  <si>
    <t>姜宝祥</t>
  </si>
  <si>
    <t>补充新版融合接口，仅包含输出接口</t>
  </si>
  <si>
    <t>李一凡</t>
  </si>
  <si>
    <t>修复新版融合接口错误，增加enum定义。</t>
  </si>
  <si>
    <t>调整融合输出结构体为header+elem</t>
  </si>
  <si>
    <t>杨克强</t>
  </si>
  <si>
    <t>1.信号虚拟模块的signal_adapt名字更新回val
2.hmi_adapter模块更名回HMI
3.删除部分无用的“Data Type Name”，如[VCAN_AcmBody_MSG_BUS/VCAN_Bodystatus_MSG_BUS/VCAN_BCUsts_MSG_BUS/VCAN_Motorsts_02_MSG_BUS/VCAN_Motorsts_01_MSG_BUS/VCAN_ABS_ESP_1_MSG_BUS/VCAN_ABS_ESP_3_MSG_BUS/VCAN_ABS_ESP_4_MSG_BUS/VCAN_ABS_ESP_7_MSG_BUS/VCAN_ABS_ESP_8_MSG_BUS/VCAN_BCM_1_MSG_BUS/VCAN_DMS_1_MSG_BUS/
4.autosar_swc_nvmadapter融入val模块，即nvme模块的输入输出增加至val模块
5.新增VAL模块输出接口（someIP相关内容）
6.新增VAL模块输入接口（someIP相关内容）
7.新增VAL模块输入接口（控制相关信号）
8.新增VAL模块输出接口（控制相关信号）
9.删除VAL的原chery相关HMI接口
10.删除J3-swc相关内容，后续增加在VAL
11.新增DAI功能开关，更新VAL_Chery_SWITCH_RESP_BUS为VAL_SWITCH_RESP_BUS</t>
  </si>
  <si>
    <t>王亚伟</t>
  </si>
  <si>
    <t>1、修改rlgs输入输出端口名；
2、删除RFM的输入接口</t>
  </si>
  <si>
    <t>王程</t>
  </si>
  <si>
    <t>1 增加 LONP_TrajPolyPara输出 datatype为 LONP_TrajPolyPara_BUS
2 增加 LONC_ACCReq输出 datatype为 LONC_ACCReq_BUS ,输入增加LONP_TrajPolyPara</t>
  </si>
  <si>
    <t>swc_tos 接口变更
1 删除接口；(RFM_LINE_L1,RFM_LINE_L2,RFM_LINE_L3,RFM_LINE_R1,RFM_LINE_R2,RFM_LINE_R3,RFM_LINE_CL,RFM_LINE_LB,RFM_LINE_RB、EMA_JunctionExist);
2 新增接口；
LATP_TARLINE；LATP_TARPATH；</t>
  </si>
  <si>
    <t>李杭</t>
  </si>
  <si>
    <t>LATC输出接口变更
接口LATC_CTRL_OUT_BUS中增加成员LATC_IFCSteerMaxTqReq，LATC_IFCSteerMinTqReq</t>
  </si>
  <si>
    <t>VAL模块输出的J3信号接口更新，将其他模块的查找替换</t>
  </si>
  <si>
    <t>在EHRV2_SEGMENT_INFO_BUS增加road_type信号</t>
  </si>
  <si>
    <t>LATP添加接口VAL_J3_TFL，VAL_J3_RM
删除接口EMA_JunctionExist</t>
  </si>
  <si>
    <t>更新【SysOut_SWITCH_RESP_BUS】和【SysOut_SWITCH_RESP_BUS】中的DAIOnOff数据类型为uint8</t>
  </si>
  <si>
    <t>VAL模块新增[LONC_CTRL_OUT][LONC_VLC_InternalAcc][ICAS_HMI][LAS_HMI][CSM_TSR_HMI]几个inport接口，作为后续使用</t>
  </si>
  <si>
    <t>1、EHRV2_NAV_LANE_BUS增加车道拓扑信号信息is_vaild、first_predecessor_num、last_predecessor_num、on_route_flag和backup，并将维度改为10；
2、EHRV2*的距离信号数据类型都改为int32;
3、修改EHRV2_DYNAMIC_INFO_BUS交通拥堵终点信号名为dist_jam_end；
4、将EHRV2_LANE_INFO信号的EHRV2_NAV_LANE_BUS维度改为20，并同步修改rt_Array_EHRV2_NAV_LANE_BUS_20名称和维度，保持Interface和DataTye统一；
5、PG_PATH_BUS增加道路预测信号Predict_end和Predict_attribute</t>
  </si>
  <si>
    <t>1、将EHRV2_EGO_POSE_BUS中的信号ego_posn_conf_from_left和ego_posn_conf_from_right改为浮点类型</t>
  </si>
  <si>
    <t>1、在EHRV2_HDR_BUS增加RolingCnt信号；2、在EHRV2_NAV_LANE_BUS增加straight_lane_num和is_possible_lost信号</t>
  </si>
  <si>
    <t>1 将TOS输出接口中，objec_ID(所有接口)数据类型变更为uint32,objec_age变更为uint64（hwa接口）
2 增加目标绝对纵向加速度属性；</t>
  </si>
  <si>
    <t>1 增加AEB模块的AEB的输入输出</t>
  </si>
  <si>
    <t>1、在EHRV2_NAV_STUB_BUS增加is_on_rout信号</t>
  </si>
  <si>
    <t>1、删除EHRV2_EGO_POSE_BUS中重复的has_emergency_lane信号；2、在EHRV2_SEGMENT_INFO_BUS中增加road_class和road_form_of_way信号。</t>
  </si>
  <si>
    <t>根据数据回传要求在PSM_DATACLCT_BUS增加回传信号</t>
  </si>
  <si>
    <t>1.ICAS_STATE_BUS新增DAI_ModeDisp信号
2.ICAS_HMI_BUS新增DAI_ModeDisp信号
3.HMI_GENERAL_INFO_BUS新增DAI_Status信号
4.HMI模块新增VAL_DRIVER_DRIVE接口</t>
  </si>
  <si>
    <t>删除fsm，FSM_FuncStatus改名为TOP_FuncStatus</t>
  </si>
  <si>
    <t>朱莫武</t>
  </si>
  <si>
    <t>新增sm模块</t>
  </si>
  <si>
    <t>王朝辉</t>
  </si>
  <si>
    <t>新增信号
1.EHRV2_HEADER_BUS  lanetracker输出信号
2.VEHICLE_SENSOR_INFO_BUS DR输入信号
3.MapFusionLoc_BUS DR输出信号/lanetracker输入信号
4.MapTopologyInfo_BUS lanetracker输入信号</t>
  </si>
  <si>
    <t>朱秋娴</t>
  </si>
  <si>
    <t>新增各模块与SM交互接口，修改表格格式问题</t>
  </si>
  <si>
    <t xml:space="preserve">1、添加 SM_CORE_INFO  SM_TASK_INFO  SM_STATUS三个结构体数据类型
2、autosar_swc_sm模块添加SM_status output port </t>
  </si>
  <si>
    <t>1、SM_HEART_BEAT_INFO 添加swc_id成员</t>
  </si>
  <si>
    <t>新增信号
1.TOS新增输出信号TOS_IE_Nudge、TOS_JunctionExist
2.LATP新增输入信号TOS_IE_Nudge、TOS_JunctionExist</t>
  </si>
  <si>
    <t>新增接口：
1 TOS新增输入信号:VAL_J3_RM、VAL_J3_TFL、PSM_STATE、ICAS_STATE、VAL_DRIVER_SWITCH、VAL_DRIVER_SWITCH</t>
  </si>
  <si>
    <t>rlgs模块增加输入VAL_VEHICLE_PARTS</t>
  </si>
  <si>
    <t>1、将 autosar_swc_sm_Mainfunction 修改为 autosar_swc_sm_Step</t>
  </si>
  <si>
    <t>1、修改LATC、LATP、LONC、LONP的输入输出接口
2、添加新的结构体</t>
  </si>
  <si>
    <t>1、合并lonp和latp为vmp
2、合并latc和lonc为vmp
3、新增上出模块接口，VMC_*  VMP_*
4、调整ICAS_STATE_BUS
5、修改rlgs输出，EVM_*
6、修改tos输出，EVM_*</t>
  </si>
  <si>
    <t>马少平</t>
  </si>
  <si>
    <t>1. mapengine 增加ehp故障码的输入</t>
  </si>
  <si>
    <t xml:space="preserve">1、autosar_swc_sm 模块添加 StbM_TimeStamp INport </t>
  </si>
  <si>
    <t>卢飞宏</t>
  </si>
  <si>
    <t>1. 新建autosar_swc_fusion_data_cache_Step 周期0.01，用于保存传感器数据
2. 底软需提供互斥锁接口</t>
  </si>
  <si>
    <t>修改autosar_swc_vmp的EVM_LANE_NUDGE输入为2维度数组</t>
  </si>
  <si>
    <t>修改MapEngineEhrV2InputShortProfileInfoMcu_BUS的value0和value1为uint32</t>
  </si>
  <si>
    <t>新增数据回传swc的内容</t>
  </si>
  <si>
    <t>1. 融合接入的自车信号改为 VAL_VEHICLE_STATE_BUS。
2. 融合的所有输入都从队列形式改为非队列（包含自车信息，J3_Lane，J3_Obstacle，5个radar）
3.VAL删除VAL_VEH_MOTION_BUS队列端口和bus定义（ykq）
4. VAL删除J3_LANE_QUEUE 和 J3_Obstacle_QUEUE
5. 融合接入的J3_LANE_QUEUE 改为 J3_LANE；J3_Obstacle_QUEUE改为J3_Obstacle
6. 融合接入的radar信号PORTNAME改为
FRONT_RADAR
CORNER_RADAR_FL
CORNER_RADAR_FR
CORNER_RADAR_RL
CORNER_RADAR_RR</t>
  </si>
  <si>
    <t>增加AEB输出AEB_EDRType</t>
  </si>
  <si>
    <t>修改VMP_STS_BUS中lc_req_sync_id的类型为uint32,EVM_DECS_BUS中host_lane_idx维度改成1维
EVM_NUDGE_BUS中添加nudge_type，VMP_STS_BUS中添加nudge_exec_sts表示避让执行状态
删除LATP_HMI_BUS中礼让显示信息</t>
  </si>
  <si>
    <t xml:space="preserve">1、修改DFIM_FUNC_ERR 为 DFIM_FUNC_ERR
2、修改DFIM_FUNC_ERR_BUS 为 DFIM_FUNC_ERR_BUS
3、修改autosar_swc_diag为 autosar_swc_dfim
4、修改auto_swc_diag的  initiate 和  step  为dfim </t>
  </si>
  <si>
    <t>增加输出接口TOS_SecondSele_Object、增加输入接口VAL_VEHICLE_PARTS</t>
  </si>
  <si>
    <t>融合的输入信号 增加update的判断</t>
  </si>
  <si>
    <t>更新someIP接口的动态和静态目标维度为9维</t>
  </si>
  <si>
    <t>1、SM_STATUS添加  mcu_ver cal_ver fbl_ver mcu_info 四个属性 合计60个字节</t>
  </si>
  <si>
    <t>魏宇</t>
  </si>
  <si>
    <t>1. 新增E01功能安全模块autosar_swc_fusamonitor
2. 新增加E01功能安全模块autosar_swc_fusamonitor输入ports和输出ports
3. 新增加E01功能安全DataType(FM_SAF_OUT_BUS,SftyErrInfoType,Fusa_CAN_E2E_BUS等)
4. 为autosar_swc_val新增加E01功能安全输入接口FM_SAF_OUT</t>
  </si>
  <si>
    <t>新增PortType支持CS接口</t>
  </si>
  <si>
    <t>修改EVM_NUDGE_BUS定义，适配LCC新需求</t>
  </si>
  <si>
    <t>EVM_ROAD_CURVE_BUS变更为EVM_ROAD_BUS，扩充属性
TOS增加EVM_ROAD_BUS输入</t>
  </si>
  <si>
    <t>董少毅</t>
  </si>
  <si>
    <t>1. J3_LANE_BUS中增加J3_Lane_Extra_Type_BUS，用于表示车道线线型变化的点
2. J3_Obstacle_ELEM_BUS增加两个变量pro_flag、ramp</t>
  </si>
  <si>
    <t>TOS_AEB中增加pro_flag、ramp信号</t>
  </si>
  <si>
    <t>1. 融合输出：FusionObject_COM 中新增两个变量——pro_flag、ramp
2. 融合输出：ObjClassType新增——MOTORCYCLE、TRICYCLE、BICYCLIST、MOTORCYCLIST、TRICYCLIST</t>
  </si>
  <si>
    <t>增加EVM_TRAFFIC_SCEN接口</t>
  </si>
  <si>
    <t>dataclct增加TOS_ACCP0接口</t>
  </si>
  <si>
    <t>宋琨鹏</t>
  </si>
  <si>
    <t>添加E01 someip 接口</t>
  </si>
  <si>
    <t>添加E01 角radar接口，两个后角radar，信号矩阵和pilot2.0基本一致；视觉、融合接口沿用T1GC</t>
  </si>
  <si>
    <t>VAL_VEHICLE_FUNC中加两个原车雷达本身的(RadarELKsts和RadarBSDsts）</t>
  </si>
  <si>
    <t>VAL新增接收“TOP_FuncStatus”接口；
T1GC项目新增接收“2个角雷达私can报文”“APA相关接口信息”，新增输出“ARBN_Feedback”</t>
  </si>
  <si>
    <t>VAL ARBN_Feedback输出从T1GC挪到Platform
AEB 新增ARBN_Feedback输入接口</t>
  </si>
  <si>
    <t>SM模块新增数据类型SM_MCU_ExcpInfo</t>
  </si>
  <si>
    <t>J3_Road_Information_BUS新增CrossWalkValid、CrossWalkCoor和CrossWalkBox信号</t>
  </si>
  <si>
    <t>谢新天</t>
  </si>
  <si>
    <t>HMI_GENERAL_INFO_BUS新增TSRNoParkWarn，禁止停车报警图标闪烁</t>
  </si>
  <si>
    <t>Corner_Radar_Array_Info结构体新增FCTB和RCTB相关信号，用于VAL仲裁FCTB和RCTB等功能</t>
  </si>
  <si>
    <t>角radar目标数量从16个改成32个</t>
  </si>
  <si>
    <t>1. 删除J3_Obstacle_ELEM_BUS中的pro_flag和ramp
2. 在J3_Obstacle_BUS中增加J3_Obstacle_Extra_Bus</t>
  </si>
  <si>
    <t>1.VAL_VEHICLE_STATE_BUS中添加SteerWheelTor，用于人机共驾；
2.VAL新增输入接口：VMP_STS、PR_APA_DA_RLCR_2_Tx及其结构体定义</t>
  </si>
  <si>
    <t>TOS新增输入接口VMP_STS</t>
  </si>
  <si>
    <t>新增输出传感器错误码和融合模块错误码</t>
  </si>
  <si>
    <t>新增信号lane_change_routing_direc，表明路口需要变道的方向和次数</t>
  </si>
  <si>
    <t>1. 在sheet&lt;Interface_E01&gt;中重新调整VAL和FuSaMon的接口输入，将FuSaMon原本内部的AdapterIn调整到VAL层中进行实现，接口整体挪动，添加为VAL_SAF_FUSAIN
2. 在sheet&lt;Interface_E01&gt;为VAL新增输出接口VAL_SAF_TrigSftyAct，目标指向状态机icas
3. 在sheet&lt;Interface_E01&gt;将Fusa_CAN_E2E/Fusa_CAN_Value/Fusa_ErrID改为接入VAL进行处理
4. 为FuSaMon新增AEB监控输入接口AEB_FUSAIN，目前还未完全定义AEB_FUSAIN</t>
  </si>
  <si>
    <t>在VMP_STS_BUS中增加lc_failed_obj_id</t>
  </si>
  <si>
    <t>1.将HMI_Object接口更改为结构体数组输出，rt_Array_HMI_OBJECT_BUS_10；
2.将HMI_Lane接口更改为结构体数组输出，
3.HMI新增接收J3_TFC
4.HMI新增接收EVM_CIPV</t>
  </si>
  <si>
    <t>将&lt;Interface_E01&gt;和&lt;DataType_01&gt;中FuSaMon的接口转移到&lt;Interface_Platform&gt;和&lt;DataType_Platform&gt;中，便于FuSaMon为平台化监控软件考虑</t>
  </si>
  <si>
    <t>仅保留&lt;Interface_E01&gt;和&lt;DataType_01&gt;种非平台化接口，其余内部平台接口全部挪动至&lt;Interface_Platform&gt;</t>
  </si>
  <si>
    <t>VMP_STS_BUS中增加Lc_exec_level成员</t>
  </si>
  <si>
    <t>dataclct新增TOP_FuncStatus输入，同时Trigger_Data中新增TOP_FuncStatus输出</t>
  </si>
  <si>
    <t>RLGS增加J3 TFL输入</t>
  </si>
  <si>
    <t>1. 在Interface_Platform中fusamon接入J3_Obstacle
2. 在DataType_Platform中完善AEB功能安全接口AEB_FUSAIN_BUS</t>
  </si>
  <si>
    <t>1. 在DataType_Platform中新增了AccSwtStsE2E/AccSwtStsVld两个接口
2. 在DataType_Platform中将Ay/Ax/SteerWhlAng/YawRate转移到SysStMonIf_BUS下面</t>
  </si>
  <si>
    <t>1.E01-SOMEIP接口更新：SomeIP_NaviIntervalCameraInfo1_BUS新增限速值和限速单位，更新SomeIP_HodDmsInfo_BUS的成员，SomeIP_ADASSetting_BUS的成员更新</t>
  </si>
  <si>
    <t>T1GC接口新增“PR_APA_DA_AVM_APA_2_Tx”，用于APA的“Target_Gear_Request”和“APAEPBCtrlReq”的请求仲裁开发</t>
  </si>
  <si>
    <t>Dataclct平台接口新增fusa相关接口，10ms接口和CAN相关，具体体现到E01接口及数据类型中</t>
  </si>
  <si>
    <t>1. 在DataType_Platform中的J3_LANE_BUS下新增Crosswalk和LinePoints两个接口
2. 删除J3_RoadInformation_BUS里面的成员CrossWalkValid, CrossWalkCoor, CrossWalkBox</t>
  </si>
  <si>
    <t>1. 根据3.0需求在SysStMonIf_BUS下新增isActGearR接口
2. 根据3.0需求在Fusa_Cam_1_Module_Res_BUS变更子结构
3. 根据3.0需求在Fusa_Cam_1_Ser_Res_BUS变更子结构
4. 根据3.0需求在Mcu_U2A16_Res_BUS变更子结构</t>
  </si>
  <si>
    <t>王虎</t>
  </si>
  <si>
    <t>1.根据DFIM模块增加ISLI_err / EBA_err接口</t>
  </si>
  <si>
    <t>feature</t>
  </si>
  <si>
    <t>x</t>
  </si>
  <si>
    <t>1.根据功能需求，DFIM模块增加FCTB_err / RCTB_err / FDM_err接口</t>
  </si>
  <si>
    <t>修复EVM_TSR_SPL_BUS.Map_Ramp_SPL维度为1维</t>
  </si>
  <si>
    <t>新增VAL输出VAL_ICC_NAV接口，新增RLGS输入VAL_ICC_NAV接口</t>
  </si>
  <si>
    <t>1 AEB_BRKINFO_BUS新增DWReq接口，用于近距离报警
2 AEB_FUSAIN_BUS的AEBAebTarID，AebTarCamID数据类型转换
3 AEB_TAROBJ_BUS增加接口用于观测</t>
  </si>
  <si>
    <t>HMI_GENERAL_INFO_BUS新增DW_Status接口</t>
  </si>
  <si>
    <t>AEB LSS增加 VAL功能安全状态接口，适配功能安全需求</t>
  </si>
  <si>
    <t>dataclct拆分出AEB_20ms_Data接口，新增VAL_SAF_TrigSftyAct接口</t>
  </si>
  <si>
    <t>locked</t>
  </si>
  <si>
    <t>Trigger_Data_BUS中新增VehSpdKph</t>
  </si>
  <si>
    <t>基于最新的NvM需求：
1.删除[SysIn_SWITCH_Init],[SysIn_SteerAngOffsetInit],[SysIn_TSRInit],[SysIn_TimeGapInit],[SysIn_ACCStsInit],[SysIn_ICASStsInit],[SysOut_SWITCH_Init][SysOut_SteerAngOffsetInit][SysOut_TSRInit][SysOut_TimeGapInit][SysOut_ACCStsInit][SysOut_ICASStsInit]接口；
2.新增[SysIn_NvM_Read]接口，作为NvM信息读取的接口，结构体定义为“NvM_ACCESS_BUS”；
3.新增[SysOut_NvM_Write]接口，作为NvM信息输出的接口，结构体定义为“NvM_ACCESS_BUS”；</t>
  </si>
  <si>
    <t>DataType_E01
1.根据3.62版本someIP矩阵，新增SomeIP_HNOPfunctionInfo_BUS（NOPDegradeReminder）结构体定义
2.删除原有的“SomeIP_ICC_SDmapInfo“，替换为”SomeIP_ICC_SDmapInfo_2“，
并且更新其结构体定义（删除SomeIP_SDmapInfo_BUS及其内部结构体定义）
新增（SomeIP_ICC_SDmapInfo_2_BUS及其内部结构体定义）
3.删除部分预留信息：[ISLIInfoReserved] [ LSSInfoReserved] [ DrivingSoundReserved] [IHCInfoReserved][ActiveSafetyFcnReserved][</t>
  </si>
  <si>
    <t>修改autosar_swc_dataclct中FM_SAF_OUT_Last为FM_SAF_OUT</t>
  </si>
  <si>
    <t>基于SPI-route需求，修改数据类型，包括id，change_point_valid，type_change_position，point_x，point_y，conf，life_time</t>
  </si>
  <si>
    <t>SWCName</t>
  </si>
  <si>
    <t>I/O</t>
  </si>
  <si>
    <t>PortType</t>
  </si>
  <si>
    <t>PortName/Operation</t>
  </si>
  <si>
    <t>Rte_Type/Return_Type</t>
  </si>
  <si>
    <t>RteTypeExist</t>
  </si>
  <si>
    <t>Description</t>
  </si>
  <si>
    <t>DataAccessMode</t>
  </si>
  <si>
    <t>IsQueued</t>
  </si>
  <si>
    <t>QueueLength</t>
  </si>
  <si>
    <t>InterfaceType</t>
  </si>
  <si>
    <t>IsService</t>
  </si>
  <si>
    <t>IsUpdated</t>
  </si>
  <si>
    <t>SignalType_Simple_Array_Record_</t>
  </si>
  <si>
    <t>RecordTypedefName</t>
  </si>
  <si>
    <t>Outport</t>
  </si>
  <si>
    <t>S/R</t>
  </si>
  <si>
    <t>J3_FS</t>
  </si>
  <si>
    <t>J3_FS_BUS</t>
  </si>
  <si>
    <t>Explict</t>
  </si>
  <si>
    <t>N</t>
  </si>
  <si>
    <t>J3_IHBC</t>
  </si>
  <si>
    <t>J3_IHBC_BUS</t>
  </si>
  <si>
    <t>J3_RM</t>
  </si>
  <si>
    <t>J3_RM_BUS</t>
  </si>
  <si>
    <t>J3_TFC</t>
  </si>
  <si>
    <t>J3_TFC_BUS</t>
  </si>
  <si>
    <t>J3_TFL</t>
  </si>
  <si>
    <t>J3_TFL_BUS</t>
  </si>
  <si>
    <t>J3_TSR</t>
  </si>
  <si>
    <t>J3_TSR_BUS</t>
  </si>
  <si>
    <t>J3_LANE</t>
  </si>
  <si>
    <t>J3_LANE_BUS</t>
  </si>
  <si>
    <t>J3_AEB</t>
  </si>
  <si>
    <t>J3_AEB_BUS</t>
  </si>
  <si>
    <t>J3_Obstacle</t>
  </si>
  <si>
    <t>J3_Obstacle_BUS</t>
  </si>
  <si>
    <t>StbM_TimeStamp</t>
  </si>
  <si>
    <t>StbM_TimeStampExtendedType</t>
  </si>
  <si>
    <t>autosar_swc_dfim</t>
  </si>
  <si>
    <t>DFIM_FUNC_ERR</t>
  </si>
  <si>
    <t>DFIM_FUNC_ERR_BUS</t>
  </si>
  <si>
    <t>autosar_swc_val</t>
  </si>
  <si>
    <t>Inport</t>
  </si>
  <si>
    <t>ADASFuncConfig</t>
  </si>
  <si>
    <t>FuncConfig_BUS</t>
  </si>
  <si>
    <t>TOP_FuncStatus</t>
  </si>
  <si>
    <t>uint8</t>
  </si>
  <si>
    <t>LAS_STATE</t>
  </si>
  <si>
    <t>LAS_STATE_BUS</t>
  </si>
  <si>
    <t>LAS_HMI</t>
  </si>
  <si>
    <t>LAS_HMI_BUS</t>
  </si>
  <si>
    <t>VMP_STS</t>
  </si>
  <si>
    <t>VMP_STS_BUS</t>
  </si>
  <si>
    <t>LATP_HMI</t>
  </si>
  <si>
    <t>LATP_HMI_BUS</t>
  </si>
  <si>
    <t>VMC_LGT</t>
  </si>
  <si>
    <t>VMC_LGT_BUS</t>
  </si>
  <si>
    <t>VMC_LAT</t>
  </si>
  <si>
    <t>VMC_LAT_BUS</t>
  </si>
  <si>
    <t>ICAS_STATE</t>
  </si>
  <si>
    <t>ICAS_STATE_BUS</t>
  </si>
  <si>
    <t>ICAS_HMI</t>
  </si>
  <si>
    <t>ICAS_HMI_BUS</t>
  </si>
  <si>
    <t>AEB_BRKINFO</t>
  </si>
  <si>
    <t>AEB_BRKINFO_BUS</t>
  </si>
  <si>
    <t>AEB_TAROBJ</t>
  </si>
  <si>
    <t>AEB_TAROBJ_BUS</t>
  </si>
  <si>
    <t>CSM_TSR_HMI</t>
  </si>
  <si>
    <t>TSR_HMI_BUS</t>
  </si>
  <si>
    <t>HMI_GENERAL_INFO</t>
  </si>
  <si>
    <t>HMI_GENERAL_INFO_BUS</t>
  </si>
  <si>
    <t>HMI_LANE</t>
  </si>
  <si>
    <t>rt_Array_HMI_LANE_BUS_8</t>
  </si>
  <si>
    <t>HMI_OBJECT</t>
  </si>
  <si>
    <t>rt_Array_HMI_OBJECT_BUS_10</t>
  </si>
  <si>
    <t>HMI_Light_Req</t>
  </si>
  <si>
    <t>HMI_Light_Req_MSG_BUS</t>
  </si>
  <si>
    <t>VAL_MemSet_SteerAngOffsetInit</t>
  </si>
  <si>
    <t>single</t>
  </si>
  <si>
    <t>VAL_MemSet_TSRInit</t>
  </si>
  <si>
    <t>TSR_INIT_BUS</t>
  </si>
  <si>
    <t>VAL_MemSet_TimeGapInit</t>
  </si>
  <si>
    <t>VAL_MemSet_ACCStsInit</t>
  </si>
  <si>
    <t>VAL_MemSet_ICASStsInit</t>
  </si>
  <si>
    <t>SysIn_NvM_Read</t>
  </si>
  <si>
    <t>NvM_ACCESS_BUS</t>
  </si>
  <si>
    <t>FM_SAF_OUT</t>
  </si>
  <si>
    <t>FM_SAF_OUT_BUS</t>
  </si>
  <si>
    <t>功能安全指令</t>
  </si>
  <si>
    <t>C/S</t>
  </si>
  <si>
    <t>Val_WdgMAliveCall()</t>
  </si>
  <si>
    <t>Std_ReturnType</t>
  </si>
  <si>
    <t>程序流-存活点</t>
  </si>
  <si>
    <t>Sync</t>
  </si>
  <si>
    <t>Val_WdgMDdlStartCall()</t>
  </si>
  <si>
    <t>程序流-期限起点</t>
  </si>
  <si>
    <t>Val_WdgMDdlStopCall()</t>
  </si>
  <si>
    <t>程序流-期限终点</t>
  </si>
  <si>
    <t>VAL_Heartbeat_Info</t>
  </si>
  <si>
    <t>SM_HEART_BEAT_INFO</t>
  </si>
  <si>
    <t>VAL_DRIVER_SWITCH</t>
  </si>
  <si>
    <t>VAL_DRIVER_SWITCH_BUS</t>
  </si>
  <si>
    <t>VAL_DRIVER_DRIVE</t>
  </si>
  <si>
    <t>VAL_DRIVER_DRIVE_BUS</t>
  </si>
  <si>
    <t>VAL_DRIVER_STATE</t>
  </si>
  <si>
    <t>VAL_DRIVER_STATE_BUS</t>
  </si>
  <si>
    <t>VAL_VEHICLE_STATE</t>
  </si>
  <si>
    <t>VAL_VEHICLE_STATE_BUS</t>
  </si>
  <si>
    <t>VAL_VEHICLE_FUNC</t>
  </si>
  <si>
    <t>VAL_VEHICLE_FUNC_BUS</t>
  </si>
  <si>
    <t>VAL_VEHICLE_PARTS</t>
  </si>
  <si>
    <t>VAL_VEHICLE_PARTS_BUS</t>
  </si>
  <si>
    <t>VAL_ENV</t>
  </si>
  <si>
    <t>VAL_ENV_BUS</t>
  </si>
  <si>
    <t>VAL_CONFIG</t>
  </si>
  <si>
    <t>VAL_CONFIG_BUS</t>
  </si>
  <si>
    <t>VAL_ICC_NAV</t>
  </si>
  <si>
    <t>VAL_ICC_NAV_BUS</t>
  </si>
  <si>
    <t>VAL_MemGet_TSRInit</t>
  </si>
  <si>
    <t>VAL_MemGet_SteerAngOffsetInit</t>
  </si>
  <si>
    <t>VAL_MemGet_TimeGapInit</t>
  </si>
  <si>
    <t>VAL_MemGet_ACCStsInit</t>
  </si>
  <si>
    <t>VAL_MemGet_ICASStsInit</t>
  </si>
  <si>
    <t>SysOut_NvM_Write</t>
  </si>
  <si>
    <t>ARBN_Feedback</t>
  </si>
  <si>
    <t>ARBN_Feedback_BUS</t>
  </si>
  <si>
    <t>VAL_SAF_TrigSftyAct</t>
  </si>
  <si>
    <t>VAL_SAF_TrigSftyAct_BUS</t>
  </si>
  <si>
    <t>本轮点火循环是否触发了功能安全重写</t>
  </si>
  <si>
    <t>VAL_SAF_FUSAIN</t>
  </si>
  <si>
    <t>VAL_SAF_FUSAIN_BUS</t>
  </si>
  <si>
    <t>VAL解析给到fusamonitor的功能安全输入</t>
  </si>
  <si>
    <t>autosar_swc_vme</t>
  </si>
  <si>
    <t>VME_Heartbeat_Info</t>
  </si>
  <si>
    <t>axvRefMs2</t>
  </si>
  <si>
    <t>vxvRefMs</t>
  </si>
  <si>
    <t>axvRoadSlopeMs2</t>
  </si>
  <si>
    <t>axRefMs2</t>
  </si>
  <si>
    <t>axRefDt</t>
  </si>
  <si>
    <t>psiDtOpt</t>
  </si>
  <si>
    <t>ayvRefMs2</t>
  </si>
  <si>
    <t>alpSideSlipAngle</t>
  </si>
  <si>
    <t>kapTraj</t>
  </si>
  <si>
    <t>alpSumSlideCurveness</t>
  </si>
  <si>
    <t>SteerAngleOffset_deg</t>
  </si>
  <si>
    <t>rollingBackSts</t>
  </si>
  <si>
    <t>boolean</t>
  </si>
  <si>
    <t>jerkxMs3</t>
  </si>
  <si>
    <t>jerkyMs3</t>
  </si>
  <si>
    <t>autosar_swc_rlgs</t>
  </si>
  <si>
    <t>TOS_UpdateCnt</t>
  </si>
  <si>
    <t>uint32</t>
  </si>
  <si>
    <t>VMP_TRAJ</t>
  </si>
  <si>
    <t>VMP_TRAJ_BUS</t>
  </si>
  <si>
    <t>EHRV2_HDR</t>
  </si>
  <si>
    <t>EHRV2_HDR_BUS</t>
  </si>
  <si>
    <t>EHRV2_EGO_POSE</t>
  </si>
  <si>
    <t>EHRV2_EGO_POSE_BUS</t>
  </si>
  <si>
    <t>EHRV2_SEGMENT_INFO</t>
  </si>
  <si>
    <t>rt_Array_EHRV2_SEGMENT_INFO_BUS_20</t>
  </si>
  <si>
    <t>EHRV2_LANE_INFO</t>
  </si>
  <si>
    <t>rt_Array_EHRV2_NAV_LANE_BUS_20</t>
  </si>
  <si>
    <t>EHRV2_NAV_INFO</t>
  </si>
  <si>
    <t>EHRV2_NAV_INFO_BUS</t>
  </si>
  <si>
    <t>EHRV2_DYNAMIC_INFO</t>
  </si>
  <si>
    <t>EHRV2_DYNAMIC_INFO_BUS</t>
  </si>
  <si>
    <t>EHRV2_ROAD_ROI</t>
  </si>
  <si>
    <t>EHRV2_ROAD_ROI_BUS</t>
  </si>
  <si>
    <t>CSM_CTRL</t>
  </si>
  <si>
    <t>CSC_CTRL_BUS</t>
  </si>
  <si>
    <t>EVM_CIPV_TRAJ</t>
  </si>
  <si>
    <t>EVM_CIPV_TRAJ_BUS</t>
  </si>
  <si>
    <t>EVM_VT_LANE</t>
  </si>
  <si>
    <t>EVM_VT_LANE_BUS</t>
  </si>
  <si>
    <t>EVM_LANE_MAXSPD</t>
  </si>
  <si>
    <t>rt_Array_EVM_LANE_MAXSPD_BUS_3</t>
  </si>
  <si>
    <t>RLGS_Heartbeat_Info</t>
  </si>
  <si>
    <t>EVM_DECS</t>
  </si>
  <si>
    <t>EVM_DECS_BUS</t>
  </si>
  <si>
    <t>EVM_LANE</t>
  </si>
  <si>
    <t>rt_Array_EVM_LANE_BUS_6</t>
  </si>
  <si>
    <t>EVM_TSR_SPL</t>
  </si>
  <si>
    <t>EVM_TSR_SPL_BUS</t>
  </si>
  <si>
    <t>EVM_PILOT_SCEN</t>
  </si>
  <si>
    <t>EVM_PILOT_SCEN_BUS</t>
  </si>
  <si>
    <t>EVM_ROAD</t>
  </si>
  <si>
    <t>EVM_ROAD_BUS</t>
  </si>
  <si>
    <t>EVM_HMI_Info</t>
  </si>
  <si>
    <t>autosar_swc_las</t>
  </si>
  <si>
    <t>TOS_HWA</t>
  </si>
  <si>
    <t>TOS_HWA_BUS</t>
  </si>
  <si>
    <t>LAS_Heartbeat_Info</t>
  </si>
  <si>
    <t>LAS_CTRL</t>
  </si>
  <si>
    <t>LAS_CONTROL_BUS</t>
  </si>
  <si>
    <t>autosar_swc_icas</t>
  </si>
  <si>
    <t>TOS_ACCP0</t>
  </si>
  <si>
    <t>TOS_ACC_BUS</t>
  </si>
  <si>
    <t>LONP_ACCPLAN</t>
  </si>
  <si>
    <t>LONP_ACCPLAN_BUS</t>
  </si>
  <si>
    <t>EVM_LANE_NUDGE</t>
  </si>
  <si>
    <t>EVM_NUDGE_BUS</t>
  </si>
  <si>
    <t>EVM_TRAFFIC_SCEN</t>
  </si>
  <si>
    <t>EVM_TRAFFIC_SCEN_BUS</t>
  </si>
  <si>
    <t>ICAS_Heartbeat_Info</t>
  </si>
  <si>
    <t>CSM_CSC_HMI</t>
  </si>
  <si>
    <t>CSC_HMI_BUS</t>
  </si>
  <si>
    <t>ADAS_Request</t>
  </si>
  <si>
    <t>autosar_swc_vmp</t>
  </si>
  <si>
    <t>TOS_ACCP1</t>
  </si>
  <si>
    <t>TOS_ACCP2</t>
  </si>
  <si>
    <t>TOS_ACCP3</t>
  </si>
  <si>
    <t xml:space="preserve"> </t>
  </si>
  <si>
    <t>EVM_CIPV</t>
  </si>
  <si>
    <t>rt_Array_EVM_CIPV_BUS_10</t>
  </si>
  <si>
    <t>VMC_EXEC_POS</t>
  </si>
  <si>
    <t>Position_BUS</t>
  </si>
  <si>
    <t>VMP_Heartbeat_Info</t>
  </si>
  <si>
    <t>LONP_HMI</t>
  </si>
  <si>
    <t>LONP_HMI_BUS</t>
  </si>
  <si>
    <t>autosar_swc_vmc</t>
  </si>
  <si>
    <t>VMC_Heartbeat_Info</t>
  </si>
  <si>
    <t>autosar_swc_hmi</t>
  </si>
  <si>
    <t>TOS_ACCP4</t>
  </si>
  <si>
    <t>TOS_ACCP5</t>
  </si>
  <si>
    <t>TOS_ACCP6</t>
  </si>
  <si>
    <t>TOS_ACCP7</t>
  </si>
  <si>
    <t>TOS_ACCP8</t>
  </si>
  <si>
    <t>1.即将驶出主路，请谨慎驾驶
2.路况复杂，请立即接管车辆(need to fix)
3.前方即将汇入主路，请谨慎驾驶
4.前方500m自动导航辅助驾驶即将切换成智能领航
5.前方200m自动导航辅助驾驶即将切换成智能领航
6.自动导航辅助驾驶即将退出，请立即接管车辆  &lt;50m</t>
  </si>
  <si>
    <t>HMI_Heartbeat_Info</t>
  </si>
  <si>
    <t>autosar_swc_lanetrack</t>
  </si>
  <si>
    <t>MapFusionLoc</t>
  </si>
  <si>
    <t>MapFusionLoc_BUS</t>
  </si>
  <si>
    <t>MapTopologyInfo</t>
  </si>
  <si>
    <t>MapTopologyInfo_BUS</t>
  </si>
  <si>
    <t>MapEngine_Output_Ptr</t>
  </si>
  <si>
    <t>EHRV2_HEADER</t>
  </si>
  <si>
    <t>EHRV2_HEADER_BUS</t>
  </si>
  <si>
    <t>LaneTrack_Heartbeat_Info</t>
  </si>
  <si>
    <t>autosar_swc_dr</t>
  </si>
  <si>
    <t>DR_Heartbeat_Info</t>
  </si>
  <si>
    <t>autosar_swc_fusion</t>
  </si>
  <si>
    <t>Y</t>
  </si>
  <si>
    <t>Fusion_Heartbeat_Info</t>
  </si>
  <si>
    <t>FusionObjects</t>
  </si>
  <si>
    <t>SensorError</t>
  </si>
  <si>
    <t>SensorErrorCode</t>
  </si>
  <si>
    <t>FusionError</t>
  </si>
  <si>
    <t>FusionErrorCode</t>
  </si>
  <si>
    <t>autosar_swc_tos</t>
  </si>
  <si>
    <t>TOS_Heartbeat_Info</t>
  </si>
  <si>
    <t>TOS_AEB</t>
  </si>
  <si>
    <t>rt_Array_TOS_AEB_BUS_20</t>
  </si>
  <si>
    <t>TOS_SecondSele_Object</t>
  </si>
  <si>
    <t>TOS_SecondSele_Object_BUS</t>
  </si>
  <si>
    <t>autosar_swc_aeb</t>
  </si>
  <si>
    <t>AEB_Heartbeat_Info</t>
  </si>
  <si>
    <t>AEB_RECORDER_DATA</t>
  </si>
  <si>
    <t>AEB_EDRType</t>
  </si>
  <si>
    <t>AEB_FUSAIN</t>
  </si>
  <si>
    <t>AEB_FUSAIN_BUS</t>
  </si>
  <si>
    <t>AEB被监控功能安全输入</t>
  </si>
  <si>
    <t>autosar_swc_sm</t>
  </si>
  <si>
    <t>MapEngine_Heartbeat_Info</t>
  </si>
  <si>
    <t>SM_Status</t>
  </si>
  <si>
    <t>SM_STATUS</t>
  </si>
  <si>
    <t>autosar_swc_mapengine</t>
  </si>
  <si>
    <t>MapEngine_Sd_Common_Data</t>
  </si>
  <si>
    <t>MapEngineSdCommonData_BUS</t>
  </si>
  <si>
    <t>MapEngine_V2_Position_Data</t>
  </si>
  <si>
    <t>MapEngineEhrV2InputPositionInfoMcu_BUS</t>
  </si>
  <si>
    <t>MapEngine_V2_Segment_Data</t>
  </si>
  <si>
    <t>MapEngineEhrV2InputSegmentInfoMcu_BUS</t>
  </si>
  <si>
    <t>MapEngine_V2_Stub_Data</t>
  </si>
  <si>
    <t>MapEngineEhrV2InputStubInfoMcu_BUS</t>
  </si>
  <si>
    <t>MapEngine_V2_Short_Profile_Data</t>
  </si>
  <si>
    <t>MapEngineEhrV2InputShortProfileInfoMcu_BUS</t>
  </si>
  <si>
    <t>MapEngine_V2_Long_Profile_Data</t>
  </si>
  <si>
    <t>MapEngineEhrV2InputLongProfileInfoMcu_BUS</t>
  </si>
  <si>
    <t>MapEngine_V2_Meta_Data</t>
  </si>
  <si>
    <t>MapEngineEhrV2InputMetaProfileInfoMcu_BUS</t>
  </si>
  <si>
    <t>MapEngine_V2_Ehp_Fault</t>
  </si>
  <si>
    <t>MapEngineEhrV2EhpFaultMcu_BUS</t>
  </si>
  <si>
    <t>autosar_swc_dataclct</t>
  </si>
  <si>
    <t>KPI_20ms_Data</t>
  </si>
  <si>
    <t>KPI_20ms_Data_BUS</t>
  </si>
  <si>
    <t>KPI_40ms_Data</t>
  </si>
  <si>
    <t>KPI_40ms_Data_BUS</t>
  </si>
  <si>
    <t>PNC_10ms_Data</t>
  </si>
  <si>
    <t>PNC_10ms_Data_BUS</t>
  </si>
  <si>
    <t>PNC_20ms_Data</t>
  </si>
  <si>
    <t>PNC_20ms_Data_BUS</t>
  </si>
  <si>
    <t>PNC_40ms_Data</t>
  </si>
  <si>
    <t>PNC_40ms_Data_BUS</t>
  </si>
  <si>
    <t>PNC_100ms_Data</t>
  </si>
  <si>
    <t>PNC_100ms_Data_BUS</t>
  </si>
  <si>
    <t>PNC_100000ms_Data</t>
  </si>
  <si>
    <t>PNC_100000ms_Data_BUS</t>
  </si>
  <si>
    <t>AEB_20ms_Data</t>
  </si>
  <si>
    <t>AEB_20ms_Data_BUS</t>
  </si>
  <si>
    <t>AEB_40ms_Data</t>
  </si>
  <si>
    <t>AEB_40ms_Data_BUS</t>
  </si>
  <si>
    <t>Trigger_Data</t>
  </si>
  <si>
    <t>Trigger_Data_BUS</t>
  </si>
  <si>
    <t>FUSA_20ms_Data</t>
  </si>
  <si>
    <t>FUSA_20ms_Data_BUS</t>
  </si>
  <si>
    <t>FUSA_100ms_Data</t>
  </si>
  <si>
    <t>FUSA_100ms_Data_BUS</t>
  </si>
  <si>
    <t>EVM_LANE_BUS</t>
  </si>
  <si>
    <t>Fusa_MCU_INIT_Finish</t>
  </si>
  <si>
    <t>autosar_swc_fusamon</t>
  </si>
  <si>
    <t>时间戳</t>
  </si>
  <si>
    <t>FM_SAF_OUT_Last</t>
  </si>
  <si>
    <t>上次点火循环的安全指令</t>
  </si>
  <si>
    <t>FM_SAF_OUT_Last_Vld</t>
  </si>
  <si>
    <t>是否上次点火循环安全指令有效(不存在NvM完整性错误)</t>
  </si>
  <si>
    <t>HMI状态机信息</t>
  </si>
  <si>
    <t>整车开关信息</t>
  </si>
  <si>
    <t>纵向控制</t>
  </si>
  <si>
    <t>MCU初始化完成标志</t>
  </si>
  <si>
    <t>VAL解析的功能安全输入</t>
  </si>
  <si>
    <t>FuSaMonitor_WdgMAliveCall()</t>
  </si>
  <si>
    <t>FuSaMonitor_WdgMDdlStartCall()</t>
  </si>
  <si>
    <t>FuSaMonitor_WdgMDdlStopCall()</t>
  </si>
  <si>
    <t>NvM_Write_Request</t>
  </si>
  <si>
    <t>请求立即写功能安全NvM</t>
  </si>
  <si>
    <t>Data Type Name</t>
  </si>
  <si>
    <t>IsUsed</t>
  </si>
  <si>
    <t>Member(valid if Data Type is Struct or Enum)</t>
  </si>
  <si>
    <t>DataType/EnumValue</t>
  </si>
  <si>
    <t>Dimensions</t>
  </si>
  <si>
    <t>Data Type Exist</t>
  </si>
  <si>
    <t>Size(bits)</t>
  </si>
  <si>
    <t>Min</t>
  </si>
  <si>
    <t>Max</t>
  </si>
  <si>
    <t>Factor</t>
  </si>
  <si>
    <t>Offset</t>
  </si>
  <si>
    <t>Unit</t>
  </si>
  <si>
    <t>Struct</t>
  </si>
  <si>
    <t>EcallReq</t>
  </si>
  <si>
    <t>ParkShiftReq</t>
  </si>
  <si>
    <t>ACC_ModDisp</t>
  </si>
  <si>
    <t>0:off 1:passive 2:ready 3:active 4:brakeonly 5:override 6:standwait 7:failure 8:comfort exit 9:standactive</t>
  </si>
  <si>
    <t>LCC_ModeDisp</t>
  </si>
  <si>
    <t>0:off 1:passive 2:ready 3:active 6:wait 7:failure  9:safestop 11:mrc</t>
  </si>
  <si>
    <t>ALC_ModeDisp</t>
  </si>
  <si>
    <t>0:passive 1:ready 2:confirmle 3:confirmri 4:leftchanging 5rightchanging 8:failure</t>
  </si>
  <si>
    <t>NOA_ModeDisp</t>
  </si>
  <si>
    <t>0off/1idle/2ready/3active/7failure</t>
  </si>
  <si>
    <t>DAI_ModeDisp</t>
  </si>
  <si>
    <t>0x0=Initial;0x1=Off;0x2=Passive;0x3=Standby;0x4=Active;0x7=Failure</t>
  </si>
  <si>
    <t>Nudge_ModeDisp</t>
  </si>
  <si>
    <t>1:off 2:passive 3:ready 4:left 5:right</t>
  </si>
  <si>
    <t>IHBC_ModeDisp</t>
  </si>
  <si>
    <t>0:off 1:standby 2:active 3:failure</t>
  </si>
  <si>
    <t>HighLowBeamReq</t>
  </si>
  <si>
    <t>1 req</t>
  </si>
  <si>
    <t>InfoDispHMI</t>
  </si>
  <si>
    <t>第一维作为ACC、LCC 第二维用作NOA、ALC</t>
  </si>
  <si>
    <t>HazActv</t>
  </si>
  <si>
    <t>1 aeb 双闪 2 MRM双闪</t>
  </si>
  <si>
    <t>TurnLampReq</t>
  </si>
  <si>
    <t>DriveOffDisp</t>
  </si>
  <si>
    <t>HandsOffWarningLevel</t>
  </si>
  <si>
    <t>脱手计时等级1一级2二级3三级4safestop</t>
  </si>
  <si>
    <t>DriverInloopMonitor</t>
  </si>
  <si>
    <t>WarningLevel</t>
  </si>
  <si>
    <t>这个是HWA的脱手等级输出，用于HMI</t>
  </si>
  <si>
    <t>VsetBelowMin</t>
  </si>
  <si>
    <t>CruiseSpdCtrlLevel</t>
  </si>
  <si>
    <t>TimeGapLevel</t>
  </si>
  <si>
    <t>CruiseSpdKmh</t>
  </si>
  <si>
    <t>ISL_APSpdLimSPL</t>
  </si>
  <si>
    <t>ISL_APSpdLimDist</t>
  </si>
  <si>
    <t>CruiseSpdValueHMI</t>
  </si>
  <si>
    <t>TimeGapLevelHMI</t>
  </si>
  <si>
    <t xml:space="preserve">HMI参考上升沿0:不显示 1:Level1 2:Level2 3:Level3 4:Level4 5:Level5 </t>
  </si>
  <si>
    <t>0x1:SCF down 0x2:SCF up 0x3:CurvSPL</t>
  </si>
  <si>
    <t>ISL_Sts</t>
  </si>
  <si>
    <t>SCFSts：0x0=off;0x1=Standby/InformActive;0x2=SpeedAdjust;0x3=Failure</t>
  </si>
  <si>
    <t>ISL_SetSpdAdjReq</t>
  </si>
  <si>
    <t>0x1:SCF TipSound</t>
  </si>
  <si>
    <t>ISL_SetSpdAdjVal</t>
  </si>
  <si>
    <t>ISL_NOA_SPL_kph</t>
  </si>
  <si>
    <t>ISL_NOA_SPL_Distance2Split</t>
  </si>
  <si>
    <t>ISL_iAccLoLim_kph</t>
  </si>
  <si>
    <t>ISL_iAccHiLim_kph</t>
  </si>
  <si>
    <t>ACC_BrakePrefer</t>
  </si>
  <si>
    <t>制动优先标志位：
0-无制动优先；
1-制动优先</t>
  </si>
  <si>
    <t>ACC_axvCvAim</t>
  </si>
  <si>
    <t>纵向加速度请求值</t>
  </si>
  <si>
    <t>ACC_axv_ComfortBandLowerValue</t>
  </si>
  <si>
    <t>纵向加速度上限</t>
  </si>
  <si>
    <t>ACC_axv_ComfortBandUpperValue</t>
  </si>
  <si>
    <t>纵向加速度下限</t>
  </si>
  <si>
    <t>ACC_DecelerateJerk</t>
  </si>
  <si>
    <t>减速jerk</t>
  </si>
  <si>
    <t>ACC_AccelerateJerk</t>
  </si>
  <si>
    <t>加速jerk</t>
  </si>
  <si>
    <t>CurvSpdLim</t>
  </si>
  <si>
    <t>车速限制值</t>
  </si>
  <si>
    <t>TakeoverReq</t>
  </si>
  <si>
    <t>IntelligentCurveActive</t>
  </si>
  <si>
    <t>ACC_TgtObjBarDisp</t>
  </si>
  <si>
    <t>ACC_LeTgtObjBarDisp</t>
  </si>
  <si>
    <t>ACC_RiTgtObjBarDisp</t>
  </si>
  <si>
    <t>IDP0</t>
  </si>
  <si>
    <t>IDP1</t>
  </si>
  <si>
    <t>VehVelReqKap</t>
  </si>
  <si>
    <t>FollowTTC</t>
  </si>
  <si>
    <t>FollowNumMatrix</t>
  </si>
  <si>
    <t>FollowGapPX</t>
  </si>
  <si>
    <t>FollowTTCAccel</t>
  </si>
  <si>
    <t>TargetIDSwitch</t>
  </si>
  <si>
    <t>InsertSpceNumLetgo</t>
  </si>
  <si>
    <t>InsertSpceNum</t>
  </si>
  <si>
    <t>InsertSpceTEnd</t>
  </si>
  <si>
    <t>InsertSpceSEnd</t>
  </si>
  <si>
    <t>InsertSpceVEnd</t>
  </si>
  <si>
    <t>drv_off</t>
  </si>
  <si>
    <t>起步
0x00:false
0x01:true</t>
  </si>
  <si>
    <t>dec_to_stop</t>
  </si>
  <si>
    <t>刹停
0x00:false
0x01:true</t>
  </si>
  <si>
    <t>acc_mode</t>
  </si>
  <si>
    <t>ACC状态：
0x00:OFF Mode
0x01:ACC_Reject
0x02:StandBy Mode
0x03:Active-Control Mode
0x04:Brake-Only Mode
0x05:Override
0X06:standbywait
0X07:ACC Failure mode 
0x09:StandbyActive</t>
  </si>
  <si>
    <t>brk_perfer</t>
  </si>
  <si>
    <t>0x00:false
0x01:true</t>
  </si>
  <si>
    <t>max_jerk</t>
  </si>
  <si>
    <t>最大Jerk</t>
  </si>
  <si>
    <t>min_jerk</t>
  </si>
  <si>
    <t>最小Jerk</t>
  </si>
  <si>
    <t>comfort_low</t>
  </si>
  <si>
    <t>舒适加速度下限</t>
  </si>
  <si>
    <t>comfort_up</t>
  </si>
  <si>
    <t>舒适加速度上限</t>
  </si>
  <si>
    <t>tar_accel</t>
  </si>
  <si>
    <t>目标加速度</t>
  </si>
  <si>
    <t>dc_ec_sts</t>
  </si>
  <si>
    <t>加速减速状态</t>
  </si>
  <si>
    <t>trq_req_active</t>
  </si>
  <si>
    <t>加速度扭矩请求激活</t>
  </si>
  <si>
    <t>trq_req_value</t>
  </si>
  <si>
    <t>加速度扭矩请求值</t>
  </si>
  <si>
    <t>decel_acc_req</t>
  </si>
  <si>
    <t>减速度请求</t>
  </si>
  <si>
    <t>decel_acc_req_value</t>
  </si>
  <si>
    <t>减速度请求值</t>
  </si>
  <si>
    <t>Valid</t>
  </si>
  <si>
    <t>A0</t>
  </si>
  <si>
    <t>A1</t>
  </si>
  <si>
    <t>A2</t>
  </si>
  <si>
    <t>A3</t>
  </si>
  <si>
    <t>Range</t>
  </si>
  <si>
    <t>LKA_Warn</t>
  </si>
  <si>
    <t>0x0：nowarn
0x1：leftwarn
0x2：rightwarn</t>
  </si>
  <si>
    <t>ELK_Warn</t>
  </si>
  <si>
    <t>HandsOffWarnLevel</t>
  </si>
  <si>
    <t>FLWhelDy</t>
  </si>
  <si>
    <t>车辆左边缘距离左线的距离</t>
  </si>
  <si>
    <t>FRWhelDy</t>
  </si>
  <si>
    <t>车辆右边缘距离右线的距离</t>
  </si>
  <si>
    <t>LDP_Con_Idle2ReadyBit</t>
  </si>
  <si>
    <t>0位：车速
1位：YawRate 
2位：驾驶员扭矩
3位：车道宽及车道线存在情况 
4位：AEB 
5位：道路曲率
6位：方向盘转速
7位：ESP
8位：EPS
9位：危险报警灯
10位：制动压力
11位：踏板变化率
12位：CURRENT_GEAR
13位：脱手检测；</t>
  </si>
  <si>
    <t>LDP_Con_Ready2ActiveBit</t>
  </si>
  <si>
    <t>LDP_Con_Active2ReadyBit</t>
  </si>
  <si>
    <t>LDP_Con_Other2IdleBit</t>
  </si>
  <si>
    <t>0位：车速
1位：YawRate
2位：驾驶员手力据
3位：车道宽和车道线有无
4位：AEB
5位：车道曲率
6位：方向盘转速
7位：ESP
8位：eps故障
9位：危险报警灯
10位：制动压力
11位：加速踏板变化率
12位：换道
13位：转向灯
14位：ABS、TCS、VDC
15位：脱手检测；</t>
  </si>
  <si>
    <t>LDW_Con_Idle2ReadyBit</t>
  </si>
  <si>
    <t>0位：方向盘转速
1位：制动压力
2位：加速踏板速率
3位：换道
4位：YawRate
5位：Headingangel
6位：道路曲率
7位：车道宽和车道线有无
8位：车速
9位：LDW_Error
10位：aeb是否激活
11位：危险报警灯</t>
  </si>
  <si>
    <t>LDW_Con_Ready2ActiveBit</t>
  </si>
  <si>
    <t>LDW_Con_Active2ReadyBit</t>
  </si>
  <si>
    <t>LDW_Con_Other2IdleBit</t>
  </si>
  <si>
    <t>0位：方向盘转速
1位：制动压力
2位：加速踏板速率
3位：换道
4位：YawRate
5位：Headingangel
6位：道路曲率
7位：车道宽和车道线有无
8位：车速
9位：LDW_Error
10位：aeb是否激活
11位：危险报警灯
12位：AbsTcsVdc</t>
  </si>
  <si>
    <t>ELK_Con_Idle2ReadyBit</t>
  </si>
  <si>
    <t>0位：车速
1位：yawrate
2位：驾驶员手力据
3位：车道线车道宽
4位：AEB
5位：道路曲率
6位：方向盘转速
7位：EPS
8位：ESP
9位：危险报警灯
10位：制动压力
11位：加速踏板速率
12位：CURRENT_GEAR
13位：TrailerSts拖车状态
14位：脱手报警</t>
  </si>
  <si>
    <t>ELk_Con_Ready2ActiveBit</t>
  </si>
  <si>
    <t>ELK_Con_Active2ReadyBit</t>
  </si>
  <si>
    <t>ELK_Con_Other2IdleBit</t>
  </si>
  <si>
    <t>0位：车速
1位：yawrate
2位：驾驶员手力据
3位：车道线车道宽
4位：AEB
5位：道路曲率
6位：方向盘转速
7位：EPS
8位：ESP
9位：制动压力
10位：加速踏板速率
11位：ABS
12位：危险报警灯
13位：转向灯
14位：换道
15位：ABS、TCS、VDC
16位：脱手抑制</t>
  </si>
  <si>
    <t>LDPSts</t>
  </si>
  <si>
    <t>0x0:OFF 
0x1:IDLE
0x2:READY
0x3:ACTIVE(未使用)
0x4:ACTIVE_LEFT
0x5:ACTIVE_RIGHT
0x6:ERROR</t>
  </si>
  <si>
    <t>LDWSts</t>
  </si>
  <si>
    <t>ELKSts</t>
  </si>
  <si>
    <t>0x0:ELK_OFF 
0x1:ELK_IDLE
0x2:ELK_READY
0x3:ELK_ACTIVE_LEFT(ROAD EDGE)
0x4:ELK_ACTIVE_RIGHT(ROADEDGE)
0x5:ELK_ONCOMING_LEFT
0x6:ELK_ONCOMING_RIGHT
0x7:ELK_OVERTAKING_LEFT
0x8:ELK_OVERTAKING_RIGHT
0x9:ELK_ERROR
0x10:ELK_DEFAULT
0x11:ELK_Line_LEFT
0x12:ELK_Line_RIGHT</t>
  </si>
  <si>
    <t>TimeStampMs</t>
  </si>
  <si>
    <t>uint64</t>
  </si>
  <si>
    <t>LKACtrlType</t>
  </si>
  <si>
    <t>横向控制类型
0x0:扭矩
0x1：角度</t>
  </si>
  <si>
    <t>PowerType</t>
  </si>
  <si>
    <t>动力类型
0x0：燃油
0x1：混动
0x2：电动</t>
  </si>
  <si>
    <t>AccelerateType</t>
  </si>
  <si>
    <t>加速接口类型
0x0：加速度
0x1：轮端扭矩
0x2：轴端扭矩</t>
  </si>
  <si>
    <t>HandsOff</t>
  </si>
  <si>
    <t>驾驶员脱手
0:handson
≥1:handsoff</t>
  </si>
  <si>
    <t>DriverSts</t>
  </si>
  <si>
    <t>驾驶员状态
DriverSts
0x0:DriverUnbeliv
0x1:DriverGood
0x2:DriverLowDistractn
0x3:DriverMidDistractn
0x4:DriverHi1Distractn
0x5:DriverHi2Distractn
0x6:DriverLowDrowsiness
0x7:DriverMidDrowsiness
0x8:DriverHi1Drowsiness
0x9:DriverHi2Drowsiness</t>
  </si>
  <si>
    <t>DMSAuthSts</t>
  </si>
  <si>
    <t>dms授权
0：未授权
1：已授权</t>
  </si>
  <si>
    <t>GPSAuthSts</t>
  </si>
  <si>
    <t>定位服务授权
0：未授权
1：已授权</t>
  </si>
  <si>
    <t>DayTime</t>
  </si>
  <si>
    <t>0：白天 1：夜晚</t>
  </si>
  <si>
    <t>Weather</t>
  </si>
  <si>
    <t>CDDActv</t>
  </si>
  <si>
    <t>CDD功能激活标志位
0x1: Active
0x0: Not active</t>
  </si>
  <si>
    <t>FCTBAct</t>
  </si>
  <si>
    <t>FCTB功能激活标志位
0x1: Active
0x0: Not active</t>
  </si>
  <si>
    <t>FCTAAct</t>
  </si>
  <si>
    <t>FCTA功能激活标志位
0x1: Active
0x0: Not active</t>
  </si>
  <si>
    <t>ParkAct</t>
  </si>
  <si>
    <t>PARK功能激活标志位（SIL仿真用来代替TOP_FuncStatus，1表示泊车激活，0表示行车激活）
0x1: Active
0x0: Not active</t>
  </si>
  <si>
    <t>LIMITAct</t>
  </si>
  <si>
    <t>LIMIT功能激活标志位
0x1: Active
0x0: Not active</t>
  </si>
  <si>
    <t>ESPFuncOffSts</t>
  </si>
  <si>
    <t>ESP状态信号，用于判断ESP功能是否关闭。
0：on
1：off</t>
  </si>
  <si>
    <t>ESPFuncActive</t>
  </si>
  <si>
    <t>ESP子功能激活标志位（根据项目规范定义具体包含的子功能）
0x0: Not active
bit0:ABSActv
bit1:CDPAct
bit2:BTCActv
bit3:PTCActv
bit4:MSRActv
bit5:VDCActv
bit6:EBDAct</t>
  </si>
  <si>
    <t>HDCCtrl</t>
  </si>
  <si>
    <t>HDC功能状态信号（陡坡缓降系统）
0x0: OFF
0x1: ON active braking
0x2: ON not active braking</t>
  </si>
  <si>
    <t>AVHSts</t>
  </si>
  <si>
    <t>AVH 功能状态信号，
0x0: OFF
0x1: Standby
0x2: Active</t>
  </si>
  <si>
    <t>EPBSts</t>
  </si>
  <si>
    <t>EPB状态信号，用于判断驾驶员是否拉起EPB
0x0:released
0x1:not released</t>
  </si>
  <si>
    <t>RadarELKsts</t>
  </si>
  <si>
    <t>原车雷达本身的ELKsts</t>
  </si>
  <si>
    <t>RadarBSDsts</t>
  </si>
  <si>
    <t>原车雷达本身的BSDsts</t>
  </si>
  <si>
    <t>DrvingMod</t>
  </si>
  <si>
    <t>驾驶模式状态信号，快退条件判断（雪、泥、沙）
0: sandard/normal
1:sport
2:eco
3:EV
4:Save
5:AWD
6:sportplus
7:unavailable_mode
8:Resd
根据项目需求不同，unavailable_mode进行适配选择：
unavailable_mode=
Snow（雪）+muddy（泥）+Offroad（越野模式）</t>
  </si>
  <si>
    <t>VehPowerSysCtrlerResp</t>
  </si>
  <si>
    <t>车辆纵向驱动系执行器状态VLC
0:false
1:available</t>
  </si>
  <si>
    <t>VehBrakeSysCtrlerResp</t>
  </si>
  <si>
    <t>车辆纵向制动系执行器状态CDD
0:false
1:available</t>
  </si>
  <si>
    <t>VehSteerSysCtrlerResp</t>
  </si>
  <si>
    <t>车辆横向转向系执行器状态EPS
0:false
1:角度/扭矩 ready
2:人机共驾 ready</t>
  </si>
  <si>
    <t>AWBAvl</t>
  </si>
  <si>
    <t>AWB功能可用状态
0:false
1:true</t>
  </si>
  <si>
    <t>HBAAvl</t>
  </si>
  <si>
    <t>HBA功能可用状态
0:false
1:true</t>
  </si>
  <si>
    <t>ABPAvl</t>
  </si>
  <si>
    <t>ABP功能可用状态
0:false
1:true</t>
  </si>
  <si>
    <t>HMASW</t>
  </si>
  <si>
    <t>BCM处于HMA状态
大灯处于auoto档位，驾驶员打开远光灯后，HMASW置位1，此时IHC功能才会进行激活判断。
0x0: Off
0x1: Active</t>
  </si>
  <si>
    <t>DrvSBR</t>
  </si>
  <si>
    <t>驾驶员安全带状态信号
0x0:no remind（扣上）
0x1:Remind</t>
  </si>
  <si>
    <t>PassSBR</t>
  </si>
  <si>
    <t>乘客安全带状态信号
0x0:no remind
0x1:Remind</t>
  </si>
  <si>
    <t>BrkDskOvrheatd</t>
  </si>
  <si>
    <t>制动盘过热
0x0:not high
0x1:temp too high</t>
  </si>
  <si>
    <t>DrvDoorSts</t>
  </si>
  <si>
    <t>驾驶员车门状态信号
0x0:closed
0x1:open</t>
  </si>
  <si>
    <t>PassengerDoorSts</t>
  </si>
  <si>
    <t>乘客车门状态信号
0x0:closed
0x1:open</t>
  </si>
  <si>
    <t>FFogLmpSts</t>
  </si>
  <si>
    <t>前雾灯状态
0x0:OFF
0x1:ON</t>
  </si>
  <si>
    <t>RFogLmpSts</t>
  </si>
  <si>
    <t>后雾灯状态
0x0:OFF
0x1:ON</t>
  </si>
  <si>
    <t>TrailerSts</t>
  </si>
  <si>
    <t>拖车状态
0x0: Close
0x1: Open</t>
  </si>
  <si>
    <t>RRDoorSts</t>
  </si>
  <si>
    <t>右后门状态
0x0: Close
0x1: Open</t>
  </si>
  <si>
    <t>LRDoorSts</t>
  </si>
  <si>
    <t>左后门状态
0x0: Close
0x1: Open</t>
  </si>
  <si>
    <t>HoodSts</t>
  </si>
  <si>
    <t>前舱盖状态
0x0: Close
0x1: Open</t>
  </si>
  <si>
    <t>TrunkSts</t>
  </si>
  <si>
    <t>后舱盖状态
0x0: Close
0x1: Open</t>
  </si>
  <si>
    <t>AirBagSts</t>
  </si>
  <si>
    <t>安全气囊状态
0x0: normal
0x1: detonated
0x2：not available</t>
  </si>
  <si>
    <t>CrashSts</t>
  </si>
  <si>
    <t>碰撞状态
0x00: No crash
0x01: Belt Crash
0x02: Front Crash
0x04: Left Side Crash
0x08: Right Side Crash
0x10: Rear Crash
0x20: Roll Crash</t>
  </si>
  <si>
    <t>LTurnLmpSts</t>
  </si>
  <si>
    <t>左转向灯状态信号
0x0:OFF
0x1:ON</t>
  </si>
  <si>
    <t>RTurnLmpSts</t>
  </si>
  <si>
    <t>右转向灯状态信号
0x0:OFF
0x1:ON</t>
  </si>
  <si>
    <t>HighBeamSts</t>
  </si>
  <si>
    <t>远光灯状态
0x0: Off
0x1: Active</t>
  </si>
  <si>
    <t>LowBeamSts</t>
  </si>
  <si>
    <t>近光灯状态
0x0: Off
0x1: Active</t>
  </si>
  <si>
    <t>HazardLmpSts</t>
  </si>
  <si>
    <t>双闪状态信号
0x0:OFF
0x1:ON</t>
  </si>
  <si>
    <t>FLTirePressureSts</t>
  </si>
  <si>
    <t>左前车轮胎压状态
0x0: 正常
0x1: 异常</t>
  </si>
  <si>
    <t>FRTirePressureSts</t>
  </si>
  <si>
    <t>右前车轮胎压状态
0x0: 正常
0x1: 异常</t>
  </si>
  <si>
    <t>RLTirePressureSts</t>
  </si>
  <si>
    <t>左后车轮胎压状态
0x0: 正常
0x1: 异常</t>
  </si>
  <si>
    <t>RRTirePressureSts</t>
  </si>
  <si>
    <t>右后车轮胎压状态
0x0: 正常
0x1: 异常</t>
  </si>
  <si>
    <t>FWiperSts</t>
  </si>
  <si>
    <t>前雨刮状态
0x0: 关闭
0x1: 低速
0x2: 中速 
0x3: 高速
0x4:洗涤前挡风玻璃</t>
  </si>
  <si>
    <t>VehStandstill</t>
  </si>
  <si>
    <t xml:space="preserve">车辆静止标志位
0: not standstill 
1: standstill </t>
  </si>
  <si>
    <t>EngineOn</t>
  </si>
  <si>
    <t>发动机启动状态：
0 ：off
1 ：on</t>
  </si>
  <si>
    <t>FAShiftInProgress</t>
  </si>
  <si>
    <t>前桥是否换挡中
0：未换挡
1：换挡中</t>
  </si>
  <si>
    <t>RAShiftInProgress</t>
  </si>
  <si>
    <t>后桥是否换挡中
0：未换挡
1：换挡中</t>
  </si>
  <si>
    <t>NoBrakeForce</t>
  </si>
  <si>
    <t>无制动力标志位
0：有制动力
1：无制动力</t>
  </si>
  <si>
    <t>VLC_InternalTargetAccelerationValid</t>
  </si>
  <si>
    <t>车辆VLC实际执行的加速度有效性，有的车可能不发VLC实际执行加速度
车辆发送VLA实际执行加速度的话，valid=1,VLC_InternalTargetAcceleration=具体值
车辆不发送VLA实际执行加速度的话，valid=0,VLC_InternalTargetAcceleration=传感器纵向加速度</t>
  </si>
  <si>
    <t>BlindTemp</t>
  </si>
  <si>
    <t>临时遮挡
0：no blind
1：blindTemp</t>
  </si>
  <si>
    <t>CurrentGear</t>
  </si>
  <si>
    <t>当前档位(不怎么用，后期确认）
0x0:Reserved 
0x1:1st gear
0x2:2nd gear
0x3:3rd gear
0x4:4th gear
0x5:5th gear
0x6:6th gear
0x7:7th gear
0x8:8th gear
0x9:Reverse
0xA:Neutral
0xB:Park
0xC:9th gear</t>
  </si>
  <si>
    <t>TargetGear</t>
  </si>
  <si>
    <t>目标档位
0x0:Reserved
0x1:1st gear
0x2:2nd gear
0x3:3rd gear
0x4:4th gear
0x5:5th gear
0x6:6th gear
0x7:7thgear 
0x8:8th gear 
0x9:Reverse 
0xA:Neutral
0xB:Park
0xC:9th gear 
0xE:Reserved 
0xD:Reserved 
0xF:Invalid / limp home</t>
  </si>
  <si>
    <t>GearSts</t>
  </si>
  <si>
    <t>档位状态
0：R
1：N
2：D
3：M
4：P
5: unknow</t>
  </si>
  <si>
    <t>SysPowerMod</t>
  </si>
  <si>
    <t>系统动力模式
0x0:OFF
0x1:ACC (reserved)
0x2:ON
0x3:Crank</t>
  </si>
  <si>
    <t>VehSpdKph</t>
  </si>
  <si>
    <t>ESP提供的实际车速，kph</t>
  </si>
  <si>
    <t>IPVehSpdUnit</t>
  </si>
  <si>
    <t>仪表车速单位
0x0: kilometer
0x1: mile</t>
  </si>
  <si>
    <t>IPVehSpdDispKph</t>
  </si>
  <si>
    <t>uint16</t>
  </si>
  <si>
    <t>仪表车速kph
ICAS期望车速使用</t>
  </si>
  <si>
    <t>IPVehSpdDispMph</t>
  </si>
  <si>
    <t>仪表车速mph</t>
  </si>
  <si>
    <t>FourWhlsBrkTrq</t>
  </si>
  <si>
    <t>四轮制动扭矩
N</t>
  </si>
  <si>
    <t>MaxEngTrqNorm</t>
  </si>
  <si>
    <t>最大扭矩常数</t>
  </si>
  <si>
    <t>IPVehSpdDispKphFloat</t>
  </si>
  <si>
    <t>仪表车速带小数，四舍五入后需要保证等于IPVehSpdDispKph
lonp控制使用</t>
  </si>
  <si>
    <t>TotalOdometer_km</t>
  </si>
  <si>
    <t>总行驶里程km</t>
  </si>
  <si>
    <t>SteerWheelAngle</t>
  </si>
  <si>
    <t>方向盘转角deg
带正负号 左正右负</t>
  </si>
  <si>
    <t>SteerWheelSpd</t>
  </si>
  <si>
    <t>方向盘转速deg/Sec
带正负号 左正右负</t>
  </si>
  <si>
    <t>SteerWheelTor</t>
  </si>
  <si>
    <t>方向盘扭矩Nm（用于人机共驾驶使用）
左正右负</t>
  </si>
  <si>
    <t>MasterCylBrkPress</t>
  </si>
  <si>
    <t>车辆主缸压力</t>
  </si>
  <si>
    <t>WheelTrqNm</t>
  </si>
  <si>
    <t>车轮端扭矩值（实际轮端扭矩值）</t>
  </si>
  <si>
    <t>WheelTrqMinNm</t>
  </si>
  <si>
    <t>车轮端最小负扭</t>
  </si>
  <si>
    <t>VCUTrqNm</t>
  </si>
  <si>
    <t>VCU当前扭矩值（电机端扭矩值段）
N*m
（是否可先使用为油门踏板信号，用于HMI模块的DAI功能）</t>
  </si>
  <si>
    <t>EngTrqNm</t>
  </si>
  <si>
    <t>发动机轴端扭矩值
N*m</t>
  </si>
  <si>
    <t>EngTrqMinNm</t>
  </si>
  <si>
    <t>发动机最小负扭</t>
  </si>
  <si>
    <t>LKACtrDlvdValue</t>
  </si>
  <si>
    <t>eps实际响应值
1112：临时使用此信号为“方向盘手力矩”接口，实现“人机共驾”需求；
左正右负</t>
  </si>
  <si>
    <t>NetEngTrq</t>
  </si>
  <si>
    <t>当前实际轮端扭矩，前馈扭矩修正及发出扭矩切入点</t>
  </si>
  <si>
    <t>EngTrqMinAct</t>
  </si>
  <si>
    <t>当前最小可执行扭矩，用于计算发动机最小可执行减速度</t>
  </si>
  <si>
    <t>EngSpd</t>
  </si>
  <si>
    <t>发动机转速r/s</t>
  </si>
  <si>
    <t>FLWheelSpdMps</t>
  </si>
  <si>
    <t>左前轮速 m/s</t>
  </si>
  <si>
    <t>FRWheelSpdMps</t>
  </si>
  <si>
    <t>右前轮速 m/s</t>
  </si>
  <si>
    <t>RLWheelSpdMps</t>
  </si>
  <si>
    <t>左后轮速 m/s</t>
  </si>
  <si>
    <t>RRWheelSpdMps</t>
  </si>
  <si>
    <t>右后轮速 m/s</t>
  </si>
  <si>
    <t>FLWheelPulseCounter</t>
  </si>
  <si>
    <t>左前轮速脉冲</t>
  </si>
  <si>
    <t>FRWheelPulseCounter</t>
  </si>
  <si>
    <t>右前轮速脉冲</t>
  </si>
  <si>
    <t>RLWheelPulseCounter</t>
  </si>
  <si>
    <t>左后轮速脉冲</t>
  </si>
  <si>
    <t>RRWheelPulseCounter</t>
  </si>
  <si>
    <t>右后轮速脉冲</t>
  </si>
  <si>
    <t>WheelPulseCounterValid</t>
  </si>
  <si>
    <t>轮速脉冲有效性
0x0: Valid
0x1: Not Valid</t>
  </si>
  <si>
    <t>SensorVehYawRateRadps</t>
  </si>
  <si>
    <t>车辆传感器横摆角速度原始值 rad/s</t>
  </si>
  <si>
    <t>SensorVehLonAccelMps2</t>
  </si>
  <si>
    <t>车辆传感器纵向加速度原始值m/s2</t>
  </si>
  <si>
    <t>SensorVehLatAccelMps2</t>
  </si>
  <si>
    <t>车辆传感器横向加速度原始值m/s2</t>
  </si>
  <si>
    <t>VLC_InternalTargetAcceleration</t>
  </si>
  <si>
    <t>车辆VLC实际执行的加速度m/s2
车辆VLC实际执行的加速度有效性，有的车可能不发VLC实际执行加速度
车辆发送VLA实际执行加速度的话，valid=1,VLC_InternalTargetAcceleration=具体值
车辆不发送VLA实际执行加速度的话，valid=0,VLC_InternalTargetAcceleration=传感器纵向加速度SensorVehLonAccelMps2</t>
  </si>
  <si>
    <t>AccPedalOverride</t>
  </si>
  <si>
    <t>ACC驾驶员超越模式
0x0:not override
0x1:override</t>
  </si>
  <si>
    <t>AccActPulse</t>
  </si>
  <si>
    <t>ACC激活按键,激活ACC时默认使用当前车速做为setspd
0x0:Not Press
0x1:Press</t>
  </si>
  <si>
    <t>LccActPulse</t>
  </si>
  <si>
    <t>LCC激活按键,部门车型可单独激活LCC，如果需要同步激活ACC，需要确保同步发送AccAct
0x0:Not Press
0x1:Press</t>
  </si>
  <si>
    <t>AccOnOffPulse</t>
  </si>
  <si>
    <t>ACConoff切换
0：not change
1：change</t>
  </si>
  <si>
    <t>LccOnOffPulse</t>
  </si>
  <si>
    <t>LCConoff切换
0：not change
1：change</t>
  </si>
  <si>
    <t>ResumePulse</t>
  </si>
  <si>
    <t>ACC恢复按键,激活ACC并且使用上次的车速所谓setspd，如果需要同步激活LCC，需要确保同步发送LccAct</t>
  </si>
  <si>
    <t>CancelPulse</t>
  </si>
  <si>
    <t>Cancel按键按下，同时取消激活 LCC和ACC功能
0x0:not press
0x1:press</t>
  </si>
  <si>
    <t>IncSetSpdPulse</t>
  </si>
  <si>
    <t>车速增加请求
0x0:not press
0x1:press</t>
  </si>
  <si>
    <t>DecSetSpdPulse</t>
  </si>
  <si>
    <t>车速减小请求
0x0:not press
0x1:press</t>
  </si>
  <si>
    <t>IncTimeGapPulse</t>
  </si>
  <si>
    <t>时距增加按键按下
0x0:not press
0x1:press</t>
  </si>
  <si>
    <t>DecTimeGapPulse</t>
  </si>
  <si>
    <t>时距减小按键按下
0x0:not press
0x1:press</t>
  </si>
  <si>
    <t>HazardLmpSwtSts</t>
  </si>
  <si>
    <t>双闪开关状态信号
0x0:OFF
0x1:ON</t>
  </si>
  <si>
    <t>ScfConfirm</t>
  </si>
  <si>
    <t>SCF功能确认调速(上下调速都发）
uint8(1):DecSetSpd调速车型（如T1GC）全局确认调速
uint8(2):IncSet向上确认调速（E01）
uint8(3):DecSet向下确认调速（E01）</t>
  </si>
  <si>
    <t>DrvBrakePedalSts</t>
  </si>
  <si>
    <t>制动踏板踩下状态
0x0:Not Press
0x1:Press</t>
  </si>
  <si>
    <t>EPBSwtSts</t>
  </si>
  <si>
    <t>EPB开关信号，用于判断驾驶员是否拉起EPB
0x0:Neutral or Release
0x1:apply</t>
  </si>
  <si>
    <t>LTurnLmpSwtSts</t>
  </si>
  <si>
    <t>左转向灯开关状态
0x0:OFF
0x1:ON (always)
0x2:L trigger pulse (switch stage 1 lane change signal)
0x3:H trigger pulse (switch stage 2 turn signal)</t>
  </si>
  <si>
    <t>RTurnLmpSwtSts</t>
  </si>
  <si>
    <t>右转向灯开关状态
0x0:OFF
0x1:ON (always)
0x2:L trigger pulse (switch stage 1 lane change signal)
0x3:H trigger pulse (switch stage 3 turn signal)</t>
  </si>
  <si>
    <t>HighBeamSwtSts</t>
  </si>
  <si>
    <t>远光灯开关
0x0:OFF
0x1:ON</t>
  </si>
  <si>
    <t>OverVehBeamSwtSts</t>
  </si>
  <si>
    <t>超车灯开关信号
0x0:OFF
0x1:ON</t>
  </si>
  <si>
    <t>AutoLightSW</t>
  </si>
  <si>
    <t>自动大灯状态
0x0: Not active
0x1: Active</t>
  </si>
  <si>
    <t>IncSetSpdStep</t>
  </si>
  <si>
    <t>增加设定车速步长</t>
  </si>
  <si>
    <t>DecSetSpdStep</t>
  </si>
  <si>
    <t>降低设定车速步长</t>
  </si>
  <si>
    <t>DrvConfirmLC</t>
  </si>
  <si>
    <t>驾驶员确认变道指令
0x0:No Confirm
0x1:Confirm</t>
  </si>
  <si>
    <t>DrvVoiceLCReq</t>
  </si>
  <si>
    <t>驾驶员语音变道请求
0x0:Not Req
0x1:Left Change
0x2:Right Change
0x3:LC Cancel</t>
  </si>
  <si>
    <t>DrvVoiceTimeGapAdjReq</t>
  </si>
  <si>
    <t>驾驶员调timegap请求
0x0:not Req
0x1:Req</t>
  </si>
  <si>
    <t>DrvVoiceTimeGapAdjReqValue</t>
  </si>
  <si>
    <t>req value</t>
  </si>
  <si>
    <t>DrvVoiceSpdAdjReq</t>
  </si>
  <si>
    <t>驾驶员调速请求
0x0:not Req
0x1:req direct adj</t>
  </si>
  <si>
    <t>DrvVoiceSpdAdjReqValue</t>
  </si>
  <si>
    <t>DrvBrakeAccel</t>
  </si>
  <si>
    <t>驾驶员制动减速度
m/s2</t>
  </si>
  <si>
    <t>BrkPedalStroke</t>
  </si>
  <si>
    <t>制动踏板行程
单位：mm</t>
  </si>
  <si>
    <t>AccPedalTouchPosition</t>
  </si>
  <si>
    <t>油门踏板位置，输出0-100，单位是%</t>
  </si>
  <si>
    <t>DrvSteerTrqVal</t>
  </si>
  <si>
    <t>方向盘手力矩 
左正右负</t>
  </si>
  <si>
    <t>NOHOnOff</t>
  </si>
  <si>
    <t>NOH开关状态（NOH功能是否打开）
0x0: Off
0x1: On</t>
  </si>
  <si>
    <t>NOHActReq</t>
  </si>
  <si>
    <t>NOH激活状态（NOH是否激活）
0x0: Off
0x1: On</t>
  </si>
  <si>
    <t>LDWOnOff</t>
  </si>
  <si>
    <t>LDW开关状态
0x0: Off
0x1: On</t>
  </si>
  <si>
    <t>LKAOnOff</t>
  </si>
  <si>
    <t>LKA开关状态
0x0: Off
0x1: On</t>
  </si>
  <si>
    <t>ELKOnOff</t>
  </si>
  <si>
    <t>ELK开关状态
0x0: Off
0x1: On</t>
  </si>
  <si>
    <t>ESSOnOff</t>
  </si>
  <si>
    <t>ESS开关状态
0x0: Off
0x1: On</t>
  </si>
  <si>
    <t>AESOnOff</t>
  </si>
  <si>
    <t>AES开关状态
0x0: Off
0x1: On</t>
  </si>
  <si>
    <t>LCKIEOnOff</t>
  </si>
  <si>
    <t>智慧躲闪开关状态
0x0: Off
0x1: On</t>
  </si>
  <si>
    <t>ISLOnOff</t>
  </si>
  <si>
    <t>ISL开关状态（限速辅助）
0x0: Off
0x1: On</t>
  </si>
  <si>
    <t>IntellgntCurveOnOff</t>
  </si>
  <si>
    <t>智慧过弯开关状态
0x0: Off
0x1: On</t>
  </si>
  <si>
    <t>FCWOnOff</t>
  </si>
  <si>
    <t>FCW开关状态
0x0: Off
0x1: On</t>
  </si>
  <si>
    <t>AEBOnOff</t>
  </si>
  <si>
    <t>AEB开关状态
0x0: Off
0x1: On</t>
  </si>
  <si>
    <t>DAIOnOff</t>
  </si>
  <si>
    <t>DAI开关状态
0x0: Off
0x1: On</t>
  </si>
  <si>
    <t>SpeedLmtNumberAbs</t>
  </si>
  <si>
    <t>int8</t>
  </si>
  <si>
    <t>SLA速度偏移量
-10～10 or
-20%~20%</t>
  </si>
  <si>
    <t>SpeedLmtNumberPerct</t>
  </si>
  <si>
    <t>SLA速度偏移百分比</t>
  </si>
  <si>
    <t>SpeedLmtSnvtyMod</t>
  </si>
  <si>
    <t>SLA限速偏移模式
0x0: offset
0x1: percent</t>
  </si>
  <si>
    <t>IHCOnOff</t>
  </si>
  <si>
    <t>IHC开关状态
0x0: Off
0x1: On</t>
  </si>
  <si>
    <t>ICAOnOff</t>
  </si>
  <si>
    <t>ICA开关状态
0x0: Off
0x1: On</t>
  </si>
  <si>
    <t>SLAOnOff</t>
  </si>
  <si>
    <t>SLA开关状态（限速识别）
0x0: Off
0x1: On</t>
  </si>
  <si>
    <t>SLAWarnMod</t>
  </si>
  <si>
    <t>SLA报警模式（限速识别）
0x0: Off
0x1:仅显示: On
0x2:显示+报警：On</t>
  </si>
  <si>
    <t>LASSnvtySet</t>
  </si>
  <si>
    <t>LAS报警灵敏度
0：中
1：高
2：低</t>
  </si>
  <si>
    <t>LASWarnFormSwtReq</t>
  </si>
  <si>
    <t>LAS报警方式
0:none
1:声音报警
2:震动
3:声音+震动</t>
  </si>
  <si>
    <t>TSROnOff</t>
  </si>
  <si>
    <t>TSR开关状态（交通标志识别）
0x0: Off
0x1: On</t>
  </si>
  <si>
    <t>TLIOnOff</t>
  </si>
  <si>
    <t>TLI开关状态（交通灯识别）
0x0: Off
0x1: On</t>
  </si>
  <si>
    <t>ALCSet</t>
  </si>
  <si>
    <t>自动变道功能开关状态
0：关 
1：自动换道（无需确认）
2：自动换道（驾驶员确认）</t>
  </si>
  <si>
    <t>DCLCSet</t>
  </si>
  <si>
    <t>驾驶员拨杆变道开关状态（不开拨杆变道，也可激活NOA，可以选择自动变道）
0：off
1：DCLC ON</t>
  </si>
  <si>
    <t>ALCSnvtySet</t>
  </si>
  <si>
    <t>变道灵敏度设置
0:  柔和
1：中等
2：激进的</t>
  </si>
  <si>
    <t>FCWSnvty</t>
  </si>
  <si>
    <t>FCW灵敏度 
0：低 
1：普通
2：灵敏</t>
  </si>
  <si>
    <t>VoiceRemindType</t>
  </si>
  <si>
    <t>语音播报类型
0:off
1:标准
2:简洁</t>
  </si>
  <si>
    <t>TJAICAExitTextInfoONOFF</t>
  </si>
  <si>
    <t>TJA退出提醒开关（需要下电记忆）
0x0: Off
0x1: On</t>
  </si>
  <si>
    <t>SpeedLimitOnOff</t>
  </si>
  <si>
    <t>主动限速功能
0x0:off
0x1:On</t>
  </si>
  <si>
    <t>CONFIG_ACC</t>
  </si>
  <si>
    <t>CONFIG_LCC</t>
  </si>
  <si>
    <t>CONFIG_ALC</t>
  </si>
  <si>
    <t>CONFIG_NOH</t>
  </si>
  <si>
    <t>CONFIG_LDW</t>
  </si>
  <si>
    <t>CONFIG_LKA</t>
  </si>
  <si>
    <t>CONFIG_ELK</t>
  </si>
  <si>
    <t>CONFIG_IE</t>
  </si>
  <si>
    <t>CONFIG_FCW</t>
  </si>
  <si>
    <t>CONFIG_AEB</t>
  </si>
  <si>
    <t>CONFIG_ESS</t>
  </si>
  <si>
    <t>CONFIG_AES</t>
  </si>
  <si>
    <t>CONFIG_ISL</t>
  </si>
  <si>
    <t>CONFIG_IntellgntCurve</t>
  </si>
  <si>
    <t>CONFIG_DAI</t>
  </si>
  <si>
    <t>CONFIG_TSR</t>
  </si>
  <si>
    <t>CONFIG_SLA</t>
  </si>
  <si>
    <t>CONFIG_IHC</t>
  </si>
  <si>
    <t>CONFIG_ACCIC</t>
  </si>
  <si>
    <t>id</t>
  </si>
  <si>
    <t>目标ID</t>
  </si>
  <si>
    <t>dx</t>
  </si>
  <si>
    <t>目标纵向距离</t>
  </si>
  <si>
    <t>dy</t>
  </si>
  <si>
    <t>目标横向向距离</t>
  </si>
  <si>
    <t>vxRel</t>
  </si>
  <si>
    <t>目标相对纵向速度</t>
  </si>
  <si>
    <t>vyRel</t>
  </si>
  <si>
    <t>目标相对横向速度</t>
  </si>
  <si>
    <t>vxAbs</t>
  </si>
  <si>
    <t>目标绝对纵向速度m/s</t>
  </si>
  <si>
    <t>vyAbs</t>
  </si>
  <si>
    <t>目标绝对横向速度m/s</t>
  </si>
  <si>
    <t>axAbs</t>
  </si>
  <si>
    <t>目标绝对纵向加速度</t>
  </si>
  <si>
    <t>ayAbs</t>
  </si>
  <si>
    <t>目标绝对橫向加速度</t>
  </si>
  <si>
    <t>range</t>
  </si>
  <si>
    <t>目标距离自车前保最近纵向距离</t>
  </si>
  <si>
    <t>targetExist</t>
  </si>
  <si>
    <t>目标是否存在</t>
  </si>
  <si>
    <t>fu_type</t>
  </si>
  <si>
    <t>传感器类型0&lt;&lt;0:unknown 1&lt;&lt;0: camera 1&lt;&lt;1:front_radar 1&lt;&lt;2:corner_radar_fl 1&lt;&lt;3:corner_radar_fr 1&lt;&lt;4:corner_radar_rl 1&lt;&lt;5:corner_radar_rr 1&lt;&lt;6:sim mera</t>
  </si>
  <si>
    <t>movingState</t>
  </si>
  <si>
    <t xml:space="preserve">运动状态 0:Unkwon 1:Unvalid  2 :Moving  3 :Stationary </t>
  </si>
  <si>
    <t>orientation</t>
  </si>
  <si>
    <t>运动朝向 0:Unkwon  1 : 同向  2 :对向  3 横穿</t>
  </si>
  <si>
    <t>type</t>
  </si>
  <si>
    <t>目标类型 0 :Unvalid 1:Unkwon 2:Car 3:Truck 4 Bicycle 5 :Moto 6 Pedestrian 7 :Tricycle 8：Animal 9: Cone 10:BicycleList 11:MotorcyList 12 :TricycList</t>
  </si>
  <si>
    <t>age</t>
  </si>
  <si>
    <t>目标传感器周期</t>
  </si>
  <si>
    <t>objExist</t>
  </si>
  <si>
    <t>目标置信度</t>
  </si>
  <si>
    <t>headingAngle</t>
  </si>
  <si>
    <t>方位角(单位：角度)</t>
  </si>
  <si>
    <t>cutInflg</t>
  </si>
  <si>
    <t>是否切入</t>
  </si>
  <si>
    <t>brakeIntention</t>
  </si>
  <si>
    <t>制动灯</t>
  </si>
  <si>
    <t>Object_Length</t>
  </si>
  <si>
    <t>长</t>
  </si>
  <si>
    <t>Object_Width</t>
  </si>
  <si>
    <t>宽</t>
  </si>
  <si>
    <t>Object_Hight</t>
  </si>
  <si>
    <t>高</t>
  </si>
  <si>
    <t>Object_Fus_Type</t>
  </si>
  <si>
    <t>Object_ID</t>
  </si>
  <si>
    <t>Object_Type</t>
  </si>
  <si>
    <t>目标类型 1:Unkwon 2:Car 3:Truck 4 Bicycle/Moto 6 Pedestrian 8：Animal 9: Cone</t>
  </si>
  <si>
    <t>Object_HeadingAngle</t>
  </si>
  <si>
    <t>Object_YawAngle</t>
  </si>
  <si>
    <t>航向角(单位：角度)</t>
  </si>
  <si>
    <t>Object_MovingState</t>
  </si>
  <si>
    <t xml:space="preserve">运动状态0:Unkwon 1:Unvalid  2 :Moving  3 :Stationary </t>
  </si>
  <si>
    <t>Object_Orientation</t>
  </si>
  <si>
    <t>Object_DX</t>
  </si>
  <si>
    <t>Object_DY</t>
  </si>
  <si>
    <t>目标横向距离</t>
  </si>
  <si>
    <t>Object_VX</t>
  </si>
  <si>
    <t>Object_VY</t>
  </si>
  <si>
    <t>Object_Abs_VX</t>
  </si>
  <si>
    <t>目标绝对纵向速度</t>
  </si>
  <si>
    <t>Object_Abs_VY</t>
  </si>
  <si>
    <t>目标绝对横向速度</t>
  </si>
  <si>
    <t>Object_Abs_AX</t>
  </si>
  <si>
    <t>Object_Abs_AY</t>
  </si>
  <si>
    <t>Object_Age</t>
  </si>
  <si>
    <t>存在周期</t>
  </si>
  <si>
    <t>corner_left_front_x</t>
  </si>
  <si>
    <t>目标左前角点坐标</t>
  </si>
  <si>
    <t>corner_left_front_y</t>
  </si>
  <si>
    <t>corner_right_front_x</t>
  </si>
  <si>
    <t>目标右前角点坐标</t>
  </si>
  <si>
    <t>corner_right_front_y</t>
  </si>
  <si>
    <t>corner_left_rear_x</t>
  </si>
  <si>
    <t>目标左后角点坐标</t>
  </si>
  <si>
    <t>corner_left_rear_y</t>
  </si>
  <si>
    <t>corner_right_rear_x</t>
  </si>
  <si>
    <t>目标左右后角点坐标</t>
  </si>
  <si>
    <t>corner_right_rear_y</t>
  </si>
  <si>
    <t>LeftLane_flag</t>
  </si>
  <si>
    <t>是否在左车道</t>
  </si>
  <si>
    <t>SameLane_flag</t>
  </si>
  <si>
    <t>是否在本车道</t>
  </si>
  <si>
    <t>RightLane_flag</t>
  </si>
  <si>
    <t>是否在右车道</t>
  </si>
  <si>
    <t>Object_Turn_Signal</t>
  </si>
  <si>
    <t>转向灯</t>
  </si>
  <si>
    <t>SPL_noSupp_Value_Init</t>
  </si>
  <si>
    <t>不带补充标志的交通限速牌，限速值</t>
  </si>
  <si>
    <t>SPL_whSupp_Value_Init</t>
  </si>
  <si>
    <t>带补充标志的交通限速牌，限速值</t>
  </si>
  <si>
    <t>TS_SignName_Value_Init</t>
  </si>
  <si>
    <t>SPL_SuppName_Value_Init</t>
  </si>
  <si>
    <t>SPL_noSupp_Dist_Init</t>
  </si>
  <si>
    <t>不带补充标志的交通限速牌的距离</t>
  </si>
  <si>
    <t>SPL_whSupp_Dist_Init</t>
  </si>
  <si>
    <t>带补充标志的交通限速牌的距离</t>
  </si>
  <si>
    <t>TS_SignName_Dist_Init</t>
  </si>
  <si>
    <t>trq_cmd_req</t>
  </si>
  <si>
    <t>方向盘扭矩请求状态
0：无请求
1：请求
2：请求且人机共驾</t>
  </si>
  <si>
    <t>ang_cmd_req</t>
  </si>
  <si>
    <t>方向盘角度请求状态
0：无请求
1：请求
2：请求且人机共驾</t>
  </si>
  <si>
    <t>trq_cmd_req_value</t>
  </si>
  <si>
    <t>方向盘扭矩请求的值</t>
  </si>
  <si>
    <t>ang_cmd_req_value</t>
  </si>
  <si>
    <t>steer_max_trq_req</t>
  </si>
  <si>
    <t>方向盘最大扭矩请求限制</t>
  </si>
  <si>
    <t>steer_min_trq_req</t>
  </si>
  <si>
    <t>方向盘最小扭矩请求限制</t>
  </si>
  <si>
    <t>latc_effect</t>
  </si>
  <si>
    <t>aim_point_xy</t>
  </si>
  <si>
    <t>TSRSpdLimWarn</t>
  </si>
  <si>
    <t>TSR禁止停车提示（区分闪烁报警和常亮）0x0=常显;0x1=闪烁+报警音TipSound</t>
  </si>
  <si>
    <t>TSRConSpdLimWarn</t>
  </si>
  <si>
    <t>TSR_Snvty</t>
  </si>
  <si>
    <t>TSRSts</t>
  </si>
  <si>
    <t>TSR状态0X0=Initial/off;0x1=On;0x2=faliure</t>
  </si>
  <si>
    <t>TSRSpdLimUnit</t>
  </si>
  <si>
    <t>限速值单位</t>
  </si>
  <si>
    <t>TSRSpdLimSts</t>
  </si>
  <si>
    <t>用于SLASts：0x0=Initial/off;0x1=FusionMode;0x2=VisionMode;0x3=NavigationMode;0x4=Failure;0x5=Passive</t>
  </si>
  <si>
    <t>TSRSpdLim</t>
  </si>
  <si>
    <t>SLA限速值TSRSpdLim==0不显示限速值;TSRSpdLim==1解除限速值;TSRSpdLim==其它值为限速值</t>
  </si>
  <si>
    <t>TSRSpdLimCfdc</t>
  </si>
  <si>
    <t>TSRConSpdLim</t>
  </si>
  <si>
    <t>0x0:无超速报警;
0x1=图标闪烁;
0x2=图标+声音</t>
  </si>
  <si>
    <t>TSR_GiveWay</t>
  </si>
  <si>
    <t>1减速让行&gt;2停车让行&gt;3注意行人&gt;4注意儿童&gt;5右侧车辆汇入&gt;6道路施工</t>
  </si>
  <si>
    <t>TSR_LongTimeDisplay</t>
  </si>
  <si>
    <t>1禁止长时停车&gt;2禁止临时及长时间停车&gt;3禁止超车&gt;4解除禁止超车5&gt;禁止停车</t>
  </si>
  <si>
    <t>TSR_Forbidden</t>
  </si>
  <si>
    <t>1禁止驶入&gt;2禁止机动车驶入&gt;3禁止掉头&gt;4禁止右转&gt;5禁止左转</t>
  </si>
  <si>
    <t>TSRTrfcSignValCfdc</t>
  </si>
  <si>
    <t>BrkLiReq</t>
  </si>
  <si>
    <t>Frntwiprsts</t>
  </si>
  <si>
    <t>Turnlightind</t>
  </si>
  <si>
    <t>转向灯请求
0：no request
1:   左转
2：右转
3：请求关闭</t>
  </si>
  <si>
    <t>BeamactiveSts</t>
  </si>
  <si>
    <t>Beamlightreq</t>
  </si>
  <si>
    <t>EmeglampReq</t>
  </si>
  <si>
    <t>双闪灯
0: no
1: aeb 双闪 
2: MRM双闪</t>
  </si>
  <si>
    <t>IHBC_Status</t>
  </si>
  <si>
    <t>IHBC_HighBeamReq</t>
  </si>
  <si>
    <t xml:space="preserve">0: no req
1: req </t>
  </si>
  <si>
    <t>ACC_Status</t>
  </si>
  <si>
    <t>ACC状态：
0x00:OFF Mode
0x01:Passive Mode
0x02:StandBy Mode
0x03:Active-Control Mode
0x04:Brake-Only Mode
0x05:Override
0X06:standwait
0X07:ACC Failure mode 
0X08:comfort exit
0x09:StandActive</t>
  </si>
  <si>
    <t>FCW_Status</t>
  </si>
  <si>
    <t>FCW功能状态
0x0:  Off
0x1:  Passive Standby
0x2:  Active
0x3:   failure</t>
  </si>
  <si>
    <t>AEB_Status</t>
  </si>
  <si>
    <t>AEB功能状态
0x0:  Off
0x1:  Passive Standby
0x2:  Active
0x3:   failure</t>
  </si>
  <si>
    <t>DW_Status</t>
  </si>
  <si>
    <t>DW功能状态
0x0: no active
0x1: active</t>
  </si>
  <si>
    <t>LDW_Status</t>
  </si>
  <si>
    <t>LDW功能状态
 0x0:OFF 
0x1:IDLE
0x2:READY
0x3:ACTIVE(未使用)
0x4:ACTIVE_LEFT
0x5:ACTIVE_RIGHT
0x6:ERROR</t>
  </si>
  <si>
    <t>LDP_Status</t>
  </si>
  <si>
    <t>LDP功能状态
0x0:OFF 
0x1:IDLE
0x2:READY
0x3:ACTIVE(未使用)
0x4:ACTIVE_LEFT
0x5:ACTIVE_RIGHT
0x6:ERROR</t>
  </si>
  <si>
    <t>ELK_Status</t>
  </si>
  <si>
    <t>ELK功能状态
0x0:ELK_OFF 
0x1:ELK_IDLE
0x2:ELK_READY
0x3:ELK_ACTIVE_LEFT(ROAD EDGE)
0x4:ELK_ACTIVE_RIGHT(ROADEDGE)
0x5:ELK_ONCOMING_LEFT
0x6:ELK_ONCOMING_RIGHT
0x7:ELK_OVERTAKING_LEFT
0x8:ELK_OVERTAKING_RIGHT
0x9:ELK_ERROR
0x10:ELK_DEFAULT
0x11:ELK_Line_LEFT
0x12:ELK_Line_RIGHT</t>
  </si>
  <si>
    <t>ICA_Status</t>
  </si>
  <si>
    <t>ICA状态：
0x00:OFF
0x01:Idle
0x02:Ready
0x03:Active
0X06:wait
0X07:Error
0x09:Safestop
0x10::SlowRetreat
0x11:MRC
0x12:人机共驾</t>
  </si>
  <si>
    <t>DAI_Status</t>
  </si>
  <si>
    <t>0x0=Initial;
0x1=Off;
0x2=Passive;
0x3=Standby;
0x4=Active;
0x7=Failure</t>
  </si>
  <si>
    <t>IE_Status</t>
  </si>
  <si>
    <t>1:off 
2:passive 
3:ready 
4:left 
5:right</t>
  </si>
  <si>
    <t>0:off 
1:standby 
2:active 
3:failure</t>
  </si>
  <si>
    <t>TSR_Status</t>
  </si>
  <si>
    <t>TSR状态
0X0=Initial/off;
0x1=On;
0x2=faliure</t>
  </si>
  <si>
    <t>SLA_Status</t>
  </si>
  <si>
    <t>用于SLASts：
0x0=Initial/off;
0x1=FusionMode;
0x2=VisionMode;
0x3=NavigationMode;
0x4=Failure;
0x5=Passive</t>
  </si>
  <si>
    <t>ISL_Status</t>
  </si>
  <si>
    <t>SCFSts：
0x0=off;
0x1=Standby/InformActive;
0x2=SpeedAdjust;
0x3=Failure</t>
  </si>
  <si>
    <t>TLI_Status</t>
  </si>
  <si>
    <t>红绿灯显示功能状态
0x0: OFF
0x1: Standby
0x2: Active
0x3: Fault</t>
  </si>
  <si>
    <t>ALC_Status</t>
  </si>
  <si>
    <t>变道功能状态
0x0: Off
0x1: Inhibited
0x2: Enable
0x3: Wait
0x4: Lane changing
0x5: lane changed
0x6: Abort
0x7: Retreating（取消中）
0x8:  Retreated（换道取消完成）
 0x9: Lane Change Prepare
 0xA:Lane Change Longitudinal Matching
0xB: Failure</t>
  </si>
  <si>
    <t>Pilot_Status</t>
  </si>
  <si>
    <t>ACC_SpdSet</t>
  </si>
  <si>
    <t>ACC设定车速</t>
  </si>
  <si>
    <t>ACC_TimeGapSet</t>
  </si>
  <si>
    <t>ACC设定时距</t>
  </si>
  <si>
    <t>SLASpdLim</t>
  </si>
  <si>
    <t>SLA限速值
TSRSpdLim==0不显示限速值;
TSRSpdLim==1解除限速值;
TSRSpdLim==其它值为限速值/5</t>
  </si>
  <si>
    <t>SLASpdLimWarn</t>
  </si>
  <si>
    <t>0x0:无超速报警;0x1=图标闪烁;0x2=图标+声音</t>
  </si>
  <si>
    <t>TSRSgnGiWay</t>
  </si>
  <si>
    <t>指示灯符号-让行类
1减速让行&gt;2停车让行&gt;3注意行人&gt;4注意儿童&gt;5右侧车辆汇入&gt;6道路施工</t>
  </si>
  <si>
    <t>TSRSgnForb</t>
  </si>
  <si>
    <t>交通标志（禁止特定行驶方向类）
1禁止驶入&gt;2禁止机动车驶入&gt;3禁止掉头&gt;4禁止右转&gt;5禁止左转</t>
  </si>
  <si>
    <t>TSRSgnLongStayDisp</t>
  </si>
  <si>
    <t>交通标志（长时间显示类）
1禁止长时停车&gt;2禁止临时及长时间停车&gt;3禁止超车&gt;4解除禁止超车5&gt;禁止停车</t>
  </si>
  <si>
    <t>TSRNoParkWarn</t>
  </si>
  <si>
    <t>TSR禁止停车闪烁报警
0:No active
1:active</t>
  </si>
  <si>
    <t>LSSIntervention</t>
  </si>
  <si>
    <t>LSS介入模式：
LSSIntervention：
0x0:No warning and Intervention 
0x1: Left warn only reminder(仅仅是提醒)
0x2: Right warn only reminder(仅仅是提醒)
0x3: Left warning and voice（报警voice ）
0x4: Right warning and voice（报警voice ）
0x5: Left warning and shock（报警shock ）
0x6: Right warning and shock（报警shock ）
0x7: Left warning （报警voice+shock ）
0x8: Right warning  (报警voice+shock ）
0x9: Left Intervention LKA
0x10:Right Intervention LKA
0x11:Left Intervention ELK
0x12:Right Intervention ELK
0x13:Both Intervention (智慧躲闪/lck)
0x14:Virtual Lane（蓝色）</t>
  </si>
  <si>
    <t>ACC_Text_Info</t>
  </si>
  <si>
    <t>0.no display
1.“巡航已退出，请谨慎驾驶（被动退出）”，3s，warning6
2. “请接管车辆”接管提醒，takeover7
3.“自适应巡航系统故障 请联系4S店”，faild4
4.”巡航系统已退出（主动退出）“”cancel“，3s，quit3
5.“自适应巡航系统已激活”active，3s，active2
6.“弯道内，请谨慎驾驶”，5s，tip1，语音播报
7.“前方路况复杂，请谨慎驾驶”（上游暂未实现），5s，tip1
8.“若车速超过功能最高限速，将退出辅助驾驶”，tip1
9.加速踏板被踩下，辅助驾驶无法减速，3s
10.DAI文言，tip1
11.“巡航保持中” 
12.“轻踩加速踏板或按RES键恢复巡航”，tip1
13.“自适应巡航无法激活”，3s，faild4</t>
  </si>
  <si>
    <t>TJA_Text_Info</t>
  </si>
  <si>
    <t>1.智能领航系统已退出，请谨慎驾驶(active跳degraded/passive，3s)——warn6
2.MRMlv2：紧急停车中，请立即接管车辆——takeover7
3.MRMlv1：即将开启紧急停车，请立即接管车辆——takeover7
4.脱手lv2：请驾驶员接管车辆——safety5
5.脱手lv3：请立即接管车辆——safety5（与产品需求不一致，和系统沟通完之后先按照功能规范做）
6.脱手lv1：请驾驶员握紧方向盘——warn6
7.智能领航系统故障，请联系4S店——failed4
8.智能领航系统已退出（主动退出）——3s——quit3
9.智能领航系统已激活——3s——active2
10.道路条件良好 可开启智能领航系统——5s——tip1（产品需求，先不做）
11.智能避让系统已激活——tip1
12.已切换到自适应巡航模式——3s——tip1
13.已切换到智能领航模式——3s——tip1
14.off/passive跳degraded，智能领航系统无法激活——3s——faild4
分叉路选择向左（暂无需求）
分叉路选择向右（暂无需求）</t>
  </si>
  <si>
    <t>ALC_Text_Info</t>
  </si>
  <si>
    <t>NOA_Text_Info</t>
  </si>
  <si>
    <t>AEB_Text_Info</t>
  </si>
  <si>
    <t>1.自动紧急制动系统已开启，3s
2.自动紧急制动系统已关闭，3s
3.自动紧急制动系统已激活
4.自动紧急制动系统故障 请联系4S店
5.当前条件不满足 无法开启AEB，3s
6.前碰撞预警系统已开启，3s
7.前碰撞预警系统已关闭，3s
8.前碰撞预警系统已激活
9.前碰撞预警系统故障 请联系4S店
10.当前条件不满足 无法开启FCW，3s</t>
  </si>
  <si>
    <t>ADC_Text_Info</t>
  </si>
  <si>
    <t>TSR+SCF+SLA
1.SLA is failure 限速辅助系统暂不可用
2.SCF 上调速度提醒
3.SCF 下调速度提醒
4.智能速度控制系统已开启，3s（先不发）
5.智能速度控制系统已关闭，3s（先不发）
6.TSR故障</t>
  </si>
  <si>
    <t>ADC_Text_Warn</t>
  </si>
  <si>
    <t>0x0:No sound
0x1:Tip sound
0x2:Active sound
0x3:Quit sound
0x4:Failed sound
0x5:Safety sound
0x6:Warning sound
0x7:Takeover sound
0x8:ICA Active Sound
0x9:ICA Quit Sound
0xA:NOA Active Sound
0xB:NOA Quit Sound</t>
  </si>
  <si>
    <t>ADC_Voice_Info</t>
  </si>
  <si>
    <t>其他子功能的语音提示
当文言不发，但是有特殊语音需求的化</t>
  </si>
  <si>
    <t>ADC_WarnForm</t>
  </si>
  <si>
    <t>LSSWarnForm
0x0:Voice
0x1:Haptic
0x2:Voice+Haptic
0x3:Reserved</t>
  </si>
  <si>
    <t>TLI_Info</t>
  </si>
  <si>
    <t>交通灯状态
0x0: No Display
0x1: Green
0x2: Yellow
0x3: Red</t>
  </si>
  <si>
    <t>LaneChange_Display</t>
  </si>
  <si>
    <t>LaneChange_dxEnd</t>
  </si>
  <si>
    <t>LaneChange_dyEnd</t>
  </si>
  <si>
    <t>HMI_LANE_BUS</t>
  </si>
  <si>
    <t>Line_ID</t>
  </si>
  <si>
    <t>车道线ID，
0x0:Unknown
0x1:Ego_left
0x2:Ego_right
0x3:Left_adjacent_left
0x4:Right_adjacent_right
0x5:Left_road_edge
0x6:Right_road_edge</t>
  </si>
  <si>
    <t>Line_Type</t>
  </si>
  <si>
    <t>0=Unknown
 1=Solid
 2=Road Edge(deprecated)
 3=Dashed
 4=Double Lane(Left Dashed, Right Solid)
 5=Double Lane(Left Solid, Right Dashed)
 6=Double Lane(Double Dashed)
 7=Double Lane(Double Solid)
 8=Line Ramp(Solid)
 9=Line Ramp(Dashed)
 10=ShadedArea
 11=DecelerationSolidLine
 12=DecelerationDashedLine
 13=LaneVirtualMarking
 15=Invalid(reserved)
16=Traffic Cone</t>
  </si>
  <si>
    <t>Line_Color</t>
  </si>
  <si>
    <t>0=Unknown
1=White
2=Yellow_Orange_Red
3=Blue_Green</t>
  </si>
  <si>
    <t>Line_dxStart</t>
  </si>
  <si>
    <t>Line_dxEnd</t>
  </si>
  <si>
    <t>Line_C0</t>
  </si>
  <si>
    <t>Line_C1</t>
  </si>
  <si>
    <t>Line_C2</t>
  </si>
  <si>
    <t>Line_C3</t>
  </si>
  <si>
    <t>Line_MarkingWidth</t>
  </si>
  <si>
    <t>m</t>
  </si>
  <si>
    <t>Line_Confidence</t>
  </si>
  <si>
    <t>0-100</t>
  </si>
  <si>
    <t>HMI输出车道线</t>
  </si>
  <si>
    <t>HMI_OBJECT_BUS</t>
  </si>
  <si>
    <t>Tgt_ID</t>
  </si>
  <si>
    <t>Tgt_Type</t>
  </si>
  <si>
    <t>Tgt_Color</t>
  </si>
  <si>
    <t>0x0: None
N.A
0x1: Grey
灰色 非激活色
0x2: Blue
蓝色 激活色
0x3 Yellow
黄色 有潜在风险
0x4: Red
红色 风险很大</t>
  </si>
  <si>
    <t>Tgt_Detn</t>
  </si>
  <si>
    <t>目标检测有效性（持续5帧ID不跳变）
0x0:Not dectected
0x1:Dectected
0x2:Reserved
0x3:Invalid</t>
  </si>
  <si>
    <t>Tgt_Heading</t>
  </si>
  <si>
    <t>int16</t>
  </si>
  <si>
    <t>Tgt_movingStatus</t>
  </si>
  <si>
    <t>0=Obj_MovType_INVALID |
1=Obj_MovType_UNKNOWN | 
2=Obj_MovType_MOVING | 
3=Obj_MovType_STATIONARY | 
4=Obj_MovType_STOPPED|</t>
  </si>
  <si>
    <t>Tgt_Dx</t>
  </si>
  <si>
    <t>Tgt_Dy</t>
  </si>
  <si>
    <t>Tgt_Vx</t>
  </si>
  <si>
    <t>m/s</t>
  </si>
  <si>
    <t>Tgt_Vy</t>
  </si>
  <si>
    <t>Tgt_Width</t>
  </si>
  <si>
    <t>Tgt_Height</t>
  </si>
  <si>
    <t>Tgt_length</t>
  </si>
  <si>
    <t>Tgt_light</t>
  </si>
  <si>
    <t>目标灯光状态
0x0:Na（无）
0x1:Turnleft（左转）
0x2:Turnright（右转）
0x3:DoubleFlash（双闪）
0x4:Brake（刹车）
0x5: Reverse(倒车灯）</t>
  </si>
  <si>
    <t>HMI输出目标</t>
  </si>
  <si>
    <t>仪表信息显示</t>
  </si>
  <si>
    <t>LcTarLocationDx</t>
  </si>
  <si>
    <t>变道目标点显示横向距离</t>
  </si>
  <si>
    <t>LcTarLocationDy</t>
  </si>
  <si>
    <t>LcTarLocationHead</t>
  </si>
  <si>
    <t>变道目标点方向角</t>
  </si>
  <si>
    <t>LcTarPathPointX</t>
  </si>
  <si>
    <t>自车轨迹点</t>
  </si>
  <si>
    <t>LcTarPathPointY</t>
  </si>
  <si>
    <t>LcHazObjId</t>
  </si>
  <si>
    <t>变道目标，第一个为前方目标，第二个为后方目标</t>
  </si>
  <si>
    <t>LcHazObjDangerLevel</t>
  </si>
  <si>
    <t>ego_roadsec_id</t>
  </si>
  <si>
    <t>ego_lane_type</t>
  </si>
  <si>
    <t>ego_left_lanetyp</t>
  </si>
  <si>
    <t>ego_right_lanetyp</t>
  </si>
  <si>
    <t>ego_road_type</t>
  </si>
  <si>
    <t>is_part_of_route</t>
  </si>
  <si>
    <t>dist_route_end</t>
  </si>
  <si>
    <t>int32</t>
  </si>
  <si>
    <t>vehicle_speed</t>
  </si>
  <si>
    <t>ego_lane_idx_from_left</t>
  </si>
  <si>
    <t>ego_lane_idx_from_right</t>
  </si>
  <si>
    <t>ego_posn_conf_from_left</t>
  </si>
  <si>
    <t>ego_posn_conf_from_right</t>
  </si>
  <si>
    <t>is_lane_changing</t>
  </si>
  <si>
    <t>has_emergency_lane</t>
  </si>
  <si>
    <t>road_segment_id</t>
  </si>
  <si>
    <t>start_s</t>
  </si>
  <si>
    <t>end_s</t>
  </si>
  <si>
    <t>speed_limit</t>
  </si>
  <si>
    <t>lane_num_drvdir</t>
  </si>
  <si>
    <t>curvature_seq_value</t>
  </si>
  <si>
    <t>curvature_seq_dist</t>
  </si>
  <si>
    <t>curvature_seq_validnum</t>
  </si>
  <si>
    <t>max_slope</t>
  </si>
  <si>
    <t>dist_max_slope</t>
  </si>
  <si>
    <t>RoadCoord_ValidNum</t>
  </si>
  <si>
    <t>map_model</t>
  </si>
  <si>
    <t>mapdate_state</t>
  </si>
  <si>
    <t>navigation_state</t>
  </si>
  <si>
    <t>RolingCnt</t>
  </si>
  <si>
    <t>dist_nav_end</t>
  </si>
  <si>
    <t>dist_map_data_valid</t>
  </si>
  <si>
    <t>EHRV2_NAV_LANE_BUS</t>
  </si>
  <si>
    <t>SegmentId</t>
  </si>
  <si>
    <t>is_vaild</t>
  </si>
  <si>
    <t>LaneNumber</t>
  </si>
  <si>
    <t>Direction</t>
  </si>
  <si>
    <t>first_predecessor_num</t>
  </si>
  <si>
    <t>前续开始车道</t>
  </si>
  <si>
    <t>last_predecessor_num</t>
  </si>
  <si>
    <t>前续结束车道</t>
  </si>
  <si>
    <t>straight_lane_num</t>
  </si>
  <si>
    <t>直通车道编号</t>
  </si>
  <si>
    <t>is_possible_lost</t>
  </si>
  <si>
    <t>丢失概率</t>
  </si>
  <si>
    <t>on_route_flag</t>
  </si>
  <si>
    <t>backup</t>
  </si>
  <si>
    <t>dis_end</t>
  </si>
  <si>
    <t>linkID_nextsegment</t>
  </si>
  <si>
    <t>i_suggest_lanes</t>
  </si>
  <si>
    <t>i_on_nav_path</t>
  </si>
  <si>
    <t>Nav_stub</t>
  </si>
  <si>
    <t>EHRV2_NAV_STUB_BUS</t>
  </si>
  <si>
    <t>stub_id</t>
  </si>
  <si>
    <t>stub_linkSegment_id</t>
  </si>
  <si>
    <t>stub_type</t>
  </si>
  <si>
    <t>is_on_rout</t>
  </si>
  <si>
    <t>0：非导航路径路口；1：导航路径路口</t>
  </si>
  <si>
    <t>stub_start_dis</t>
  </si>
  <si>
    <t>stub_end_dis</t>
  </si>
  <si>
    <t>stub_direc</t>
  </si>
  <si>
    <t>stub_ramp_type</t>
  </si>
  <si>
    <t>lane_change_routing_direc</t>
  </si>
  <si>
    <t>-3：向左变3/2+次道
-2：向左变2次道
-1：向左变1次道路
0：不需要变道
1：向右变1次道
2：向右变2次道
3：向右变3/2+次道
其它/127(default)：信号无效</t>
  </si>
  <si>
    <t>EHRV2_SEGMENT_INFO_BUS</t>
  </si>
  <si>
    <t>road_type</t>
  </si>
  <si>
    <t>1：高速主路2：高速匝道3：高速隧道4：城快5：城快匝道6：收费站7：服务区8：10城市道路及确认不科技或NOA的道路</t>
  </si>
  <si>
    <t>road_class</t>
  </si>
  <si>
    <t>*coding待定</t>
  </si>
  <si>
    <t>road_form_of_way</t>
  </si>
  <si>
    <t>IntersectionInfo_BUS</t>
  </si>
  <si>
    <t>branch_id</t>
  </si>
  <si>
    <t>double</t>
  </si>
  <si>
    <t>y</t>
  </si>
  <si>
    <t>z</t>
  </si>
  <si>
    <t>ratio</t>
  </si>
  <si>
    <t>SimpleLane_BUS</t>
  </si>
  <si>
    <t>lane_id</t>
  </si>
  <si>
    <t>left_boundary_id</t>
  </si>
  <si>
    <t>left_type_class</t>
  </si>
  <si>
    <t>left_marker_color</t>
  </si>
  <si>
    <t>left_line_marking</t>
  </si>
  <si>
    <t>right_boundary_id</t>
  </si>
  <si>
    <t>right_type_class</t>
  </si>
  <si>
    <t>right_marker_color</t>
  </si>
  <si>
    <t>right_line_marking</t>
  </si>
  <si>
    <t>width</t>
  </si>
  <si>
    <t>confidences</t>
  </si>
  <si>
    <t>confidences_cnt</t>
  </si>
  <si>
    <t>is_virtual</t>
  </si>
  <si>
    <t>JunctionType_BUS</t>
  </si>
  <si>
    <t>Enum</t>
  </si>
  <si>
    <t>JunctionType_BUS_kUnknown</t>
  </si>
  <si>
    <t>JunctionType_BUS_kSplit</t>
  </si>
  <si>
    <t>JunctionType_BUS_kMerge</t>
  </si>
  <si>
    <t>JunctionInfo_BUS</t>
  </si>
  <si>
    <t>StaticObject_BUS</t>
  </si>
  <si>
    <t>sub_type</t>
  </si>
  <si>
    <t>possible_lane_id</t>
  </si>
  <si>
    <t>in_cur_lane</t>
  </si>
  <si>
    <t>timestamp</t>
  </si>
  <si>
    <t>unknown_intersections_cnt</t>
  </si>
  <si>
    <t>unknown_intersections</t>
  </si>
  <si>
    <t>lane_boundary_intersections_cnt</t>
  </si>
  <si>
    <t>lane_boundary_intersections</t>
  </si>
  <si>
    <t>road_boundary_intersections_cnt</t>
  </si>
  <si>
    <t>road_boundary_intersections</t>
  </si>
  <si>
    <t>simple_lanes_cnt</t>
  </si>
  <si>
    <t>simple_lanes_from_lane_boundary</t>
  </si>
  <si>
    <t>junction_infos_cnt</t>
  </si>
  <si>
    <t>junction_infos</t>
  </si>
  <si>
    <t>static_objects_cnt</t>
  </si>
  <si>
    <t>static_objects</t>
  </si>
  <si>
    <t>timestamp_ns</t>
  </si>
  <si>
    <t>pos_x</t>
  </si>
  <si>
    <t>pos_y</t>
  </si>
  <si>
    <t>distance</t>
  </si>
  <si>
    <t>origin_changed_num</t>
  </si>
  <si>
    <t>yaw</t>
  </si>
  <si>
    <t>velocity</t>
  </si>
  <si>
    <t>accel_x</t>
  </si>
  <si>
    <t>accel_y</t>
  </si>
  <si>
    <t>yawrate</t>
  </si>
  <si>
    <t>origin_changed</t>
  </si>
  <si>
    <t>is_valid</t>
  </si>
  <si>
    <t>time_stamp_ms</t>
  </si>
  <si>
    <t>cost_time_ms</t>
  </si>
  <si>
    <t>online_map_time_ms</t>
  </si>
  <si>
    <t>error_code</t>
  </si>
  <si>
    <t>path_has_tunnel</t>
  </si>
  <si>
    <t>dist_tunnel_start</t>
  </si>
  <si>
    <t>dist_tunnel_end</t>
  </si>
  <si>
    <t>path_has_service</t>
  </si>
  <si>
    <t>enter_service_info</t>
  </si>
  <si>
    <t>dist_service</t>
  </si>
  <si>
    <t>path_has_toll_station</t>
  </si>
  <si>
    <t>dist_toll_start</t>
  </si>
  <si>
    <t>dist_toll_end</t>
  </si>
  <si>
    <t>path_has_traffic_jam</t>
  </si>
  <si>
    <t>dist_jam_start</t>
  </si>
  <si>
    <t>dist_jam_end</t>
  </si>
  <si>
    <t>path_has_road_construction</t>
  </si>
  <si>
    <t>dist_construct_start</t>
  </si>
  <si>
    <t>dist_construct_end</t>
  </si>
  <si>
    <t>weather_type</t>
  </si>
  <si>
    <t>temperature</t>
  </si>
  <si>
    <t>TOS_AEB_BUS</t>
  </si>
  <si>
    <t>J3_SYNC_BUS</t>
  </si>
  <si>
    <t>ImageTimestampMs</t>
  </si>
  <si>
    <t>The time gives the image timestamp when completed Vsync, and not started BPU process</t>
  </si>
  <si>
    <t>SPITimestampMs</t>
  </si>
  <si>
    <t>The time givs the SPI timestamp when completed in J3, perception result output by SPI</t>
  </si>
  <si>
    <t>FrameIndex</t>
  </si>
  <si>
    <t>Image Frame Counter, cleared to 0 if OS or APP restart</t>
  </si>
  <si>
    <t>J3_AEB_HDR_BUS</t>
  </si>
  <si>
    <t>AEB_Brake_Decel_Req</t>
  </si>
  <si>
    <t>AEB_Brake_Decel_flag</t>
  </si>
  <si>
    <t>AEB_Ctrl_fusa_invalid</t>
  </si>
  <si>
    <t>0=valide； 
1=invalid；</t>
  </si>
  <si>
    <t>ProtocolMajorVersion</t>
  </si>
  <si>
    <t>ProtocolMinorVersion</t>
  </si>
  <si>
    <t>RollingCounter_AEB</t>
  </si>
  <si>
    <t>CRCChecksum_AEB</t>
  </si>
  <si>
    <t>J3_AEB_LEVEL_BUS</t>
  </si>
  <si>
    <t>AEB_LatentWarn</t>
  </si>
  <si>
    <t>AEB_Obj_ID_LatentWarn</t>
  </si>
  <si>
    <t>AEB_Obj_ID_PreWarn</t>
  </si>
  <si>
    <t>AEB_Obj_TTC_LatentWarn</t>
  </si>
  <si>
    <t>AEB_Obj_TTC_PreWarn</t>
  </si>
  <si>
    <t>AEB_Obj_Type_LatentWarn</t>
  </si>
  <si>
    <t>AEB_Obj_Type_PreWarn</t>
  </si>
  <si>
    <t>AEB_PreWarn</t>
  </si>
  <si>
    <t>AEB_Jerk</t>
  </si>
  <si>
    <t>AEB_Jerk_Level</t>
  </si>
  <si>
    <t>0=level0
1=level1
2=level2
3=level3</t>
  </si>
  <si>
    <t>AEB_Obj_ID_Jerk</t>
  </si>
  <si>
    <t>AEB_Obj_ID_Prefill</t>
  </si>
  <si>
    <t>AEB_Obj_TTC_Jerk</t>
  </si>
  <si>
    <t>AEB_Obj_TTC_Prefill</t>
  </si>
  <si>
    <t>AEB_Obj_Type_Jerk</t>
  </si>
  <si>
    <t>AEB_Obj_Type_Prefill</t>
  </si>
  <si>
    <t>AEB_Prefill</t>
  </si>
  <si>
    <t>AEB_FullBrake</t>
  </si>
  <si>
    <t>AEB_Obj_ID_FullBrake</t>
  </si>
  <si>
    <t>AEB_Obj_ID_PartialBrake</t>
  </si>
  <si>
    <t>AEB_Obj_TTC_FullBrake</t>
  </si>
  <si>
    <t>AEB_Obj_TTC_PartialBrake</t>
  </si>
  <si>
    <t>AEB_Obj_Type_FullBrake</t>
  </si>
  <si>
    <t>AEB_Obj_Type_PartialBrake</t>
  </si>
  <si>
    <t>AEB_PartialBrake</t>
  </si>
  <si>
    <t>AEB_EBA</t>
  </si>
  <si>
    <t>AEB_Hold</t>
  </si>
  <si>
    <t>AEB_Obj_ID_EBA</t>
  </si>
  <si>
    <t>AEB_Obj_ID_Hold</t>
  </si>
  <si>
    <t>AEB_Obj_TTC_EBA</t>
  </si>
  <si>
    <t>AEB_Obj_TTC_Hold</t>
  </si>
  <si>
    <t>AEB_Obj_Type_EBA</t>
  </si>
  <si>
    <t>AEB_Obj_Type_Hold</t>
  </si>
  <si>
    <t>AEB_HBA</t>
  </si>
  <si>
    <t>0=NO_SET
1=SET</t>
  </si>
  <si>
    <t>AEB_HBA_Level</t>
  </si>
  <si>
    <t>J3_AEB_SUPP_REASON_BUS</t>
  </si>
  <si>
    <t>AEB_Supp_Reason</t>
  </si>
  <si>
    <t>FCW_Supp_Reason</t>
  </si>
  <si>
    <t>J3_AEB_HDR</t>
  </si>
  <si>
    <t>J3_AEB_SYNC</t>
  </si>
  <si>
    <t>J3_AEB_LEVEL</t>
  </si>
  <si>
    <t>J3_AEB_SUPP_REASON</t>
  </si>
  <si>
    <t>J3_FS_HDR_BUS</t>
  </si>
  <si>
    <t>RollingCounter_FreeSpace</t>
  </si>
  <si>
    <t>CRCChecksum_FreeSpace</t>
  </si>
  <si>
    <t>J3_FS_ELEM_BUS</t>
  </si>
  <si>
    <t>FS_Type_Point</t>
  </si>
  <si>
    <t>FS_lateral</t>
  </si>
  <si>
    <t>FS_longitudinal</t>
  </si>
  <si>
    <t>J3_FS_HDR</t>
  </si>
  <si>
    <t>J3_FS_SYNC</t>
  </si>
  <si>
    <t>J3_FS_ELEM</t>
  </si>
  <si>
    <t>J3_IHBC_HDR_BUS</t>
  </si>
  <si>
    <t>IHBC_Decision</t>
  </si>
  <si>
    <t>0=High Beam off
1=High Beam on</t>
  </si>
  <si>
    <t>IHBC_Running_Mode</t>
  </si>
  <si>
    <t>0=Undecided
1=IHBC_Day
2=IHBC_Inactive
3=IHBC_Full</t>
  </si>
  <si>
    <t>Num_Of_Objects</t>
  </si>
  <si>
    <t>单帧所有光源数量</t>
  </si>
  <si>
    <t>大版本</t>
  </si>
  <si>
    <t>小版本</t>
  </si>
  <si>
    <t>Reason_Oncoming</t>
  </si>
  <si>
    <t>对对向目标切近光
0=off
1=on</t>
  </si>
  <si>
    <t>Reason_Preceding</t>
  </si>
  <si>
    <t>对同向目标切近光 
0=off
1=on</t>
  </si>
  <si>
    <t>Reason_Street_Light</t>
  </si>
  <si>
    <t>对路灯切近光
0=off
1=on</t>
  </si>
  <si>
    <t>Reason_for_IHBC_Inactive</t>
  </si>
  <si>
    <t>抑制原因
0=obviously bright
1=low detection rate
2=in grace
3=deactivated
15=invalid reason</t>
  </si>
  <si>
    <t>RollingCounter_IHBC</t>
  </si>
  <si>
    <t>CRCChecksum_IHBC</t>
  </si>
  <si>
    <t>Environment_Lux</t>
  </si>
  <si>
    <t>环境照明LUX，ISP输出</t>
  </si>
  <si>
    <t>Environment_Lux_Recalculate</t>
  </si>
  <si>
    <t>IHBC基于ISP输出值重新计算</t>
  </si>
  <si>
    <t>J3_IHBC_ELEM_BUS</t>
  </si>
  <si>
    <t>IHBC_OBJ_RELEVANT_OBS_ID</t>
  </si>
  <si>
    <t>和光源目标相关的障碍物ID。值为1-255</t>
  </si>
  <si>
    <t>IHBC_OBJ_TYPE</t>
  </si>
  <si>
    <t>探测到的目标类型
0=unkown
1=headlight
2=couple of oncoming(reserve)
3=taillight
4=couple of preceding(reserve)
5=couple of OC upper truck lights (reserve)
6=stree light
7=strong reflector(reserve)
8=cluster(reserve)
9=vehicle
10=cyclist
15=invalid</t>
  </si>
  <si>
    <t>IHBC_OBJ_VALID</t>
  </si>
  <si>
    <t>有效性校验
0=invalid
1=valid</t>
  </si>
  <si>
    <t>IHBC_OBJ_ID</t>
  </si>
  <si>
    <t>光源目标ID,1-255
default发0</t>
  </si>
  <si>
    <t>IHBC_COUPLED_WIDTH</t>
  </si>
  <si>
    <t>耦合光宽度，单位degree</t>
  </si>
  <si>
    <t>IHBC_OBJ_POS_X</t>
  </si>
  <si>
    <t>纵向距离，摄像头到目标</t>
  </si>
  <si>
    <t>IHBC_OBJ_POS_Y</t>
  </si>
  <si>
    <t>横向距离，摄像头到目标，VCS，左正右负</t>
  </si>
  <si>
    <t>IHBC_OBJ_BOTTOM_ANG</t>
  </si>
  <si>
    <t>与目标后边框下边界角度</t>
  </si>
  <si>
    <t>IHBC_OBJ_LEFT_ANG</t>
  </si>
  <si>
    <t>与目标后边框左边界角度</t>
  </si>
  <si>
    <t>IHBC_OBJ_RIGHT_ANG</t>
  </si>
  <si>
    <t>与目标后边框右边界角度</t>
  </si>
  <si>
    <t>IHBC_OBJ_TOP_ANG</t>
  </si>
  <si>
    <t>与目标后边框上边界角度</t>
  </si>
  <si>
    <t>J3_IHBC_HDR</t>
  </si>
  <si>
    <t>J3_IHBC_SYNC</t>
  </si>
  <si>
    <t>J3_IHBC_ELEM</t>
  </si>
  <si>
    <t>J3_RM_ELEM_BUS</t>
  </si>
  <si>
    <t>RM_Confidence</t>
  </si>
  <si>
    <t>置信度，大于6为较高置信度
0-100</t>
  </si>
  <si>
    <t>RM_ID</t>
  </si>
  <si>
    <t>ID，1-8</t>
  </si>
  <si>
    <t>RM_Mark_Type</t>
  </si>
  <si>
    <t>分类
0=Unknown 
 1=Arrow_Left 
 2=Arrow_Forward
 3=Arrow_Right 
 4=Arrow_Left_And_Forward
 5=Arrow_Right_And_Forward
 6=Arrow_Left_And_Left
 7=Arrow_U_Turn
 8=Arrow_U_Turn_And_Forward
 9=Arrow_U_Turn_And_Left
 10=Arrow_Merge_Left
 11=Arrow_Merge_Right
 12=Crosswalk_Notice
 13=Speed_Limit_Low-reserved
 14=Speed_Limit_High-reserved
 15=Arrow_No_Left_Turn-reserved
 16=Arrow_No_Right_Turn-reserved
 17=Arrow_No_U_Turn-reserved
 18=Arrow_No_Forward_And_Left_And_Right
 19=Arrow_No_Forward_And_U_Turn_And_Left-reserved
 20=Arrow_No_Right_And_U_Turn-reserved
 21=Text-reserved
 22=Time-reserved
 23=Check_Following_Distance
 24=Stop_To_Give_Way-reserved
 25=Slowdown_To_Give_Way
 26=Stop_Mark-reserved
 27=Nets-reserved</t>
  </si>
  <si>
    <t>RM_Relevancy</t>
  </si>
  <si>
    <t>是否在自车道
0=Unknown
1=IN_HOSTLANE
2=NOT_IN_HOSTLANE</t>
  </si>
  <si>
    <t>RM_Internal_ID</t>
  </si>
  <si>
    <t>Internal RM ID</t>
  </si>
  <si>
    <t>RM_Position_X</t>
  </si>
  <si>
    <t>纵向距离，单位m</t>
  </si>
  <si>
    <t>RM_Position_Y</t>
  </si>
  <si>
    <t>横向距离，单位m</t>
  </si>
  <si>
    <t>J3_RM_HDR_BUS</t>
  </si>
  <si>
    <t>RMObjectsNumber</t>
  </si>
  <si>
    <t>道路标线计数</t>
  </si>
  <si>
    <t>RollingCounter_RMTFC</t>
  </si>
  <si>
    <t>CRCChecksum_RMTFC</t>
  </si>
  <si>
    <t>J3_RM_HDR</t>
  </si>
  <si>
    <t>J3_RM_SYNC</t>
  </si>
  <si>
    <t>J3_RM_ELEM</t>
  </si>
  <si>
    <t>J3_TFC_ELEM_BUS</t>
  </si>
  <si>
    <t>TFC_Confidence</t>
  </si>
  <si>
    <t>置信度，大于6较为可信
0-100</t>
  </si>
  <si>
    <t>TFC_ID</t>
  </si>
  <si>
    <t>数值1-8</t>
  </si>
  <si>
    <t>TFC_Relevancy</t>
  </si>
  <si>
    <t>与自车相关性
0=Unknown
 1=IN_HOSTLANE
 2=NOT_IN_HOSTLANE</t>
  </si>
  <si>
    <t>TFC_Type</t>
  </si>
  <si>
    <t>类型
0=Unknown 
1=TrafficCone 
2=TrafficBollard
3=IsolationBollard
4=OtherBollard
5=CrashBarrel
6=Tripod</t>
  </si>
  <si>
    <t>TFC_Internal_ID</t>
  </si>
  <si>
    <t>internal ID</t>
  </si>
  <si>
    <t>TFC_Length</t>
  </si>
  <si>
    <t>TFC_Position_X</t>
  </si>
  <si>
    <t>TFC_Position_Y</t>
  </si>
  <si>
    <t>TFC_Width</t>
  </si>
  <si>
    <t>J3_TFC_HDR_BUS</t>
  </si>
  <si>
    <t>TFCObjectsNumber</t>
  </si>
  <si>
    <t>数量</t>
  </si>
  <si>
    <t>J3_TFC_HDR</t>
  </si>
  <si>
    <t>J3_TFC_SYNC</t>
  </si>
  <si>
    <t>J3_TFC_ELEM</t>
  </si>
  <si>
    <t>J3_TFL_HDR_BUS</t>
  </si>
  <si>
    <t>TFLMainObjectID</t>
  </si>
  <si>
    <t>Reserved - Not Implemented.</t>
  </si>
  <si>
    <t>TFLObjectsNumber</t>
  </si>
  <si>
    <t>交通数量</t>
  </si>
  <si>
    <t>RollingCounter_TSRTFL</t>
  </si>
  <si>
    <t>CRCChecksum_TSRTFL</t>
  </si>
  <si>
    <t>J3_TFL_ELEM_BUS</t>
  </si>
  <si>
    <t>TFL_Confidence</t>
  </si>
  <si>
    <t>交通灯存在置信度，大于6比较可信
0-100</t>
  </si>
  <si>
    <t>TFL_ID</t>
  </si>
  <si>
    <t>交通灯ID</t>
  </si>
  <si>
    <t>TFL_ShapeType</t>
  </si>
  <si>
    <t>0=Unknown/Unsupported
 1=VerticalHorizontal 1-light
 2=Vertical 2-light
 3=Horizontal 2-light
 4=Vertical 3-light
 5=Horizontal 3-light</t>
  </si>
  <si>
    <t>TFL_Bulb_Color_1</t>
  </si>
  <si>
    <t>左一灯颜色
0=Unknown
 1=Red
 2=Green
 3=Yellow
 4=Other
 5=Off</t>
  </si>
  <si>
    <t>TFL_Bulb_Color_2</t>
  </si>
  <si>
    <t>左二灯颜色
0=Unknown
 1=Red
 2=Green
 3=Yellow
 4=Other
 5=Off</t>
  </si>
  <si>
    <t>TFL_Bulb_Color_3</t>
  </si>
  <si>
    <t>左三灯颜色
0=Unknown
 1=Red
 2=Green
 3=Yellow
 4=Other
 5=Off</t>
  </si>
  <si>
    <t>TFL_ClassificationType_1</t>
  </si>
  <si>
    <t xml:space="preserve">左一灯含义
0=Unknown
 1=L_Circle 
 2=L_Forward 
 3=L_Left 
 4=L_Right 
 5=L_Return 
 6=L_Pedestrian 
 7=L_Non_Motor 
 8=L_Time 
 9=L_Other (Reserved) 
 10=L_left_and_return 
 11=L_Forward_and_Left 
 12=L_Forward_and_Right 
 13=L_No_Drive_into 
 14=L_Allow_Drive_into 
 15=text_of_allow_ped (Reserved) 
 16=sign_of_allow_ped (Reserved) 
 17=text_of_forbid_ped (Reserved) 
 18=sign_of_forbid_ped (Reserved) </t>
  </si>
  <si>
    <t>TFL_ClassificationType_2</t>
  </si>
  <si>
    <t xml:space="preserve">左二灯含义
0=Unknown
 1=L_Circle 
 2=L_Forward 
 3=L_Left 
 4=L_Right 
 5=L_Return 
 6=L_Pedestrian 
 7=L_Non_Motor 
 8=L_Time 
 9=L_Other (Reserved) 
 10=L_left_and_return 
 11=L_Forward_and_Left 
 12=L_Forward_and_Right 
 13=L_No_Drive_into 
 14=L_Allow_Drive_into 
 15=text_of_allow_ped (Reserved) 
 16=sign_of_allow_ped (Reserved) 
 17=text_of_forbid_ped (Reserved) 
 18=sign_of_forbid_ped (Reserved) </t>
  </si>
  <si>
    <t>TFL_ClassificationType_3</t>
  </si>
  <si>
    <t xml:space="preserve">左三灯含义
0=Unknown
 1=L_Circle 
 2=L_Forward 
 3=L_Left 
 4=L_Right 
 5=L_Return 
 6=L_Pedestrian 
 7=L_Non_Motor 
 8=L_Time 
 9=L_Other (Reserved) 
 10=L_left_and_return 
 11=L_Forward_and_Left 
 12=L_Forward_and_Right 
 13=L_No_Drive_into 
 14=L_Allow_Drive_into 
 15=text_of_allow_ped (Reserved) 
 16=sign_of_allow_ped (Reserved) 
 17=text_of_forbid_ped (Reserved) 
 18=sign_of_forbid_ped (Reserved) </t>
  </si>
  <si>
    <t>is_TFL_Blinking_1</t>
  </si>
  <si>
    <t>闪烁标识
0=No_Blinking
1=Blinking</t>
  </si>
  <si>
    <t>is_TFL_Blinking_2</t>
  </si>
  <si>
    <t>is_TFL_Blinking_3</t>
  </si>
  <si>
    <t>TFL_Internal_ID</t>
  </si>
  <si>
    <t>TFL_PosX</t>
  </si>
  <si>
    <t>纵向距离</t>
  </si>
  <si>
    <t>TFL_PosY</t>
  </si>
  <si>
    <t>横向距离</t>
  </si>
  <si>
    <t>TFL_PosZ</t>
  </si>
  <si>
    <t>TFL_Width</t>
  </si>
  <si>
    <t>J3_TFL_HDR</t>
  </si>
  <si>
    <t>J3_TFL_SYNC</t>
  </si>
  <si>
    <t>J3_TFL_ELEM</t>
  </si>
  <si>
    <t>J3_TSR_ELEM_BUS</t>
  </si>
  <si>
    <t>TSR_TrafficSignType</t>
  </si>
  <si>
    <t>如果TSRTypeVersion为4，CN的见附录Ⅰ 国内交通标志牌类型对照表；
如果TSRTyperVersion为1，EU的见附录II 国外交通标志牌类型对照表</t>
  </si>
  <si>
    <t>TSR_Approved_Flag</t>
  </si>
  <si>
    <t>0=Not Approved
1=Approved</t>
  </si>
  <si>
    <t>TSR_Confidence</t>
  </si>
  <si>
    <t>TSR_Filter_Type</t>
  </si>
  <si>
    <t>0=Not filtered
1=Irrelevant to the host driver
2=On vehicle/truck
3=Embedded(Reserved)
4=RESERVED
5=RESERVED
6=RESERVED
7=RESERVED</t>
  </si>
  <si>
    <t>TSR_ID</t>
  </si>
  <si>
    <t>TSR_Relevancy</t>
  </si>
  <si>
    <t>0=Undefined
1=IN_HOSTLANE_SIGN(Reserved)
2=NOT_IN_HOSTLANE(Reserved)
3=HIGHWAY_EXIT_SIGN (Reserved)
4=SIGN_ON_TURN (Reserved)
5=FAR_IRRELEVANT_SIGN (Reserved)
6=TSR_RAMP_RELEVANT
7=TSR_IS_CONDITIONAL</t>
  </si>
  <si>
    <t>TSR_Internal_ID</t>
  </si>
  <si>
    <t>Sign_Position_X</t>
  </si>
  <si>
    <t>Sign_Position_Y</t>
  </si>
  <si>
    <t>Sign_Position_Z</t>
  </si>
  <si>
    <t>J3_TSR_HDR_BUS</t>
  </si>
  <si>
    <t>TSRObjectsNumber</t>
  </si>
  <si>
    <t>TSRTypeVersion</t>
  </si>
  <si>
    <t>0=REST_OF_THE_WORLD_RC
1=EUROPE_RC
2=USA_RC
3=JAPAN_RC
4=CHINA_RC
5=AFRIC_RC
6=KOREA_RC
7=AUSTRALIA_RC
8=RUSSIA_RC
9=SOUTHEAST_ASIA_RC
10=SOUTH_ASIA_RC
11=MIDDLE_EAST_RC
12=LATIN_AMERICA_RC</t>
  </si>
  <si>
    <t>J3_TSR_HDR</t>
  </si>
  <si>
    <t>J3_TSR_SYNC</t>
  </si>
  <si>
    <t>J3_TSR_ELEM</t>
  </si>
  <si>
    <t>J3_HPP_Line_BUS</t>
  </si>
  <si>
    <t>HPPLine_Confidence</t>
  </si>
  <si>
    <t>HPPLine_First_Valid</t>
  </si>
  <si>
    <t>0=False
1=True</t>
  </si>
  <si>
    <t>HPPLine_Second_Valid</t>
  </si>
  <si>
    <t>HPPLine_Third_Valid</t>
  </si>
  <si>
    <t>HPPLine_MeasuringStatus</t>
  </si>
  <si>
    <t>0=Unknown
1=New
2=Measured
3=Predicted
4=Not valid</t>
  </si>
  <si>
    <t>HPPLine_TrackID</t>
  </si>
  <si>
    <t>HPPLine_ViewRange_End_First</t>
  </si>
  <si>
    <t>HPPLine_ViewRange_End_Second</t>
  </si>
  <si>
    <t>HPPLine_ViewRange_End_Third</t>
  </si>
  <si>
    <t>HPPLineModel_First_C0</t>
  </si>
  <si>
    <t>HPPLineModel_First_C1</t>
  </si>
  <si>
    <t>HPPLineModel_First_C2</t>
  </si>
  <si>
    <t>HPPLineModel_First_C3</t>
  </si>
  <si>
    <t>HPPLine_Half_Width</t>
  </si>
  <si>
    <t>HPPLineModel_Second_C0</t>
  </si>
  <si>
    <t>HPPLineModel_Second_C1</t>
  </si>
  <si>
    <t>HPPLineModel_Second_C2</t>
  </si>
  <si>
    <t>HPPLineModel_Second_C3</t>
  </si>
  <si>
    <t>HPPLineModel_Third_C0</t>
  </si>
  <si>
    <t>HPPLineModel_Third_C1</t>
  </si>
  <si>
    <t>HPPLineModel_Third_C2</t>
  </si>
  <si>
    <t>HPPLineModel_Third_C3</t>
  </si>
  <si>
    <t>J3_Cone_Road_Edge_BUS</t>
  </si>
  <si>
    <t>ConeRoadEdgeConfidence</t>
  </si>
  <si>
    <t>ConeRoadEdgeMeasuringStatus</t>
  </si>
  <si>
    <t>0=Unknown
1=New
2=Measured_Parallel
3=Predicted_Parallel 4=Measured_Unparallel
5=Predicted_Unparallel
6=Not valid(reserved)</t>
  </si>
  <si>
    <t>ConeRoadEdgeTypeClass</t>
  </si>
  <si>
    <t>0=Default
1=Traffic Cone
2=RoadEdge</t>
  </si>
  <si>
    <t>ConeRoadEdgeQuality</t>
  </si>
  <si>
    <t>0=Unknown
1=Low quality
2=High quality
3=Very High quality</t>
  </si>
  <si>
    <t>ConeRoadEdgeParsingConfidence</t>
  </si>
  <si>
    <t>ConeRoadEdgeTrackID</t>
  </si>
  <si>
    <t>ConeRoadEdgeViewRangeStart</t>
  </si>
  <si>
    <t>ConeRoadEdgeViewRangeEnd</t>
  </si>
  <si>
    <t>ConeRoadEdgeModelC0</t>
  </si>
  <si>
    <t>ConeRoadEdgeModelC1</t>
  </si>
  <si>
    <t>ConeRoadEdgeModelC2</t>
  </si>
  <si>
    <t>ConeRoadEdgeModelC3</t>
  </si>
  <si>
    <t>ConeRoadEdgeTLC</t>
  </si>
  <si>
    <t>J3_Road_Edge_BUS</t>
  </si>
  <si>
    <t>LaneConfidence</t>
  </si>
  <si>
    <t>LaneMeasuringStatus</t>
  </si>
  <si>
    <t>0=Unknown
1=New
2=Measured_Parallel
3=Predicted_Parallel 
4=Measured_Unparallel
5=Predicted_Unparallel
6=Not valid(reserved)</t>
  </si>
  <si>
    <t>LaneTypeClass</t>
  </si>
  <si>
    <t>LaneMarkColor</t>
  </si>
  <si>
    <t>LaneQuality</t>
  </si>
  <si>
    <t>ObstacleFlag</t>
  </si>
  <si>
    <t>LaneExtraNearPointType</t>
  </si>
  <si>
    <t>LaneExtraFarPointType</t>
  </si>
  <si>
    <t>LaneParsingConfidence</t>
  </si>
  <si>
    <t>Stopline_Relevancy</t>
  </si>
  <si>
    <t>LaneTrackID</t>
  </si>
  <si>
    <t>LaneWidthMarking</t>
  </si>
  <si>
    <t>LaneViewRangeStart</t>
  </si>
  <si>
    <t>LaneViewRangeEnd</t>
  </si>
  <si>
    <t>LaneModelC0</t>
  </si>
  <si>
    <t>LaneModelC1</t>
  </si>
  <si>
    <t>LaneModelC2</t>
  </si>
  <si>
    <t>LaneModelC3</t>
  </si>
  <si>
    <t>LaneTLC</t>
  </si>
  <si>
    <t>LaneExtraFarPointPosX</t>
  </si>
  <si>
    <t>LaneExtraFarPointPosY</t>
  </si>
  <si>
    <t>LaneExtraNearPointPosX</t>
  </si>
  <si>
    <t>LaneExtraNearPointPosY</t>
  </si>
  <si>
    <t>J3_LKA_Lane_BUS</t>
  </si>
  <si>
    <t>0=Unknown
1=New
2=Measured_Parallel
3=Predicted_Parallel
4=Measured_Unparallel
5=Predicted_Unparallel
6=Not valid(reserved)</t>
  </si>
  <si>
    <t>0=Unknown
 1=Solid
 2=Road Edge(deprecated)
 3=Dashed
 4=Double Lane(Left Dashed, Right Solid)
 5=Double Lane(Left Solid, Right Dashed)
 6=Double Lane(Double Dashed)
 7=Double Lane(Double Solid)
 8=Line Ramp(Solid)
 9=Line Ramp(Dashed)
 10=ShadedArea
 11=DecelerationSolidLine
 12=DecelerationDashedLine
 13=LaneVirtualMarking
 15=Invalid(reserved)</t>
  </si>
  <si>
    <t>LaneCrossing</t>
  </si>
  <si>
    <t>0=FALSE
1=TRUE</t>
  </si>
  <si>
    <t>0=Lanemark no Obstacle
1=Lanemark Obstacle Left
2=Lanemark Obstacle Right
3=Lanemark Obstacle Both</t>
  </si>
  <si>
    <t>0=Default
1=Division
2=Merge
3=Highway Exit Start(reserved)
4=Highway Exit End(reserved)</t>
  </si>
  <si>
    <t>J3_Next_Lane_BUS</t>
  </si>
  <si>
    <t>0=Unknown
 1=Solid
 2=Road Edge（deprecated）
 3=Dashed
 4=Double Lane(Left Dashed, Right Solid)
 5=Double Lane(Left Solid, Right Dashed)
 6=Double Lane(Double Dashed)
 7=Double Lane(Double Solid)
 8=Line Ramp(Solid)
 9=Line Ramp(Dashed)
 10=ShadedArea
 11=DecelerationSolidLine
 12=DecelerationDashedLine
 15=Invalid(reserved)</t>
  </si>
  <si>
    <t>0=Default
1=Division
2=Merge
3=Highway Exit Start
4=Highway Exit End</t>
  </si>
  <si>
    <t>J3_Road_Information_BUS</t>
  </si>
  <si>
    <t>RoadType</t>
  </si>
  <si>
    <t>0=Unknown
1=Highway
2=Urban
3=Rural
4=Tunnel
5=Other-reserved
6=ChargeStation
7=UndergroundParkingLot</t>
  </si>
  <si>
    <t>CurrentWeather</t>
  </si>
  <si>
    <t>0=Unknown
1=Sunny
2=Cloudy
3=Rainy
4=Snowy
5=HeavyRainy
6=Foggy
7=Other</t>
  </si>
  <si>
    <t>CurrentTime</t>
  </si>
  <si>
    <t>0=Unknown
1=Day
2=Night
3=Other</t>
  </si>
  <si>
    <t>LightType</t>
  </si>
  <si>
    <t>0=Unknown
1=Naturallight
2=Lamplight
3=Hardlight
4=Lowsun
5=Dark
6=Other-reserved</t>
  </si>
  <si>
    <t>DisStoplineValid</t>
  </si>
  <si>
    <t>0=Invalid
1=Valid</t>
  </si>
  <si>
    <t>DisStopline</t>
  </si>
  <si>
    <t>TerrainType</t>
  </si>
  <si>
    <t>0=Unknown
1=PAVING_ROAD
2=MUDDY_ROAD
3=SNOW_ROAD
4=MEADOW_ROAD
5=GRAVEL_ROAD
6=DIRT_ROAD(Reserve)
7=MANHOLE_COVER</t>
  </si>
  <si>
    <t>CrossWalkValid</t>
  </si>
  <si>
    <t>0=Invalid
1=Valid
下次大节点变更，删除（已经拆除去了，不使用了）</t>
  </si>
  <si>
    <t>CrossWalkCoor</t>
  </si>
  <si>
    <t>Vector_BUS</t>
  </si>
  <si>
    <t>斑马线坐标，第一个值是X坐标，第二个值是Y坐标，第三个值不用赋值，默认0即可
下次大节点变更，删除（已经拆除去了，不使用了）</t>
  </si>
  <si>
    <t>CrossWalkBox</t>
  </si>
  <si>
    <t>Box_BUS</t>
  </si>
  <si>
    <t>斑马线四点xy坐标，每个点的第一个值是x坐标，第二个值是y坐标
下次大节点变更，删除（已经拆除去了，不使用了）</t>
  </si>
  <si>
    <t>J3_Out_Lane_BUS</t>
  </si>
  <si>
    <t>RollingCounter_Lane</t>
  </si>
  <si>
    <t>Rolling Counter of the msg Road_Information, LKA_Left_Lane, LKA_Right_Lane, Next_Left_Lane, Next_Right_Lane, Left_Cone_Road_Edge, Right_Cone_Road_Edge, Rolling between 0 and 15 SPI frame by SPI frame</t>
  </si>
  <si>
    <t>J3_LANE_SYNC</t>
  </si>
  <si>
    <t>HPP_Line</t>
  </si>
  <si>
    <t>Left_Cone_Road_Edge</t>
  </si>
  <si>
    <t>Left_Road_Edge</t>
  </si>
  <si>
    <t>Left_LKA_Lane</t>
  </si>
  <si>
    <t>Left_Next_Lane</t>
  </si>
  <si>
    <t>Right_Next_Lane</t>
  </si>
  <si>
    <t>Right_LKA_Lane</t>
  </si>
  <si>
    <t>Right_Road_Edge</t>
  </si>
  <si>
    <t>Right_Cone_Road_Edge</t>
  </si>
  <si>
    <t>Road_Information</t>
  </si>
  <si>
    <t>Left_Out_Lane</t>
  </si>
  <si>
    <t>Right_Out_Lane</t>
  </si>
  <si>
    <t>Lane_Extra_Type</t>
  </si>
  <si>
    <t>J3_Lane_Extra_Type_BUS</t>
  </si>
  <si>
    <t>Crosswalk</t>
  </si>
  <si>
    <t>J3_Crosswalk_BUS</t>
  </si>
  <si>
    <t>LinePoints</t>
  </si>
  <si>
    <t>J3_LinePoints_BUS</t>
  </si>
  <si>
    <t>linepoints</t>
  </si>
  <si>
    <t>J3_LinePoint_BUS</t>
  </si>
  <si>
    <t>结构体数组中，第一个元素表示自车道左边车道线，第二个元素表示自车道左边车道线</t>
  </si>
  <si>
    <t>对应j3车道线的id</t>
  </si>
  <si>
    <t>point</t>
  </si>
  <si>
    <t>J3_point_BUS</t>
  </si>
  <si>
    <t>0 means invalid</t>
  </si>
  <si>
    <t>conf</t>
  </si>
  <si>
    <t>confidence, 0-100</t>
  </si>
  <si>
    <t>life_time</t>
  </si>
  <si>
    <t>ms</t>
  </si>
  <si>
    <t>position</t>
  </si>
  <si>
    <t>border</t>
  </si>
  <si>
    <t>point_x</t>
  </si>
  <si>
    <t>point_y</t>
  </si>
  <si>
    <t>change_point_valid</t>
  </si>
  <si>
    <t>0=not valid
1=valid</t>
  </si>
  <si>
    <t>type_change_position</t>
  </si>
  <si>
    <t>0=left
1=right</t>
  </si>
  <si>
    <t>second_line_type</t>
  </si>
  <si>
    <t>J3_Obstacle_HDR_BUS</t>
  </si>
  <si>
    <t>NumObstacles</t>
  </si>
  <si>
    <t>ID_CIPV</t>
  </si>
  <si>
    <t>ID_MCP</t>
  </si>
  <si>
    <t>CIPV_TTC</t>
  </si>
  <si>
    <t>CIPV_TTC_Valid</t>
  </si>
  <si>
    <t>0=NotValid
1=Valid</t>
  </si>
  <si>
    <t>MCP_TTC</t>
  </si>
  <si>
    <t>MCP_TTC_Valid</t>
  </si>
  <si>
    <t>CIPV_HWM_Valid</t>
  </si>
  <si>
    <t>CIPV_HWM</t>
  </si>
  <si>
    <t>RollingCounter_Obstacle</t>
  </si>
  <si>
    <t>CRCChecksum_Obstacle</t>
  </si>
  <si>
    <t>J3_Obstacle_ELEM_BUS</t>
  </si>
  <si>
    <t>ObstacleID</t>
  </si>
  <si>
    <t>ObstacleValid</t>
  </si>
  <si>
    <t>0=invalid Obstacle(default value)
1=new valid (detected this frame)
2=older valid</t>
  </si>
  <si>
    <t>ObstacleReplaced</t>
  </si>
  <si>
    <t>0=not replaced in this frame
1=replaced in this frame</t>
  </si>
  <si>
    <t>ObstacleAge</t>
  </si>
  <si>
    <t>ObstacleConfidence</t>
  </si>
  <si>
    <t>ObstacleMotionCategory</t>
  </si>
  <si>
    <t>0=INVALID
1=UNDEFINED
2=PASSING
3=PASSING_IN
4=PASSING_OUT
5=CLOSE_CUT_IN
6=MOVING_IN
7=MOVING_OUT
8=CROSSING
9=LTAP
10=RTAP(reserved) 
11=MOVING(reserved) 
12=PRECEEDING
13=ONCOMING</t>
  </si>
  <si>
    <t>ObstacleMotionStatus</t>
  </si>
  <si>
    <t>0=INVALID
1=UNKNOWN
2=MOVING
3=STATIONARY
4=STOPPED
5=MOVING SLOWLY</t>
  </si>
  <si>
    <t>ObstacleMeasuringStatus</t>
  </si>
  <si>
    <t>0=INVALID
1=MEASURED
2=PREDICTED</t>
  </si>
  <si>
    <t>ObstacleClass</t>
  </si>
  <si>
    <t>0=INVALID
1=VEHICLE
2=PEDESTRIAN
3=CYCLIST
4=GENERAL_OBJECT(reserved)</t>
  </si>
  <si>
    <t>VehicleSubType</t>
  </si>
  <si>
    <t>0=Unknown
1=Bus
2=Small_Medium_Car
3=Trucks
4=Motors(Tri-cycle)
5=Special_vehicle
6=Tiny_car
7=Lorry</t>
  </si>
  <si>
    <t>PedSubType</t>
  </si>
  <si>
    <t>0=Unknown
1=Adult
2=Child</t>
  </si>
  <si>
    <t>PedPos</t>
  </si>
  <si>
    <t>0=Unknown
1=Bended
2=Cyclist
3=Lier
4=Pedestrian
5=Sitter</t>
  </si>
  <si>
    <t>PedOrientation</t>
  </si>
  <si>
    <t>0=Unknown
1=back
2=front
3=left
4=left_front
5=left_back
6=right
7=right_front
8=right_back</t>
  </si>
  <si>
    <t>ObstacleLaneAssignment</t>
  </si>
  <si>
    <t>0=UNKNOWN
1=LEFT_LEFT
2=LEFT
3=HOST
4=RIGHT 
5=RIGHT_RIGHT</t>
  </si>
  <si>
    <t>ObstacleOccluded</t>
  </si>
  <si>
    <t>0=Default
1=Obstacle not occluded
2=Obstacle occluded</t>
  </si>
  <si>
    <t>ObstacleLength</t>
  </si>
  <si>
    <t>ObstacleWidth</t>
  </si>
  <si>
    <t>ObstacleHeight</t>
  </si>
  <si>
    <t>CIPVFlag</t>
  </si>
  <si>
    <t>0=not CIPV
1=CIPV</t>
  </si>
  <si>
    <t>MCPFlag</t>
  </si>
  <si>
    <t>0=not MCP
1=MCP</t>
  </si>
  <si>
    <t>ObstacleBlinkerInfo</t>
  </si>
  <si>
    <t>0=Unavailable
1=Off
2=Left
3=Right
4=Both</t>
  </si>
  <si>
    <t>ObstacleBrakeLights</t>
  </si>
  <si>
    <t>0=OFF
1=ON</t>
  </si>
  <si>
    <t>ObstacleCenterAngle</t>
  </si>
  <si>
    <t>ObstaclePositionType</t>
  </si>
  <si>
    <t>0=Unknown 
1=RearLeft 
2=RearCenter
3=RearRight
4=FrontLeft
5=FrontCenter
6=FrontRight
7=LeftCenter
8=RightCenter
9=Center</t>
  </si>
  <si>
    <t>Obstacle_TTC</t>
  </si>
  <si>
    <t>ObstaclePosX</t>
  </si>
  <si>
    <t>ObstaclePosY</t>
  </si>
  <si>
    <t>ObstacleVelX</t>
  </si>
  <si>
    <t>ObstacleVelY</t>
  </si>
  <si>
    <t>ObstacleAccX</t>
  </si>
  <si>
    <t>ObstaclePosXSTD</t>
  </si>
  <si>
    <t>ObstaclePosYSTD</t>
  </si>
  <si>
    <t>ObstacleVelXSTD</t>
  </si>
  <si>
    <t>ObstacleVelYSTD</t>
  </si>
  <si>
    <t>ObstacleAccY</t>
  </si>
  <si>
    <t>CutInLaneType</t>
  </si>
  <si>
    <t>0=default
1=measured 
2=predicted</t>
  </si>
  <si>
    <t>ObstacleAngle</t>
  </si>
  <si>
    <t>ObstacleAngleStd</t>
  </si>
  <si>
    <t>ObstacleVelXAbs</t>
  </si>
  <si>
    <t>ObstacleVelYAbs</t>
  </si>
  <si>
    <t>Checksum_Obstacle</t>
  </si>
  <si>
    <t>ObjCornerPointPoxX</t>
  </si>
  <si>
    <t>CutInDistance</t>
  </si>
  <si>
    <t>ObjCornerPointPoxY</t>
  </si>
  <si>
    <t>ObstacleCurvatureRadius</t>
  </si>
  <si>
    <t>ObstacleTrackingConfidence</t>
  </si>
  <si>
    <t>CutInFlag</t>
  </si>
  <si>
    <t>0=not cut in
1=cut in
2=close cut in</t>
  </si>
  <si>
    <t>CutinSpeed</t>
  </si>
  <si>
    <t>CutinSpeedValid</t>
  </si>
  <si>
    <t>0=invalid
1=valid</t>
  </si>
  <si>
    <t>ObsProNotOnRoadFlag</t>
  </si>
  <si>
    <t>0=No
 1=Yes</t>
  </si>
  <si>
    <t>ObsProCoverdByOthersFlag</t>
  </si>
  <si>
    <t>ObsProObserveJumpFlag</t>
  </si>
  <si>
    <t>ObsProObserveSideFlag</t>
  </si>
  <si>
    <t>ObsProBtTapLevel1Flag</t>
  </si>
  <si>
    <t>ObsProBtTapLevel2Flag</t>
  </si>
  <si>
    <t>ObsProBtTapLevel3Flag</t>
  </si>
  <si>
    <t>ObsProPedOnMotorFlag</t>
  </si>
  <si>
    <t>ObsUnstableMeasureJump</t>
  </si>
  <si>
    <t>0=None, 1=Mild, 2=Moderate, 3=Severe</t>
  </si>
  <si>
    <t>ObsUnstableMeasureLoss</t>
  </si>
  <si>
    <t>ObsUnstableMeasureLess</t>
  </si>
  <si>
    <t>ObsUnstableCategoryJump</t>
  </si>
  <si>
    <t>ObsUnstableSizeJump</t>
  </si>
  <si>
    <t>Obstacle_Internal_ID</t>
  </si>
  <si>
    <t>J3_Obstacle_Extra_BUS</t>
  </si>
  <si>
    <t>J3_Obstacles_Extra</t>
  </si>
  <si>
    <t>J3_Obstacles_Extra_BUS</t>
  </si>
  <si>
    <t>ramp</t>
  </si>
  <si>
    <t>ped_pose</t>
  </si>
  <si>
    <t>reserved</t>
  </si>
  <si>
    <t>pro_flag</t>
  </si>
  <si>
    <t>J3_Obstacle_HDR</t>
  </si>
  <si>
    <t>J3_Obstacle_SYNC</t>
  </si>
  <si>
    <t>J3_Obstacle_ELEM</t>
  </si>
  <si>
    <t>J3_Obstacle_Extra</t>
  </si>
  <si>
    <t>PSM_LcPathBlocks_BUS</t>
  </si>
  <si>
    <t>Id</t>
  </si>
  <si>
    <t>Type</t>
  </si>
  <si>
    <t>MovingState</t>
  </si>
  <si>
    <t>TrackAge</t>
  </si>
  <si>
    <t>Length</t>
  </si>
  <si>
    <t>Ds</t>
  </si>
  <si>
    <t>Vs_Gnd</t>
  </si>
  <si>
    <t>As_Gnd</t>
  </si>
  <si>
    <t>Vector3d</t>
  </si>
  <si>
    <t>ObjClassType</t>
  </si>
  <si>
    <t>UNKNOWN</t>
  </si>
  <si>
    <t>CAR</t>
  </si>
  <si>
    <t>BIG_VEHICLE</t>
  </si>
  <si>
    <t>BICYCLE</t>
  </si>
  <si>
    <t>MOTORCYCLE</t>
  </si>
  <si>
    <t>TRICYCLE</t>
  </si>
  <si>
    <t>PEDESTRIAN</t>
  </si>
  <si>
    <t>BICYCLIST</t>
  </si>
  <si>
    <t>MOTORCYCLIST</t>
  </si>
  <si>
    <t>TRICYCLIST</t>
  </si>
  <si>
    <t>CONE</t>
  </si>
  <si>
    <t>ANIMAL</t>
  </si>
  <si>
    <t>MotionStatus</t>
  </si>
  <si>
    <t>UNKNOWN_MOTION</t>
  </si>
  <si>
    <t>MOVING</t>
  </si>
  <si>
    <t>STATIONARY</t>
  </si>
  <si>
    <t>ONCOMING</t>
  </si>
  <si>
    <t>STOPPED</t>
  </si>
  <si>
    <t>MeasState</t>
  </si>
  <si>
    <t>DELETED</t>
  </si>
  <si>
    <t>NEW</t>
  </si>
  <si>
    <t>UPDATE</t>
  </si>
  <si>
    <t>PREDICT</t>
  </si>
  <si>
    <t>FusionObject_COM</t>
  </si>
  <si>
    <t>obj_id</t>
  </si>
  <si>
    <t>目标id,默认值0，有效值1 - 400</t>
  </si>
  <si>
    <t>目标存在时间，单位ms</t>
  </si>
  <si>
    <t>confidence</t>
  </si>
  <si>
    <t>目标存在概率，范围0.0 - 1.0,目标有效情况下默认1.0</t>
  </si>
  <si>
    <t>class_type</t>
  </si>
  <si>
    <t>0:unknown 1:car 2:big_vehicle 3:ped 4:bicycle 5:cone 6:animal</t>
  </si>
  <si>
    <t>class_type_confidence</t>
  </si>
  <si>
    <t>目标类别概率，范围0.0 - 1.0，目标有效情况下默认1.0</t>
  </si>
  <si>
    <t>center</t>
  </si>
  <si>
    <t>目标几何中心点位置坐标</t>
  </si>
  <si>
    <t>center_rms</t>
  </si>
  <si>
    <t>位置标准差</t>
  </si>
  <si>
    <t>abs_vel</t>
  </si>
  <si>
    <t>目标中心点速度</t>
  </si>
  <si>
    <t>abs_vel_rms</t>
  </si>
  <si>
    <t>速度标准差</t>
  </si>
  <si>
    <t>abs_accel</t>
  </si>
  <si>
    <t>目标中心点加速度</t>
  </si>
  <si>
    <t>abs_accel_rms</t>
  </si>
  <si>
    <t>加速度标准差</t>
  </si>
  <si>
    <t>size</t>
  </si>
  <si>
    <t>目标长宽高</t>
  </si>
  <si>
    <t>size_rms</t>
  </si>
  <si>
    <t>目标长宽高标准差</t>
  </si>
  <si>
    <t>corner_left_front</t>
  </si>
  <si>
    <t>corner_right_front</t>
  </si>
  <si>
    <t>corner_left_rear</t>
  </si>
  <si>
    <t>corner_right_rear</t>
  </si>
  <si>
    <t>orientation_angle</t>
  </si>
  <si>
    <t>目标相对本车朝向角，范围-pi - pi</t>
  </si>
  <si>
    <t>orientation_rms</t>
  </si>
  <si>
    <t>朝向角标准差</t>
  </si>
  <si>
    <t>motion_status</t>
  </si>
  <si>
    <t>0:unknown 1:moving 2:stationary 3:oncoming 4:stopped</t>
  </si>
  <si>
    <t>measured_source</t>
  </si>
  <si>
    <t>0&lt;&lt;0:unknown 1&lt;&lt;0: camera 1&lt;&lt;1:front_radar 1&lt;&lt;2:corner_radar_fl 1&lt;&lt;3:corner_radar_fr 1&lt;&lt;4:corner_radar_rl 1&lt;&lt;5:corner_radar_rr 1&lt;&lt;6:sim mera</t>
  </si>
  <si>
    <t>meas_state</t>
  </si>
  <si>
    <t xml:space="preserve">0:deleted 1:new 2:update 3:predict </t>
  </si>
  <si>
    <t>cipv_id</t>
  </si>
  <si>
    <t>0:not_cipv 1:cipv  2:左后雷达最近目标（来自传感器） 3:右后最近目标（来自传感器）</t>
  </si>
  <si>
    <t>turnLmpSts</t>
  </si>
  <si>
    <t>透传J3信号名字：ObstacleBlinkerInfo</t>
  </si>
  <si>
    <t>breakLmpSts</t>
  </si>
  <si>
    <t>透传J3信号：ObstacleBrakeLights</t>
  </si>
  <si>
    <t>camID</t>
  </si>
  <si>
    <t>透传J3信号：ObstacleID</t>
  </si>
  <si>
    <t>camDx</t>
  </si>
  <si>
    <t>摄像头纵向距离</t>
  </si>
  <si>
    <t>camDy</t>
  </si>
  <si>
    <t>摄像头橫向距离</t>
  </si>
  <si>
    <t>camCutInFlag</t>
  </si>
  <si>
    <t>透传J3信号：CutInFlag</t>
  </si>
  <si>
    <t>camCutInSpd</t>
  </si>
  <si>
    <t>如果CutinSpeedValid无效，输出默认0，有效输出CutinSpeed</t>
  </si>
  <si>
    <t>camCutInDist</t>
  </si>
  <si>
    <t>透传J3信号：CutInDistance</t>
  </si>
  <si>
    <t>camObjLaneAssignment</t>
  </si>
  <si>
    <t xml:space="preserve">透传J3信号：ObstacleLaneAssignment </t>
  </si>
  <si>
    <t>FusionHeader</t>
  </si>
  <si>
    <t>融合目标时间戳，单位ms</t>
  </si>
  <si>
    <t>rolling_counter</t>
  </si>
  <si>
    <t>融合帧计数</t>
  </si>
  <si>
    <t>obj_num</t>
  </si>
  <si>
    <t>融合目标个数</t>
  </si>
  <si>
    <t>header</t>
  </si>
  <si>
    <t>融合帧信息</t>
  </si>
  <si>
    <t>object</t>
  </si>
  <si>
    <t>融合目标信息</t>
  </si>
  <si>
    <t>取自车运动信号的时间戳，单位ms</t>
  </si>
  <si>
    <t>vehicle_error</t>
  </si>
  <si>
    <t>vision_obstacles_error</t>
  </si>
  <si>
    <t>vision_lanes_error</t>
  </si>
  <si>
    <t>front_radar_error</t>
  </si>
  <si>
    <t>fl_radar_error</t>
  </si>
  <si>
    <t>fr_radar_error</t>
  </si>
  <si>
    <t>rl_radar_error</t>
  </si>
  <si>
    <t>rr_radar_error</t>
  </si>
  <si>
    <t>fusion_error</t>
  </si>
  <si>
    <t>AEBTarDec</t>
  </si>
  <si>
    <t>AEBDecCtrlReqest</t>
  </si>
  <si>
    <t>0x0 not request
0x1 request</t>
  </si>
  <si>
    <t>AEBReq</t>
  </si>
  <si>
    <t>0x0: No demand
0x1:AEB
0x2: AEB~VRU
0x3: AEB~cyclist
0x4: EBA
0x5: FCTB
0x6~0x7: Reserved</t>
  </si>
  <si>
    <t>DWReq</t>
  </si>
  <si>
    <t>AWBRequest</t>
  </si>
  <si>
    <t>AWBLevel</t>
  </si>
  <si>
    <t>0x0 not request
0x1 level_1
0x2 level_2
0x3 level_3</t>
  </si>
  <si>
    <t>PrefillRequest</t>
  </si>
  <si>
    <t>HBAlevel</t>
  </si>
  <si>
    <t>HBArequest</t>
  </si>
  <si>
    <t>FCWMode</t>
  </si>
  <si>
    <t>0x0:  Off
0x1:  Passive Standby
0x2:  Active
0x3:   failure</t>
  </si>
  <si>
    <t>AEBMode</t>
  </si>
  <si>
    <t>FCTBMode</t>
  </si>
  <si>
    <t>HazdLmpReq</t>
  </si>
  <si>
    <t>0x0: No respose
0x1: Off
0x2: Failure
0x3: Active</t>
  </si>
  <si>
    <t>TextInfo</t>
  </si>
  <si>
    <t>0x0:No display
0x1:AEB is switched on
0x2:AEB is switched off
0x3:AEB is active
0x4:AEB is failure
0x5:FCW is switched on
0x6:FCW is switched off
0x7:FCW is active
0x8:FCW is failure
0xB :Unable to open FCW
0xC :Unable to open AEB</t>
  </si>
  <si>
    <t>TextinfoWarn</t>
  </si>
  <si>
    <t>0x0: No Display
0x4:Failed sound
0x5：Safety sound</t>
  </si>
  <si>
    <t>FusionType</t>
  </si>
  <si>
    <t>0: Unknown
1: Car
2: Large vehicle
3: Pedestrian
4: Bicycle
5: Cone
6: Animal</t>
  </si>
  <si>
    <t>ObjectID</t>
  </si>
  <si>
    <t>ObjectIndex</t>
  </si>
  <si>
    <t>ObjectType</t>
  </si>
  <si>
    <t>ObjectLength</t>
  </si>
  <si>
    <t>ObjectWidth</t>
  </si>
  <si>
    <t>ObjectHeadingAngle</t>
  </si>
  <si>
    <t>ObjectMovingState</t>
  </si>
  <si>
    <t>ObjectMovingOrientation</t>
  </si>
  <si>
    <t>Object_RangeX</t>
  </si>
  <si>
    <t>Object_RangeY</t>
  </si>
  <si>
    <t>Object_Abs_SPEED</t>
  </si>
  <si>
    <t>TiToCllsn</t>
  </si>
  <si>
    <t>ANegLgtRqrd</t>
  </si>
  <si>
    <t>ANegLgtRqrdForPrimTarWarn</t>
  </si>
  <si>
    <t>PrimTarInPahNow</t>
  </si>
  <si>
    <t>InPathPredict</t>
  </si>
  <si>
    <t>CrvtRqrdLe</t>
  </si>
  <si>
    <t>CrvtRqrdRi</t>
  </si>
  <si>
    <t>ALatRqrd</t>
  </si>
  <si>
    <t>Ego_vxvRefMs</t>
  </si>
  <si>
    <t>Ego_axvRefMs2</t>
  </si>
  <si>
    <t>Ego_kapTraj</t>
  </si>
  <si>
    <t>Ego_ayvRefMs2</t>
  </si>
  <si>
    <t>Ego_psiDtOpt</t>
  </si>
  <si>
    <t>TTC</t>
  </si>
  <si>
    <t>FCW_ANegLgtRqrdForWarn</t>
  </si>
  <si>
    <t>FCW_startConditionMet</t>
  </si>
  <si>
    <t>BrakeThreat</t>
  </si>
  <si>
    <t>SteerThreat</t>
  </si>
  <si>
    <t>Sceniaro_OK</t>
  </si>
  <si>
    <t>Host_State</t>
  </si>
  <si>
    <t>Sceniaro_Flag</t>
  </si>
  <si>
    <t>object_class</t>
  </si>
  <si>
    <t>object_status</t>
  </si>
  <si>
    <t>vxv_ref</t>
  </si>
  <si>
    <t>axv_ref</t>
  </si>
  <si>
    <t>ayv_ref</t>
  </si>
  <si>
    <t>dxv</t>
  </si>
  <si>
    <t>dyv</t>
  </si>
  <si>
    <t>vxv</t>
  </si>
  <si>
    <t>vyv</t>
  </si>
  <si>
    <t>axv</t>
  </si>
  <si>
    <t>ayv</t>
  </si>
  <si>
    <t>d_width</t>
  </si>
  <si>
    <t>curve_rate</t>
  </si>
  <si>
    <t>aeb_inhibit_flag_1</t>
  </si>
  <si>
    <t>aeb_inhibit_flag_2</t>
  </si>
  <si>
    <t>目标类型 1:Unkwon 2:Car 3:Truck 4 Bicycle 5Moto 6 Pedestrian7:Tricycle 8：Animal 9: Cone10:BicyLIst 11:MotorcycleList 12:TricycleLIst</t>
  </si>
  <si>
    <t>方位角</t>
  </si>
  <si>
    <t>航向角</t>
  </si>
  <si>
    <t>运动状态 0:Unkwon 1:Unvalid 2 :Moving 3 :Stationary 4：MovingStopped 5：Mov&amp;&amp;Oncoming</t>
  </si>
  <si>
    <t>运动朝向 0:Unkwon 1 : 同向 2 :对向 3 横穿</t>
  </si>
  <si>
    <t>最近纵向距离</t>
  </si>
  <si>
    <t>最近纵向距离对应的横向距离</t>
  </si>
  <si>
    <t>目标速度</t>
  </si>
  <si>
    <t>Object_AX</t>
  </si>
  <si>
    <t>Object_AY</t>
  </si>
  <si>
    <t>目标绝对横向加速度</t>
  </si>
  <si>
    <t>目标周期</t>
  </si>
  <si>
    <t>摄像头ID</t>
  </si>
  <si>
    <t>reserve</t>
  </si>
  <si>
    <t>CllsnMtgtnByBrkgPrimQly</t>
  </si>
  <si>
    <t>CllsnMtgtnByBrkgSecQly</t>
  </si>
  <si>
    <t>CllsnWarnFwdQly</t>
  </si>
  <si>
    <t>TimeStamp</t>
  </si>
  <si>
    <t>J3时间戳</t>
  </si>
  <si>
    <t>SM_MCU_ExcpInfo</t>
  </si>
  <si>
    <t>StExcpnRecOs_CoreId</t>
  </si>
  <si>
    <t>StExcpnRecOs_ErrorType</t>
  </si>
  <si>
    <t>Os_ErrorInfo_Error</t>
  </si>
  <si>
    <t>Reserved</t>
  </si>
  <si>
    <t>ExceptionSource</t>
  </si>
  <si>
    <t>ExceptionInstructionAddress</t>
  </si>
  <si>
    <t>Os_ErrorInfo_Service</t>
  </si>
  <si>
    <t>Os_ErrorInfo_DetailedError</t>
  </si>
  <si>
    <t>Gu4aCallStack</t>
  </si>
  <si>
    <t>SM_MODULE_STATUS</t>
  </si>
  <si>
    <t>STATUS_NORMAL</t>
  </si>
  <si>
    <t>初值</t>
  </si>
  <si>
    <t>STATUS_NOT_CONNECTED</t>
  </si>
  <si>
    <t>断联</t>
  </si>
  <si>
    <t>STATUS_HEARTBEAT_MISSED</t>
  </si>
  <si>
    <t>心跳不连续</t>
  </si>
  <si>
    <t>STATUS_ABNORMAL</t>
  </si>
  <si>
    <t>异常状态</t>
  </si>
  <si>
    <t>swc_id</t>
  </si>
  <si>
    <t>sequence_num</t>
  </si>
  <si>
    <t>心跳信号 0-255 递增</t>
  </si>
  <si>
    <t>module_status</t>
  </si>
  <si>
    <t>inner_error</t>
  </si>
  <si>
    <t>SM_CORE_INFO</t>
  </si>
  <si>
    <t>core_id</t>
  </si>
  <si>
    <t>max_cpuload</t>
  </si>
  <si>
    <t>average_cpuload</t>
  </si>
  <si>
    <t>SM_TASK_INFO</t>
  </si>
  <si>
    <t>task_exec_time</t>
  </si>
  <si>
    <t>heart_beat_info</t>
  </si>
  <si>
    <t>mcu_ver</t>
  </si>
  <si>
    <t>cal_ver</t>
  </si>
  <si>
    <t>fbl_ver</t>
  </si>
  <si>
    <t>mcu_info</t>
  </si>
  <si>
    <t>time_stamp</t>
  </si>
  <si>
    <t>core_info_arr</t>
  </si>
  <si>
    <t>mcu_excp_info</t>
  </si>
  <si>
    <t>task_info_arr</t>
  </si>
  <si>
    <t>MapEngineMessageType_BUS</t>
  </si>
  <si>
    <t>MSG_TYPE_POSITION</t>
  </si>
  <si>
    <t>MSG_TYPE_STUB</t>
  </si>
  <si>
    <t>MSG_TYPE_SEGMENT</t>
  </si>
  <si>
    <t>MSG_TYPE_PROFILE_SHORT</t>
  </si>
  <si>
    <t>MSG_TYPE_PROFILE_LONG</t>
  </si>
  <si>
    <t>MSG_TYPE_META</t>
  </si>
  <si>
    <t>MSG_TYPE_SD_NAVI_DETAIL_MSG</t>
  </si>
  <si>
    <t>MSG_TYPE_SD_INTERVAL_SPEED_LIMIT_MSG</t>
  </si>
  <si>
    <t>MSG_TYPE_SD_VOICE_MSG</t>
  </si>
  <si>
    <t>MSG_TYPE_SD_GREEN_WAVE_MSG</t>
  </si>
  <si>
    <t>MSG_TYPE_SD_SEGMENT_MSG</t>
  </si>
  <si>
    <t>MSG_TYPE_SD_CAMERA_MSG</t>
  </si>
  <si>
    <t>MSG_TYPE_SD_LANE_MSG</t>
  </si>
  <si>
    <t>MSG_TYPE_SD_NAVI_CONGESTION_MSG</t>
  </si>
  <si>
    <t>MSG_TYPE_SD_TOLL_GATE_MSG</t>
  </si>
  <si>
    <t>MSG_TYPE_SD_TRAFFIC_LIGHT_MSG</t>
  </si>
  <si>
    <t>MSG_TYPE_SD_WEATHER_MSG</t>
  </si>
  <si>
    <t>MSG_TYPE_EHP_FAULT</t>
  </si>
  <si>
    <t>MSG_TYPE_INVALID</t>
  </si>
  <si>
    <t>MapEngineMessagHeader_BUS</t>
  </si>
  <si>
    <t>pack_identifier</t>
  </si>
  <si>
    <t>message_type</t>
  </si>
  <si>
    <t>message_size</t>
  </si>
  <si>
    <t>cockpit_receive_ts</t>
  </si>
  <si>
    <t>cockpit_send_ts</t>
  </si>
  <si>
    <t>soc_receive_ts</t>
  </si>
  <si>
    <t>data</t>
  </si>
  <si>
    <t>cyclic_counter</t>
  </si>
  <si>
    <t>path_index</t>
  </si>
  <si>
    <t>position_index</t>
  </si>
  <si>
    <t>position_age</t>
  </si>
  <si>
    <t>speed</t>
  </si>
  <si>
    <t>relative_heading</t>
  </si>
  <si>
    <t>position_probability</t>
  </si>
  <si>
    <t>position_confidence</t>
  </si>
  <si>
    <t>current_lane</t>
  </si>
  <si>
    <t>offset</t>
  </si>
  <si>
    <t>retransmission</t>
  </si>
  <si>
    <t>update</t>
  </si>
  <si>
    <t>functional_roadclass</t>
  </si>
  <si>
    <t>form_of_way</t>
  </si>
  <si>
    <t>effective_speed_limit</t>
  </si>
  <si>
    <t>effective_speed_limit_type</t>
  </si>
  <si>
    <t>number_of_lane</t>
  </si>
  <si>
    <t>number_of_lane_opposite</t>
  </si>
  <si>
    <t>tunnel</t>
  </si>
  <si>
    <t>bridge</t>
  </si>
  <si>
    <t>divided_road</t>
  </si>
  <si>
    <t>buildup_area</t>
  </si>
  <si>
    <t>complex_intersection</t>
  </si>
  <si>
    <t>relative_probability</t>
  </si>
  <si>
    <t>part_of_calculated_route</t>
  </si>
  <si>
    <t>subpath_index</t>
  </si>
  <si>
    <t>turn_angle</t>
  </si>
  <si>
    <t>complex_Intersection</t>
  </si>
  <si>
    <t>right_of_way</t>
  </si>
  <si>
    <t>last_stub_at_offset</t>
  </si>
  <si>
    <t>profile_type</t>
  </si>
  <si>
    <t>control_point</t>
  </si>
  <si>
    <t>accuracy</t>
  </si>
  <si>
    <t>distance1</t>
  </si>
  <si>
    <t>reserve1</t>
  </si>
  <si>
    <t>value0</t>
  </si>
  <si>
    <t>value1</t>
  </si>
  <si>
    <t>value</t>
  </si>
  <si>
    <t>driving_side</t>
  </si>
  <si>
    <t>speed_unit</t>
  </si>
  <si>
    <t>major_protocol_version</t>
  </si>
  <si>
    <t>minor_protocol_version</t>
  </si>
  <si>
    <t>map_provider</t>
  </si>
  <si>
    <t>map_version_year</t>
  </si>
  <si>
    <t>map_version_quarter</t>
  </si>
  <si>
    <t>country_code</t>
  </si>
  <si>
    <t>region_code</t>
  </si>
  <si>
    <t>minor_protocol_subversion</t>
  </si>
  <si>
    <t>hardware_version</t>
  </si>
  <si>
    <t>apk_crash</t>
  </si>
  <si>
    <t>route_file_absent</t>
  </si>
  <si>
    <t>sd_info_absent</t>
  </si>
  <si>
    <t>v2_info_absent</t>
  </si>
  <si>
    <t>gps_info_absent</t>
  </si>
  <si>
    <t>ehp_init_failure</t>
  </si>
  <si>
    <t>ota_failure</t>
  </si>
  <si>
    <t>map_data_corruption</t>
  </si>
  <si>
    <t>map_data_read_failure</t>
  </si>
  <si>
    <t>auth_failure</t>
  </si>
  <si>
    <t>storage_error</t>
  </si>
  <si>
    <t>cr_error</t>
  </si>
  <si>
    <t>no_mapdata</t>
  </si>
  <si>
    <t>ref_lane_id</t>
  </si>
  <si>
    <t>主作用目标ID</t>
  </si>
  <si>
    <t>nudge_dx</t>
  </si>
  <si>
    <t>nudge的执行距离</t>
  </si>
  <si>
    <t>nudge_type</t>
  </si>
  <si>
    <t>0:无效  1:横向偏移  2:横向偏移+速度调整</t>
  </si>
  <si>
    <t>nudge_offset</t>
  </si>
  <si>
    <t>当nudge_type为1或2时，到达nudge_dx时的偏移距离</t>
  </si>
  <si>
    <t>nudge_speed_limit</t>
  </si>
  <si>
    <t>当nudge_type为2时，到达nudge_dx时的最高行使速度</t>
  </si>
  <si>
    <t>rt_Array_EVM_NUDGE_BUS_2</t>
  </si>
  <si>
    <t>计算hostlane和tarlane</t>
  </si>
  <si>
    <t>host_lane_idx</t>
  </si>
  <si>
    <t>本车道</t>
  </si>
  <si>
    <t>target_lane_idx</t>
  </si>
  <si>
    <t>目标车道</t>
  </si>
  <si>
    <t>lc_req</t>
  </si>
  <si>
    <t>换道意图1左2右3取消</t>
  </si>
  <si>
    <t>lc_req_sync_id</t>
  </si>
  <si>
    <t>意图同步id，每次+1</t>
  </si>
  <si>
    <t>lc_level</t>
  </si>
  <si>
    <t>基础换道速度等级
0x1:Slow（reserve）
0x2:Normal（默认正常换道用）
0x3:Fast（reserve）
0x4:Lc Cancel（换道取消专用）
0x5:Very slow（靠边停车用）
0x6:Spilt（分流专用）
0x7:Very fast（紧急变道用）</t>
  </si>
  <si>
    <t>lc_req_reason</t>
  </si>
  <si>
    <t>当前存在意图的原因，根据内部优先级仅输出一个，换道开始执行后保持不变
1: 拨杆变道
2: noa汇入变道
3: noa汇出变道
4: 压速变道
5: 避障变道
6: 消亡车道变道
7: 汇出分流（执行split）
8: 匝道分流（执行split）
9: MRC(靠边停车)
10:语音变道</t>
  </si>
  <si>
    <t>lc_lntention_conds</t>
  </si>
  <si>
    <t>实时的各个换道意图触发条件（换道意图）</t>
  </si>
  <si>
    <t>pln_run_sts</t>
  </si>
  <si>
    <t>1:inhibited or failed /2:ready/3:active or repln/4:continue pln/5:copilot</t>
  </si>
  <si>
    <t>lgt_pln_sts</t>
  </si>
  <si>
    <t>1:cc/2:ic/3:ord/4:follow/5:JW/6:InsertSpaceLC/7:CA/8:merge</t>
  </si>
  <si>
    <t>lat_pln_sts</t>
  </si>
  <si>
    <t>低8位：
lat_pln_sts:  0:none/1:cruise/2:cruise and nudge/3:lc/4:lc and nudeg/5:split/6:split and nudge/7:LC Cancle/8:dop/9:LDP/10:ELK
（待修改）
高8位：
基础换道速度等级
0x1:Slow（reserve）
0x2:Normal（默认正常换道用）
0x3:Fast（reserve）
0x4:Lc Cancel（换道取消专用）
0x5:Very slow（靠边停车用）
0x6:Spilt（分流专用）
0x7:Very fast（紧急变道用）</t>
  </si>
  <si>
    <t>lgt_drive_sts</t>
  </si>
  <si>
    <t>1:go/2:del2stop/3:stop/4:stop and ready to go/5:driveoff</t>
  </si>
  <si>
    <t>lc_exec_sts</t>
  </si>
  <si>
    <t>0-Idle（等待换道意图）； 
1-换道条件校验中（存在抑制条件）； 
2-插空换道进行中（满足插空条件，但不满足换道条件）； 
3-换道进行（满足所有换道条件）； 
4-换道取消进行（满足换道取消条件）； 
5-换道完成(完全进入目标车道，但仍保持变道模式继续剧中)； 
6-居中完成（4/5-&gt;6，变道规控结束，切换到巡航模式）；
7-换道强制取消（参考线异常）；</t>
  </si>
  <si>
    <t>lat_ctrl_mod</t>
  </si>
  <si>
    <t>变道同步id</t>
  </si>
  <si>
    <t>lc_failed_reason</t>
  </si>
  <si>
    <t>当前及上次换道取消原因（保留到下次换道清零）
bit0:目标
bit1:中心线状态，
bit2:道路宽度，
bit3:车辆到线的距离，
bit4:线id
bit5:线来源
bit6:变道请求
bit7:overtime</t>
  </si>
  <si>
    <t>lc_feasibility_conds</t>
  </si>
  <si>
    <t>当前换道换道条件满足情况:
bit0:目标
bit1:中心线状态，
bit2:道路宽度，
bit3:车辆到线的距离，
bit4:线id
bit5:线来源
bit6:变道侧存在车道线
bit7:变道侧车道线可跨越
bit8:道路消亡
bit9:变道侧消亡</t>
  </si>
  <si>
    <t>pln_inhibited_reason</t>
  </si>
  <si>
    <t>bit0:横向速度
bit1:横向加速度，
bit2:纵向速度，
bit3:纵向加速度
bit4:障碍物</t>
  </si>
  <si>
    <t>pln_failed_reason</t>
  </si>
  <si>
    <t>nudge_exec_sts</t>
  </si>
  <si>
    <t>nudge执行状态，1：左侧激活；2：右侧激活；0：不激活</t>
  </si>
  <si>
    <t>updateCnt</t>
  </si>
  <si>
    <t>当前控制线使用的EVM_Lane中参考线id</t>
  </si>
  <si>
    <t>st_poly_valid</t>
  </si>
  <si>
    <t>纵向轨迹有效性</t>
  </si>
  <si>
    <t>st_poly</t>
  </si>
  <si>
    <t>Poly_BUS</t>
  </si>
  <si>
    <t>纵向轨迹信息</t>
  </si>
  <si>
    <t>xy_poly_valid</t>
  </si>
  <si>
    <t>横向轨迹有效性</t>
  </si>
  <si>
    <t>xy_poly</t>
  </si>
  <si>
    <t>横向轨迹信息</t>
  </si>
  <si>
    <t>acc_sts</t>
  </si>
  <si>
    <t>lcc_sts</t>
  </si>
  <si>
    <t>0:off 1:passive 2:ready 3:active 6:wait 7:failure  9:safestop 11:mrc: 12:copilot</t>
  </si>
  <si>
    <t>nudge_sts</t>
  </si>
  <si>
    <t>alc_sts</t>
  </si>
  <si>
    <t>alc_sts 
0-关闭； 
1-巡航；
2-左换道等待； 
3-右换道等待； 
4-左换道开始（放行）； 
5-右换道开始（放行）； 
6-自动靠边；
7-lc req denial
8-Error</t>
  </si>
  <si>
    <t>noa_sts</t>
  </si>
  <si>
    <t>0off/1idle/2ready/3active/7error</t>
  </si>
  <si>
    <t>acc_manual_act_faile_reason</t>
  </si>
  <si>
    <t>bit0:非前进档
bit1:驾驶员车门
bit2:机舱盖
bit3:安全带
bit4:车速快
bit5:车速慢且无目标
bit6:刹车
bit7:EPB
bit8:车身稳定系统
bit9:VLC/CDD
bit10:气囊
bit11:加速度
bit12:主动安全
bit13:未点火或高压断开
bit14:拖车
bit15:弯道限速
bit16:胎压
bit17:前方距离过小
bit18:刹车盘过热
bit19:主动限速打开
bit20:IPB/ESP关闭
bit21:HDC打开
bit22:后溜
bit23:雨刷
bit24:驾驶模式
bit25:临时遮挡
bit26:CDP激活 
bit27:行泊切换
bit28:DFIMInhibit</t>
  </si>
  <si>
    <t>acc_exit_reason</t>
  </si>
  <si>
    <t>bit0:非前进档
bit1:驾驶员车门
bit2:安全带
bit3:速度过高
bit4:驾驶员刹车
bit5:EPB
bit6:车身稳定系统
bit7:动力、刹车系统无响应
bit8:气囊
bit9:加速度过大
bit10:主动安全
bit11:动力
bit12:拖车模式
bit13:P0丢（太近）
bit14:遮挡
bit15:CDP
bit16:override
bit17:IPB ESP关闭 
bit18:后溜 
bit19: 行泊切换 
bit20: MRM接管 
bit21:驾驶员取消 
bit22:拨杆退出
bit23:刹车盘过热
bit24:主动限速
bit25:HDC打开
bit26:雨刷
bit27:胎压
bit28:驾驶模式
bit29:DFIMInhibit</t>
  </si>
  <si>
    <t>lcc_manual_act_faile_reason</t>
  </si>
  <si>
    <t>/</t>
  </si>
  <si>
    <t>lcc_auto_act_faile_reason</t>
  </si>
  <si>
    <t>bit0：油门踏板位置 
bit1：override 
bit2：车道线 
bit3：横摆角速度 
bit4：方向盘转角 
bit5：方向盘转速 
bit6：EPS响应 
bit7：双闪灯 
bit8：LAS激活 
bit9：转向灯 
bit10：大雨
bit11：DFIMInhibit</t>
  </si>
  <si>
    <t>lcc_exit_to_idle_reason</t>
  </si>
  <si>
    <t>bit0：大雨</t>
  </si>
  <si>
    <t>lcc_exit_to_wait_reason</t>
  </si>
  <si>
    <t>bit0：油门踏板位置 
bit1：override 
bit2：车道线 
bit3：横摆角速度 
bit4：EPS响应 
bit5：双闪开关
bit6：LAS激活 
bit7：转向灯
bit8：DFIMInhibit</t>
  </si>
  <si>
    <t>lcc_exit_to_mrc_reason</t>
  </si>
  <si>
    <t>bit0:脱手</t>
  </si>
  <si>
    <t>lcc_mrc_exit_reason</t>
  </si>
  <si>
    <t>noa_auto_act_faile_reason</t>
  </si>
  <si>
    <t>noa_exit_reason</t>
  </si>
  <si>
    <t>bit0:地图 bit1:非ODD bit2:LCC降级 bit3:NOA故障 bit4:车速</t>
  </si>
  <si>
    <t>参考线信息：1-当前车道；2-左侧车道；3-右侧车道；4-MRC车道；5-左侧分岔车道；6-汇出车道</t>
  </si>
  <si>
    <t>参考线ID</t>
  </si>
  <si>
    <t>1-当前车道；
2-左车道；
3-右车道；
4-MRC车道；
5-无定义；
6-汇出车道</t>
  </si>
  <si>
    <t>lane_source</t>
  </si>
  <si>
    <t>0-无效；
1-视觉道路标线；
2-目标轨迹标线
3-虚拟延伸</t>
  </si>
  <si>
    <t>current_width</t>
  </si>
  <si>
    <t>当前车道宽度</t>
  </si>
  <si>
    <t>lane_extension_type</t>
  </si>
  <si>
    <t>0-无；
1-备用；
2-左消亡车道；
3-右消亡车道；
4-居中消亡车道；
5-过窄车道；
6-过宽车道；
7-正常车道；
8-单左线车道；
9-单右线车道；
10-分岔车道；
11-前方非消亡收窄车道；
12-一分二车道；
13-双线不规则非平行车道；
14-双侧道路边界车道</t>
  </si>
  <si>
    <t>left_constraint</t>
  </si>
  <si>
    <t>Constraint_BUS</t>
  </si>
  <si>
    <t>车道左侧边界</t>
  </si>
  <si>
    <t>right_constraint</t>
  </si>
  <si>
    <t>车道右侧边界</t>
  </si>
  <si>
    <t>center_refline</t>
  </si>
  <si>
    <t>Refline_BUS</t>
  </si>
  <si>
    <t>中心参考线</t>
  </si>
  <si>
    <t>end_dist</t>
  </si>
  <si>
    <t>当lane_extension_type为消亡车道时有效</t>
  </si>
  <si>
    <t>arrow_dir</t>
  </si>
  <si>
    <t>箭头方向
0-无；
1-强制向左换道标识；
2-强制向右换道标识；
3-直行标识</t>
  </si>
  <si>
    <t>left_boundary</t>
  </si>
  <si>
    <t>车道左侧边界，道路边界或锥筒，取近者综合计算重新拟合</t>
  </si>
  <si>
    <t>right_boundary</t>
  </si>
  <si>
    <t>车道右侧边界，道路边界或锥筒，取近者综合计算重新拟合</t>
  </si>
  <si>
    <t>road_curve</t>
  </si>
  <si>
    <t>EVM_ROAD_CURVE_BUS</t>
  </si>
  <si>
    <t>道路曲率</t>
  </si>
  <si>
    <t>跟行的轨迹线</t>
  </si>
  <si>
    <t>线id</t>
  </si>
  <si>
    <t>obj_width</t>
  </si>
  <si>
    <t>目标宽度</t>
  </si>
  <si>
    <t>traj_refline</t>
  </si>
  <si>
    <t>ref_obj_id</t>
  </si>
  <si>
    <t>目标id</t>
  </si>
  <si>
    <t>same_team_obj_num</t>
  </si>
  <si>
    <t>同轨迹目标数量</t>
  </si>
  <si>
    <t>team_obj_total_num</t>
  </si>
  <si>
    <t>EVM_LANE_MAXSPD_BUS</t>
  </si>
  <si>
    <t>max_spd_high_assumed</t>
  </si>
  <si>
    <t>根据前方目标计算的id为laneid的车道的最高可通行速度（往高估计，目标必须进入此车道，并稳定一段时间，或其在车道中心又很高的置信度才可以使用此目标限制速度）kmh</t>
  </si>
  <si>
    <t>max_spd_low_assumed</t>
  </si>
  <si>
    <t>根据前方目标计算的id为laneid的车道的最高可通行速度（往低估计，即只要有一个目标进入车道则使用此目标限制速度，当判断一个目标进入后又离开车道时，必须离开一定时间才可以释放此目标的限制）kmh</t>
  </si>
  <si>
    <t>spd_block_dis</t>
  </si>
  <si>
    <t>和前方最近目标距离</t>
  </si>
  <si>
    <t>constraint_type</t>
  </si>
  <si>
    <t>是否可穿越（跨线）：
0-不可穿越（边界，双黄线）
1-可穿越
2-紧急可穿越（预留）</t>
  </si>
  <si>
    <t>constraint_type_ahead</t>
  </si>
  <si>
    <t>前方约束类型（线形）
0-不可穿越（边界，双黄线）
1-可穿越</t>
  </si>
  <si>
    <t>constraint_type_change_point_dx</t>
  </si>
  <si>
    <t>约束类型变化点距离自车位置的x方向距离（线形）</t>
  </si>
  <si>
    <t>source_type</t>
  </si>
  <si>
    <t>0-无；
1-车道线；
2-道路边界；
3-锥桶；
4-车道线+道路边界 混合
5-车道线+锥桶边界 混合
6- 道路边界+ 锥桶边界 混合
7- 车道线+道路边界+锥桶边界 混合
8-虚拟
9-模型虚拟</t>
  </si>
  <si>
    <t>0-不存在；
1-存在
2-虚拟</t>
  </si>
  <si>
    <t>visible_end</t>
  </si>
  <si>
    <t>可见长度</t>
  </si>
  <si>
    <t>curve</t>
  </si>
  <si>
    <t>曲线参数，可拓展为多维数</t>
  </si>
  <si>
    <t>ref_source</t>
  </si>
  <si>
    <t>0-无；
1-虚拟线；
2-单左线；
3-单右线；
4-双线；
5-DOP线；
6-未定义；
7-道路边界;
8-LAS线</t>
  </si>
  <si>
    <t>calc_state</t>
  </si>
  <si>
    <t>0-无；
1-实时计算；
2-丢失补偿保持</t>
  </si>
  <si>
    <t>曲线参数，可拓展为多维数组</t>
  </si>
  <si>
    <t>poly_vec</t>
  </si>
  <si>
    <t>y=poly_vec[0]*x^5+poly_vec[1]*x^4+poly_vec[2]*x^3+poly_vec[3]*x^2+poly_vec[4]*x+poly_vec[5]
直接使用预设函数polyval(poly_vec)来获取多项式y值，自适应。</t>
  </si>
  <si>
    <t>start</t>
  </si>
  <si>
    <t>定义域起点</t>
  </si>
  <si>
    <t>end</t>
  </si>
  <si>
    <t>定义域终点</t>
  </si>
  <si>
    <t>scenario_vec</t>
  </si>
  <si>
    <t>ScenarioStep_BUS</t>
  </si>
  <si>
    <t>场景执行序列</t>
  </si>
  <si>
    <t>noa_remaining_dist</t>
  </si>
  <si>
    <t>noa剩余有效导航odd剩余距离 0为无效</t>
  </si>
  <si>
    <t>noa_remaining_dist_end_type</t>
  </si>
  <si>
    <t>导航odd终点类型
0-导航无效（不可提前预知）；；
1-道路类型不符；
2-终点；
3-收费站；
4-大于1km长隧道；
5-其他未分类
20-超视距（此是剩余距离应为2000m左右）</t>
  </si>
  <si>
    <t>noa_enter_dist</t>
  </si>
  <si>
    <t>前方多远可开启noa 2000为无效（现状：不在ODD内基本发不出来，按实际发送即可）</t>
  </si>
  <si>
    <t>noa_enter_dist_valid</t>
  </si>
  <si>
    <t>noa开启点有效性
0-无效；
1-有效</t>
  </si>
  <si>
    <t>cur_step_id</t>
  </si>
  <si>
    <t>当前执行的step（step暂时视作路口）</t>
  </si>
  <si>
    <t>main_road_type</t>
  </si>
  <si>
    <t>主路类型
1、高速（以出入口收费站为边界）
2、城快（以相连的匝道口为边界）
3、城市（其他道路）</t>
  </si>
  <si>
    <t>sub_road_type</t>
  </si>
  <si>
    <t>道路子类型
0、非ODD区域(服务区/高速收费站等/终点以外等)
1、主路
2、匝道到主路链接区(汇入加速车道)
3、主路到匝道链接区(汇出减速车道)
4、匝道链接区(匝道转匝道)
5、匝道主路</t>
  </si>
  <si>
    <t>behavior_road</t>
  </si>
  <si>
    <t>道路级驾驶行为
1：高速巡航；
2：高速右汇出路口前；
3：高速右汇出路口内；
4：高速左直行；
5：高速左汇入路口前；
6：高速左汇入完成；
7：高速导航路口前提前换道；
8：匝道巡航；
9：匝道右汇出路口前；
10：匝道右汇出路口；
11：匝道左直行；
12：匝道左汇入路口前；
13：匝道左汇入完成；
14：匝道导航路口前提前换道
15：城市快速路巡航
16：城市快速路左变道；
17：城市快速路右变道</t>
  </si>
  <si>
    <t>behavior_lane</t>
  </si>
  <si>
    <t>车道级驾驶行为:
1：单车道巡航（cruise in lane）
2：合入左侧非消亡车道(merge)
3：合入右侧非消亡车道(merge)
4：变到左侧车道(LC)
5：变到右侧车道(LC)
6：驶入左侧新增车道(split or lc)
7：驶入右测新增车道(split or lc)</t>
  </si>
  <si>
    <t>exec_start_dist</t>
  </si>
  <si>
    <t>剩余开始执行距离</t>
  </si>
  <si>
    <t>EVM_CIPV_BUS</t>
  </si>
  <si>
    <t>继承融合id</t>
  </si>
  <si>
    <t>fus_type</t>
  </si>
  <si>
    <t>融合类型，继承融合类型</t>
  </si>
  <si>
    <t>box</t>
  </si>
  <si>
    <t>box形状描述</t>
  </si>
  <si>
    <t>位置</t>
  </si>
  <si>
    <t>velocity_gnd</t>
  </si>
  <si>
    <t>速度</t>
  </si>
  <si>
    <t>accel_gnd</t>
  </si>
  <si>
    <t>加速度</t>
  </si>
  <si>
    <t>position_sl</t>
  </si>
  <si>
    <t>位置（sl坐标）x for s， y for l  车道内为0,车道外为正值</t>
  </si>
  <si>
    <t>velocity_gnd_sl</t>
  </si>
  <si>
    <t>速度（sl坐标）x for s， y for l</t>
  </si>
  <si>
    <t>accel_gnd_sl</t>
  </si>
  <si>
    <t>Size_BUS</t>
  </si>
  <si>
    <t>尺寸</t>
  </si>
  <si>
    <t>cut_type</t>
  </si>
  <si>
    <t>stable/cut in/cut out</t>
  </si>
  <si>
    <t>目标laneid的索引,即EVM_DCES中的target_lane_idx</t>
  </si>
  <si>
    <t>corner_x_vec</t>
  </si>
  <si>
    <t>从左前方顺时针旋转</t>
  </si>
  <si>
    <t>corner_y_vec</t>
  </si>
  <si>
    <t>x值</t>
  </si>
  <si>
    <t>y值</t>
  </si>
  <si>
    <t>heading_angle</t>
  </si>
  <si>
    <t>方向，弧度</t>
  </si>
  <si>
    <t>length</t>
  </si>
  <si>
    <t>长度(heading方向)</t>
  </si>
  <si>
    <t>宽度</t>
  </si>
  <si>
    <t>higth</t>
  </si>
  <si>
    <t>高度</t>
  </si>
  <si>
    <t>x值 x for s， y for l</t>
  </si>
  <si>
    <t>y值 x for s， y for l</t>
  </si>
  <si>
    <t>mod</t>
  </si>
  <si>
    <t>模长（绝对速度，两点距离）</t>
  </si>
  <si>
    <t>1：减速让行
2：停车让行
3：注意行人
4：注意儿童
5：右侧汇入口
6：前方施工</t>
  </si>
  <si>
    <t>1：禁止长时间停车
2：禁止停车
3：禁止超车
4：解除禁止超车
5：禁止超车</t>
  </si>
  <si>
    <t>1：禁止驶入
2：禁止小汽车驶入  禁止机动车驶入
3：禁止掉头
4：禁止右转弯
5：禁止左转弯
6：禁止直行</t>
  </si>
  <si>
    <t>TSR_SPL</t>
  </si>
  <si>
    <t>限速标识值</t>
  </si>
  <si>
    <t>Map_SPL</t>
  </si>
  <si>
    <t>地图限速值</t>
  </si>
  <si>
    <t>Map_SPL_Dis</t>
  </si>
  <si>
    <t>地图segment起点距离</t>
  </si>
  <si>
    <t>Map_Ramp_SPL</t>
  </si>
  <si>
    <t>匝道限速值</t>
  </si>
  <si>
    <t>Map_Ramp_Dis</t>
  </si>
  <si>
    <t>到匝道的距离值</t>
  </si>
  <si>
    <t>NavStatus</t>
  </si>
  <si>
    <t>是否为生活区
0:no nav
1:life
2:no life</t>
  </si>
  <si>
    <t>Fusion_SPL</t>
  </si>
  <si>
    <t>融合限速值</t>
  </si>
  <si>
    <t>ElecEye_SPL</t>
  </si>
  <si>
    <t>电子眼限速值</t>
  </si>
  <si>
    <t>ElecEye_SPL_Dis</t>
  </si>
  <si>
    <t>电子眼距离值</t>
  </si>
  <si>
    <t>curve_value</t>
  </si>
  <si>
    <t>曲率值</t>
  </si>
  <si>
    <t>curve_dis</t>
  </si>
  <si>
    <t>曲率点x距离</t>
  </si>
  <si>
    <t>curve_valid_num</t>
  </si>
  <si>
    <t>曲率点总个数</t>
  </si>
  <si>
    <t>timeBaseStatus</t>
  </si>
  <si>
    <t>nanoseconds</t>
  </si>
  <si>
    <t>seconds</t>
  </si>
  <si>
    <t>IHC_err</t>
  </si>
  <si>
    <t>IHC降级等级接口</t>
  </si>
  <si>
    <t>TSR_err</t>
  </si>
  <si>
    <t>SLA_err</t>
  </si>
  <si>
    <t>ISLI_err</t>
  </si>
  <si>
    <t>DAI_err</t>
  </si>
  <si>
    <t>SCF_err</t>
  </si>
  <si>
    <t>LDW_err</t>
  </si>
  <si>
    <t>LDP_err</t>
  </si>
  <si>
    <t>FCW_err</t>
  </si>
  <si>
    <t>AEB_err</t>
  </si>
  <si>
    <t>ACC_err</t>
  </si>
  <si>
    <t>ELK_err</t>
  </si>
  <si>
    <t>IES_err</t>
  </si>
  <si>
    <t>LCC_err</t>
  </si>
  <si>
    <t>EBA_err</t>
  </si>
  <si>
    <t>FCTB_err</t>
  </si>
  <si>
    <t>RCTB_err</t>
  </si>
  <si>
    <t>FDM_err</t>
  </si>
  <si>
    <t>DCLC_err</t>
  </si>
  <si>
    <t>ALC_err</t>
  </si>
  <si>
    <t>H_NOC_Lite_err</t>
  </si>
  <si>
    <t>PDC_err</t>
  </si>
  <si>
    <t>RA_train_err</t>
  </si>
  <si>
    <t>RA_trace_err</t>
  </si>
  <si>
    <t>RA_active_err</t>
  </si>
  <si>
    <t>APA_backseach_below_err</t>
  </si>
  <si>
    <t>APA_frontseach_below_err</t>
  </si>
  <si>
    <t>APA_seach_screen_err</t>
  </si>
  <si>
    <t>APA_active_err</t>
  </si>
  <si>
    <t>APA_pause_err</t>
  </si>
  <si>
    <t>RPA_check_err</t>
  </si>
  <si>
    <t>RPA_func_err</t>
  </si>
  <si>
    <t>RPA_active_err</t>
  </si>
  <si>
    <t>RPA_pause_err</t>
  </si>
  <si>
    <t>R_AEB_err</t>
  </si>
  <si>
    <t>MEB_err</t>
  </si>
  <si>
    <t>LSAEB_Err</t>
  </si>
  <si>
    <t>Sensor_Err</t>
  </si>
  <si>
    <t>0x0:No error;0x1:Camera partial block</t>
  </si>
  <si>
    <t>rt_Array_EHRV2_SEGMENT_INFO_BUS_5</t>
  </si>
  <si>
    <t>rt_Array_EHRV2_NAV_LANE_BUS_5</t>
  </si>
  <si>
    <t>rt_Array_TOS_AEB_BUS_5</t>
  </si>
  <si>
    <t>isLatFrbdnAct</t>
  </si>
  <si>
    <t>isLgtPosFrbdnAct</t>
  </si>
  <si>
    <t>isLgtNegFrbdnAct</t>
  </si>
  <si>
    <t>isAEBFrbdnAct</t>
  </si>
  <si>
    <t>ax</t>
  </si>
  <si>
    <t>ay</t>
  </si>
  <si>
    <t>traffic_scene</t>
  </si>
  <si>
    <t>0：畅通 
1：城市复杂工况：周围车辆较多且存在静止车辆，行人等
2：预留</t>
  </si>
  <si>
    <t>trucks_around</t>
  </si>
  <si>
    <t>0：无效：1周围有大车</t>
  </si>
  <si>
    <t>RAEB_Status</t>
  </si>
  <si>
    <t>MEB_Status</t>
  </si>
  <si>
    <t>LAEB_Status</t>
  </si>
  <si>
    <t>FCTB_Status</t>
  </si>
  <si>
    <t>RCTB_Status</t>
  </si>
  <si>
    <t>SftyCmd</t>
  </si>
  <si>
    <t>功能安全安全指令（置位表示进行动作）
bit[0] -&gt; 禁止横向转向输出(无效化)
bit[1] -&gt; 禁止纵向加速输出(无效化)
bit[2] -&gt; 静止纵向制动输出(无效化)
bit[3] -&gt; 抑制AEB输出(无效化&amp;&amp;篡改AEB请求)
bit[4] -&gt; 抑制转向执行器握手 (暂时不用)
bit[5] -&gt; 抑制加速执行器握手 (暂时不用)
bit[6] -&gt; 抑制制动执行器握手 (暂时不用)
bit[7] -&gt; 强抑制转向输出(设0) (暂时不用)
bit[8] -&gt; 强抑制加速输出(设0) (暂时不用)
bit[9] -&gt; 强抑制减速输出(设0) (暂时不用)</t>
  </si>
  <si>
    <t>SftyErrLvl</t>
  </si>
  <si>
    <t>功能安全故障等级(最高)</t>
  </si>
  <si>
    <t>SftyErrInfoQue</t>
  </si>
  <si>
    <t>Trig_SftyFltType</t>
  </si>
  <si>
    <t>功能安全安全故障消息队列，长度32</t>
  </si>
  <si>
    <t>SftyErrInfo</t>
  </si>
  <si>
    <t>SftyErrInfoType</t>
  </si>
  <si>
    <t>功能安全支持信息</t>
  </si>
  <si>
    <t>SftyErrID</t>
  </si>
  <si>
    <t>功能安全故障ID</t>
  </si>
  <si>
    <t>TrigTimeStamp</t>
  </si>
  <si>
    <t>功能安全故障ID触发的时间戳</t>
  </si>
  <si>
    <t>SftyModeFuSa</t>
  </si>
  <si>
    <t>功能安全激活模式，根据bit判定FuSa认可的激活模式</t>
  </si>
  <si>
    <t>SftyErr_0</t>
  </si>
  <si>
    <t>功能安全故障消息_0组(暂未使用)</t>
  </si>
  <si>
    <t>SftyErr_1</t>
  </si>
  <si>
    <t>功能安全故障消息_1组(暂未使用)</t>
  </si>
  <si>
    <t>SftyErr_2</t>
  </si>
  <si>
    <t>功能安全故障消息_2组(暂未使用)</t>
  </si>
  <si>
    <t>SftyErr_3</t>
  </si>
  <si>
    <t>功能安全故障消息_3组(暂未使用)</t>
  </si>
  <si>
    <t>SftyErr_4</t>
  </si>
  <si>
    <t>功能安全故障消息_4组(暂未使用)</t>
  </si>
  <si>
    <t>SftyErr_5</t>
  </si>
  <si>
    <t>功能安全故障消息_5组(暂未使用)</t>
  </si>
  <si>
    <t>SftyErr_6</t>
  </si>
  <si>
    <t>功能安全故障消息_6组(暂未使用)</t>
  </si>
  <si>
    <t>SftyErr_7</t>
  </si>
  <si>
    <t>功能安全故障消息_7组(暂未使用)</t>
  </si>
  <si>
    <t>SftyVehSpdChassis</t>
  </si>
  <si>
    <t>功能安全车速(底盘车速)</t>
  </si>
  <si>
    <t>SftyVehSpdChassisVld</t>
  </si>
  <si>
    <t>功能安全车速有效性(底盘车速有效性)</t>
  </si>
  <si>
    <t>AutoSAR 标准返回值定义
0 - E_OK
1 - E_NOT_OK</t>
  </si>
  <si>
    <t>DrvEvlnMonIf</t>
  </si>
  <si>
    <t>DrvEvlnMonIf_BUS</t>
  </si>
  <si>
    <t>给到FuSaMonitor中DrvEvlnMon的输入接口</t>
  </si>
  <si>
    <t>SysStMonIf</t>
  </si>
  <si>
    <t>SysStMonIf_BUS</t>
  </si>
  <si>
    <t>给到FuSaMonitor中SysStMon的输入接口</t>
  </si>
  <si>
    <t>RelCptMonIf</t>
  </si>
  <si>
    <t>RelCptMonIf_BUS</t>
  </si>
  <si>
    <t>给到FuSaMonitor中RelCptMon的输入接口</t>
  </si>
  <si>
    <t>OutProcAdprIf</t>
  </si>
  <si>
    <t>OutProcAdprIf_BUS</t>
  </si>
  <si>
    <t>给到FuSaMonitor中OutProcAdpr的输入接口</t>
  </si>
  <si>
    <t>BrkDrvOvrd</t>
  </si>
  <si>
    <t>驾驶员制动超控, 0-无超控，1-超控</t>
  </si>
  <si>
    <t>DoorStatus</t>
  </si>
  <si>
    <t>主驾车门状态，0-不打开，1-打开</t>
  </si>
  <si>
    <t>驾驶员脱手状态，0-不脱手，1-脱手</t>
  </si>
  <si>
    <t>HandsTqE2E</t>
  </si>
  <si>
    <t>驾驶员手力矩E2E，0-无问题，1-有问题</t>
  </si>
  <si>
    <t>SeatBltSts</t>
  </si>
  <si>
    <t>主驾安全带状态，0-主驾安全带锁上，1-主驾安全带打开</t>
  </si>
  <si>
    <t>SeatBltStsVld</t>
  </si>
  <si>
    <t>主驾安全带状态有效，0-有效，1-无效</t>
  </si>
  <si>
    <t>SteerDrvOvrd</t>
  </si>
  <si>
    <t>驾驶员转向超控(EPS发)，0-无超控，1-超控</t>
  </si>
  <si>
    <t>SteerDrvOvrdE2E</t>
  </si>
  <si>
    <t>驾驶员转向超控E2E状态，0-无问题，1-有问题</t>
  </si>
  <si>
    <t>SteerDrvOvrdVld</t>
  </si>
  <si>
    <t>驾驶员转向超控有效，0-有效，1-无效</t>
  </si>
  <si>
    <t>LCCSts</t>
  </si>
  <si>
    <t>LCC状态机状态，参考HMI的ICA状态机结果，透传</t>
  </si>
  <si>
    <t>ACCSts</t>
  </si>
  <si>
    <t>ACC状态机状态，参考HMI状态机信息，透传</t>
  </si>
  <si>
    <t>DriveOff</t>
  </si>
  <si>
    <t>PnC起步指令，0-不起步，1-起步</t>
  </si>
  <si>
    <t>DrvOffBtnCfm</t>
  </si>
  <si>
    <t>驾驶员按过确认按键，0-没按过确认按键(滚轮)，1-按过确认按键(滚轮)</t>
  </si>
  <si>
    <t>Mcu_U2A16_Res</t>
  </si>
  <si>
    <t>Mcu_U2A16_Res_BUS</t>
  </si>
  <si>
    <t>MCU芯片功能安全故障</t>
  </si>
  <si>
    <t>Pilot_Accel</t>
  </si>
  <si>
    <t>行车加速度</t>
  </si>
  <si>
    <t>PtDrvAccePedlPosn</t>
  </si>
  <si>
    <t>驾驶员加速踏板位置</t>
  </si>
  <si>
    <t>Sbc_TLF35584_Res</t>
  </si>
  <si>
    <t>Sbc_TLF35584_Res_BUS</t>
  </si>
  <si>
    <t>SBC芯片功能安全故障</t>
  </si>
  <si>
    <t>SteerWhlAngSpd</t>
  </si>
  <si>
    <t>转角速度</t>
  </si>
  <si>
    <t>VehSpdChassis</t>
  </si>
  <si>
    <t>底盘车速</t>
  </si>
  <si>
    <t>Ay</t>
  </si>
  <si>
    <t>矩阵透传底盘横向加速度</t>
  </si>
  <si>
    <t>Ax</t>
  </si>
  <si>
    <t>矩阵透传底盘纵向加速度</t>
  </si>
  <si>
    <t>SteerWhlAng</t>
  </si>
  <si>
    <t>矩阵透传底盘方向盘转角</t>
  </si>
  <si>
    <t>YawRate</t>
  </si>
  <si>
    <t>矩阵透传车辆横摆角速度</t>
  </si>
  <si>
    <t>isActGearR</t>
  </si>
  <si>
    <t>是否当前实际挡位R挡</t>
  </si>
  <si>
    <t>Fusa_U2A16_BIST_ERR</t>
  </si>
  <si>
    <t>MCU,U2A16芯片功能安全自检故障标志位</t>
  </si>
  <si>
    <t>Fusa_J3_SPI_CRC_ERR</t>
  </si>
  <si>
    <t>MCU,U2A16芯片与J3-SPI通讯CRC异常</t>
  </si>
  <si>
    <t>Fusa_J3_SPI_RC_ERR</t>
  </si>
  <si>
    <t>MCU,U2A16芯片与J3-SPI通讯RC异常</t>
  </si>
  <si>
    <t>FuSa_TLF35584_BIST_ERR</t>
  </si>
  <si>
    <t>SBC,TLF35584芯片功能安全自检故障标志位</t>
  </si>
  <si>
    <t>AccSwtStsE2E</t>
  </si>
  <si>
    <t>ACC按键故障E2E，0-无故障，1-有故障</t>
  </si>
  <si>
    <t>AccSwtStsVld</t>
  </si>
  <si>
    <t>ACC按键故障Vld, 0-无故障，1-有故障</t>
  </si>
  <si>
    <t>ActGearE2E</t>
  </si>
  <si>
    <t>实际档位E2E故障，0-无故障，1-有故障</t>
  </si>
  <si>
    <t>ActGearVld</t>
  </si>
  <si>
    <t>实际档位无效，0-有效，1-无效</t>
  </si>
  <si>
    <t>AxE2E</t>
  </si>
  <si>
    <t>纵向加速度E2E故障，0-无故障，1-有故障</t>
  </si>
  <si>
    <t>AxVld</t>
  </si>
  <si>
    <t>纵向加速度无效，0-有效，1-无效</t>
  </si>
  <si>
    <t>AyE2E</t>
  </si>
  <si>
    <t>横向加速度E2E故障，0-无故障，1-有故障</t>
  </si>
  <si>
    <t>AyVld</t>
  </si>
  <si>
    <t>横向加速度无效，0-有效，1-无效</t>
  </si>
  <si>
    <t>BodyAvlE2E</t>
  </si>
  <si>
    <t>车身可用E2E故障，0-无故障，1-有故障</t>
  </si>
  <si>
    <t>BrkAvl</t>
  </si>
  <si>
    <t>制动可用，0-可用，1-不可用</t>
  </si>
  <si>
    <t>BrkAvlE2E</t>
  </si>
  <si>
    <t>制动可用E2E故障，0-无故障，1-有故障</t>
  </si>
  <si>
    <t>BrkMstCylPrsE2E</t>
  </si>
  <si>
    <t>主缸压力E2E故障，0-无故障，1-有故障</t>
  </si>
  <si>
    <t>BrkMstCylPrsVld</t>
  </si>
  <si>
    <t>主缸压力有消息，0-无故障，1-有故障</t>
  </si>
  <si>
    <t>Chassis_ABSFailSts</t>
  </si>
  <si>
    <t>ABS故障状态，0-无故障，1-有故障</t>
  </si>
  <si>
    <t>Chassis_EBDFailSts</t>
  </si>
  <si>
    <t>EBD故障状态，0-无故障，1-有故障</t>
  </si>
  <si>
    <t>Chassis_HDCFailSts</t>
  </si>
  <si>
    <t>HDC故障状态，0-无故障，1-有故障</t>
  </si>
  <si>
    <t>Chassis_TCSFailSts</t>
  </si>
  <si>
    <t>TCS故障状态，0-无故障，1-有故障</t>
  </si>
  <si>
    <t>Chassis_VDCFailSts</t>
  </si>
  <si>
    <t>VDC故障状态，0-无故障，1-有故障</t>
  </si>
  <si>
    <t>DrvAccePedlPosnE2E</t>
  </si>
  <si>
    <t>驾驶员加速度踏板位置E2E故障，0-无故障，1-有故障</t>
  </si>
  <si>
    <t>DrvAccePedlPosnVld</t>
  </si>
  <si>
    <t>驾驶员加速度踏板位置有效性，0-有效，1-无效</t>
  </si>
  <si>
    <t>EpbAvl</t>
  </si>
  <si>
    <t>EPB可用，0-可用，1-不可用</t>
  </si>
  <si>
    <t>EpbAvlE2E</t>
  </si>
  <si>
    <t>EPB可用E2E故障，0-无故障，1-有故障</t>
  </si>
  <si>
    <t>Fusa_Cam_1_Module_Res</t>
  </si>
  <si>
    <t>Fusa_Cam_1_Module_Res_BUS</t>
  </si>
  <si>
    <t>前视模组功能安全故障</t>
  </si>
  <si>
    <t>Fusa_Cam_1_Ser_Res</t>
  </si>
  <si>
    <t>Fusa_Cam_1_Ser_Res_BUS</t>
  </si>
  <si>
    <t>前视加串器功能安全故障</t>
  </si>
  <si>
    <t>ImuNotCal</t>
  </si>
  <si>
    <t>IMU未标定，0-已标定，1-未标定</t>
  </si>
  <si>
    <t>PTAvl</t>
  </si>
  <si>
    <t>动力可用，0-可用，1-不可用</t>
  </si>
  <si>
    <t>PTAvlE2E</t>
  </si>
  <si>
    <t>动力可用E2E故障，0-无故障，1-有故障</t>
  </si>
  <si>
    <t>PTHvAvl</t>
  </si>
  <si>
    <t>动力高压可用，0-可用，1-不可用</t>
  </si>
  <si>
    <t>PTHvAvlE2E</t>
  </si>
  <si>
    <t>动力高压可用E2E故障，0-无故障，1-有故障</t>
  </si>
  <si>
    <t>RL_Radar_Err</t>
  </si>
  <si>
    <t>左后角雷达故障，0-无故障，1-有故障</t>
  </si>
  <si>
    <t>RR_Radar_Err</t>
  </si>
  <si>
    <t>右后角雷达故障，0-无故障，1-有故障</t>
  </si>
  <si>
    <t>SerDes_MAX96716_Res</t>
  </si>
  <si>
    <t>SerDes_MAX96716_Res_BUS</t>
  </si>
  <si>
    <t>域控SerDes(96717)功能安全故障</t>
  </si>
  <si>
    <t>SteerAvl</t>
  </si>
  <si>
    <t>转向可用，0-可用，1-不可用</t>
  </si>
  <si>
    <t>SteerAvlE2E</t>
  </si>
  <si>
    <t>转向可用E2E，0-无故障，1-有故障</t>
  </si>
  <si>
    <t>SteerWhlAngE2E</t>
  </si>
  <si>
    <t>转角E2E故障，0-无故障，1-有故障</t>
  </si>
  <si>
    <t>SteerWhlAngSpdE2E</t>
  </si>
  <si>
    <t>转角速度E2E故障，0-无故障，1-有故障</t>
  </si>
  <si>
    <t>SteerWhlAngSpdVld</t>
  </si>
  <si>
    <t>转角速度有效性，0-有效，1-无效</t>
  </si>
  <si>
    <t>SteerWhlAngVld</t>
  </si>
  <si>
    <t>转角有效性，0-有效，1-无效</t>
  </si>
  <si>
    <t>VehSpdChassisE2E</t>
  </si>
  <si>
    <t>底盘车速E2E故障，0-无故障，1-有故障</t>
  </si>
  <si>
    <t>VehSpdChassisVld</t>
  </si>
  <si>
    <t>底盘车速有效性，0-有效，1-无效</t>
  </si>
  <si>
    <t>WhlSpdAvl</t>
  </si>
  <si>
    <t>轮速可用，0-可用，1-不可用</t>
  </si>
  <si>
    <t>WhlSpdE2E</t>
  </si>
  <si>
    <t>轮速E2E故障，0-无故障，1-有故障</t>
  </si>
  <si>
    <t>YawRateE2E</t>
  </si>
  <si>
    <t>航向角E2E故障，0-无故障，1-有故障</t>
  </si>
  <si>
    <t>YawRateVld</t>
  </si>
  <si>
    <t>航向角有效性，0-有效，1-无效</t>
  </si>
  <si>
    <t>Fusa_TUN_DATA_CRC_ERR</t>
  </si>
  <si>
    <t>[功能安全专属故障] 图像Tunneling模式下，出现DPHY/CPHY数据CRC异常</t>
  </si>
  <si>
    <t>Fusa_TUN_ECC_UNCORR_ERR</t>
  </si>
  <si>
    <t>[功能安全专属故障] 图像Tunneling模式下，不可修正的DPHY ECC或者CPHY CRC异常</t>
  </si>
  <si>
    <t>Fusa_TUN_ECC_CORR_ERR</t>
  </si>
  <si>
    <t>[功能安全专属故障] 图像Tunneling模式下，可修正的DPHY ECC或者CPHY CRC异常</t>
  </si>
  <si>
    <t>Fusa_VID_OVERFLOW_ERR</t>
  </si>
  <si>
    <t>[功能安全专属故障] 图像视频流管道溢出异常</t>
  </si>
  <si>
    <t>Fusa_FSYNC_ERR</t>
  </si>
  <si>
    <t>[功能安全专属故障] 图像帧同步异常</t>
  </si>
  <si>
    <t>Fusa_LCRC_ERR</t>
  </si>
  <si>
    <t>[功能安全专属故障] 视频流CRC异常</t>
  </si>
  <si>
    <t>Fusa_VPRBS_ERR</t>
  </si>
  <si>
    <t>[功能安全专属故障] 视频流PRBS异常</t>
  </si>
  <si>
    <t>Fusa_I2C_UART_MSGCNTR_ERR</t>
  </si>
  <si>
    <t>[功能安全专属故障] I2C/UART Rolling Counter异常</t>
  </si>
  <si>
    <t>Fusa_I2C_UART_CRC_ERR</t>
  </si>
  <si>
    <t>[功能安全专属故障] I2C/UART CRC异常</t>
  </si>
  <si>
    <t>Fusa_96716_MEM_ECC_ERR2</t>
  </si>
  <si>
    <t>[功能安全专属故障] 96716内存ECC2异常</t>
  </si>
  <si>
    <t>Fusa_96716_MEM_ECC_ERR1</t>
  </si>
  <si>
    <t>[功能安全专属故障] 96716内存ECC1异常</t>
  </si>
  <si>
    <t>Fusa_REG_CRC_ERR</t>
  </si>
  <si>
    <t>[功能安全专属故障] 96716寄存器CRC异常</t>
  </si>
  <si>
    <t>Fusa_POST_MBIST_ERR</t>
  </si>
  <si>
    <t>[功能安全专属故障] 96716MBIST异常</t>
  </si>
  <si>
    <t>Fusa_POST_LBIST_ERR</t>
  </si>
  <si>
    <t>[功能安全专属故障] 96716LBIST异常</t>
  </si>
  <si>
    <t>Fusa_WM_ERR</t>
  </si>
  <si>
    <t>[功能安全专属故障] 96716水印异常</t>
  </si>
  <si>
    <t>Fusa_Cam_online_pixel</t>
  </si>
  <si>
    <t>[功能安全专属故障] 在线像素测试异常</t>
  </si>
  <si>
    <t>Fusa_Cam_row_checker_analog</t>
  </si>
  <si>
    <t>[功能安全专属故障] 行模拟检查异常</t>
  </si>
  <si>
    <t>Fusa_Cam_ID_checker_col</t>
  </si>
  <si>
    <t>[功能安全专属故障] 列ID检查异常</t>
  </si>
  <si>
    <t>Fusa_Cam_ID_checker_row</t>
  </si>
  <si>
    <t>[功能安全专属故障] 行ID检查异常</t>
  </si>
  <si>
    <t>Fusa_Cam_SCCB_CRC</t>
  </si>
  <si>
    <t>[功能安全专属故障] SCCB检测CRC异常</t>
  </si>
  <si>
    <t>Fusa_Cam_Frame_counter</t>
  </si>
  <si>
    <t>[功能安全专属故障] 图像帧率异常</t>
  </si>
  <si>
    <t>Fusa_Cam_row_checker_digital</t>
  </si>
  <si>
    <t>[功能安全专属故障] 行数字检查异常</t>
  </si>
  <si>
    <t>Fusa_Cam_BLC_checker</t>
  </si>
  <si>
    <t>[功能安全专属故障] BLC异常</t>
  </si>
  <si>
    <t>Fusa_Cam_PLL_CLK_mon</t>
  </si>
  <si>
    <t>[功能安全专属故障] 锁相环时钟监控器异常</t>
  </si>
  <si>
    <t>Fusa_Cam_PLL_CLK</t>
  </si>
  <si>
    <t>[功能安全专属故障] 锁相环时钟异常</t>
  </si>
  <si>
    <t>Fusa_Cam_PEC</t>
  </si>
  <si>
    <t>[功能安全专属故障] PEC异常</t>
  </si>
  <si>
    <t>Fusa_Cam_output_FIFO_CRC</t>
  </si>
  <si>
    <t>[功能安全专属故障] 输出FIFO CRC异常</t>
  </si>
  <si>
    <t>Fusa_Cam_SRAM_CRC</t>
  </si>
  <si>
    <t xml:space="preserve">[功能安全专属故障] SRAM CRC异常 </t>
  </si>
  <si>
    <t>Fusa_Cam_Sensor_voltage</t>
  </si>
  <si>
    <t>[功能安全专属故障] 摄像头模组电压异常</t>
  </si>
  <si>
    <t>Fusa_Cam_internal_register_readback</t>
  </si>
  <si>
    <t>[功能安全专属故障] 摄像头模组内部寄存器回读议程</t>
  </si>
  <si>
    <t>Fusa_Cam_SI_default_register_check</t>
  </si>
  <si>
    <t>[功能安全专属故障] 摄像头模组SI默认寄存器检查异常</t>
  </si>
  <si>
    <t>Fusa_Cam_ROM CRC</t>
  </si>
  <si>
    <t>[功能安全专属故障] ROM CRC异常</t>
  </si>
  <si>
    <t>Fusa_Cam_SRAM_BIST</t>
  </si>
  <si>
    <t>[功能安全专属故障] SRAM BIST异常</t>
  </si>
  <si>
    <t>Fusa_Cam_SM_test</t>
  </si>
  <si>
    <t>[功能安全专属故障] 安全机制测试异常</t>
  </si>
  <si>
    <t>Fusa_Cam_temperature</t>
  </si>
  <si>
    <t>[功能安全专属故障] 摄像头模组温度异常</t>
  </si>
  <si>
    <t>Fusa_Cam_Ser_OV_UV</t>
  </si>
  <si>
    <t>[功能安全专属故障] 前视模组过压欠压</t>
  </si>
  <si>
    <t>Fusa_Cam_Ser_I2C</t>
  </si>
  <si>
    <t>[功能安全专属故障] 前视模组加串I2C错误</t>
  </si>
  <si>
    <t>Fusa_Cam_Ser_FIFO_Overflow</t>
  </si>
  <si>
    <t>[功能安全专属故障] 前视模组FIFO溢出</t>
  </si>
  <si>
    <t>Fusa_Cam_Ser_LBIST</t>
  </si>
  <si>
    <t>[功能安全专属故障] 前视模组LBIST故障</t>
  </si>
  <si>
    <t>Fusa_Cam_Ser_MBIST</t>
  </si>
  <si>
    <t>[功能安全专属故障] 前视模组MBIST故障</t>
  </si>
  <si>
    <t>Fusa_Cam_Ser_ADC_BIST</t>
  </si>
  <si>
    <t>[功能安全专属故障] 前视模组ADCBIST故障</t>
  </si>
  <si>
    <t>Fusa_Cam_Ser_CFG_CRC</t>
  </si>
  <si>
    <t>[功能安全专属故障] 前视模组配置文件CRC故障</t>
  </si>
  <si>
    <t>Fusa_Cam_PMIC</t>
  </si>
  <si>
    <t>[功能安全专属故障] 前视模组PMIC故障</t>
  </si>
  <si>
    <t>PowerMode</t>
  </si>
  <si>
    <t>电源模式(KL30), 透传FLZCU_9_PowerMode</t>
  </si>
  <si>
    <t>AEB监控输入结构体</t>
  </si>
  <si>
    <t>isMainTarExist</t>
  </si>
  <si>
    <t>AEB功能当前是否存在主目标</t>
  </si>
  <si>
    <t>AebTarID</t>
  </si>
  <si>
    <t>表示当前AEB功能主目标ID
注意:这个是AEB输出的主目标融合ID(可能是视觉ID更改后的)</t>
  </si>
  <si>
    <t>AebTarCamID</t>
  </si>
  <si>
    <t>表示当前AEB功能主目标视觉ID
注意: 这个是AEB输出的视觉主目标ID</t>
  </si>
  <si>
    <t>QM_AebTarTTC</t>
  </si>
  <si>
    <t>表示当前AEB功能计算的主目标TTC</t>
  </si>
  <si>
    <t>AebTarSource</t>
  </si>
  <si>
    <t>表示当前AEB主目标来源，平台接口
0 - 无来源
1 - 雷达
2 - 视觉
3 - 雷达和视觉
注意: E01不使用</t>
  </si>
  <si>
    <t>ActSftySts</t>
  </si>
  <si>
    <t>表示当前AEB状态机状态
0 - OFF
1 - STANDBY
2 - PREFILL
3 - INTERV (PB/FB)</t>
  </si>
  <si>
    <t>AebReq</t>
  </si>
  <si>
    <t>表示当前AEB是否请求制动</t>
  </si>
  <si>
    <t>AebTarDec</t>
  </si>
  <si>
    <t>表示当前AEB请求制动的值</t>
  </si>
  <si>
    <t>EgoCvrt</t>
  </si>
  <si>
    <t>表示当前AEB计算自车曲率</t>
  </si>
  <si>
    <t>EgoPreTraj</t>
  </si>
  <si>
    <t>EgoPreTrajPnt2D</t>
  </si>
  <si>
    <t>表示当前AEB自车预测轨迹(3s轨迹,步长时间间隔100ms)</t>
  </si>
  <si>
    <t>QM_AebRqrdAx</t>
  </si>
  <si>
    <t>表示当前AEB功能计算的自车需求(避障)减速度</t>
  </si>
  <si>
    <t>PosX</t>
  </si>
  <si>
    <t>预测点位置X</t>
  </si>
  <si>
    <t>PosY</t>
  </si>
  <si>
    <t>预测点位置Y</t>
  </si>
  <si>
    <t>Heading</t>
  </si>
  <si>
    <t>预测点航向角</t>
  </si>
  <si>
    <t>置位表示功能安全进行了横向关断操作(通过置横向控车无效化)</t>
  </si>
  <si>
    <t>置位表示功能安全进行了加速关断操作(通过置加速控车无效化)</t>
  </si>
  <si>
    <t>置位表示功能安全进行了减速关断操作(通过置减速控车无效化)</t>
  </si>
  <si>
    <t>置位表示功能安全进行了AEB抑制操作(通过置AEB请求及减速度无效化)</t>
  </si>
  <si>
    <t>nav_status</t>
  </si>
  <si>
    <t>中控仪表导航状态：
0：地图无效 以下信息不可用
1：地图有效
2：开启导航（TBD）</t>
  </si>
  <si>
    <t>curr_road_type</t>
  </si>
  <si>
    <t>当前道路类型</t>
  </si>
  <si>
    <t>road_spl_value</t>
  </si>
  <si>
    <t>道路限速值</t>
  </si>
  <si>
    <t>elec_eye_spl_value</t>
  </si>
  <si>
    <t>spl_unit</t>
  </si>
  <si>
    <t>限速单位
0：无法给出
1：km/h
2：mph</t>
  </si>
  <si>
    <t>road_spl_dist</t>
  </si>
  <si>
    <t>前方限速距离（m）</t>
  </si>
  <si>
    <t>elec_eye_dist</t>
  </si>
  <si>
    <t>前方电子眼距离（m）</t>
  </si>
  <si>
    <t>country_region_code</t>
  </si>
  <si>
    <t>国家与地区代码</t>
  </si>
  <si>
    <t>SysOut_TimeGapInit</t>
  </si>
  <si>
    <t>SysOut_ACCStsInit</t>
  </si>
  <si>
    <t>SysOut_ICASStsInit</t>
  </si>
  <si>
    <t>Uint8_Reserve</t>
  </si>
  <si>
    <t>SysOut_SteerAngOffsetInit</t>
  </si>
  <si>
    <t>Reserve</t>
  </si>
  <si>
    <t>预留字节</t>
  </si>
  <si>
    <t>SysOut_ADASDisplayExtend</t>
  </si>
  <si>
    <t>SomeIP_ADASDisplayExtend_BUS</t>
  </si>
  <si>
    <t>SysOut_ParkingGenaralInfo</t>
  </si>
  <si>
    <t>SomeIP_ParkingGenaralInfo_BUS</t>
  </si>
  <si>
    <t>SysOut_FuncState_HD</t>
  </si>
  <si>
    <t>SomeIP_FuncState_HD_BUS</t>
  </si>
  <si>
    <t>PR_APA_DA_IDCU_11_Tx</t>
  </si>
  <si>
    <t>APA_DA_IDCU_11_Tx_BUS</t>
  </si>
  <si>
    <t>PR_APA_DA_IDCU_13_Tx</t>
  </si>
  <si>
    <t>APA_DA_IDCU_13_Tx_BUS</t>
  </si>
  <si>
    <t>PR_APA_DA_IDCU_9_Tx</t>
  </si>
  <si>
    <t>APA_DA_IDCU_9_Tx_BUS</t>
  </si>
  <si>
    <t>PR_APA_DA_FCM_FRM_1_Tx</t>
  </si>
  <si>
    <t>APA_DA_FCM_FRM_1_Tx_BUS</t>
  </si>
  <si>
    <t>PR_APA_DA_FCM_FRM_2_Tx</t>
  </si>
  <si>
    <t>APA_DA_FCM_FRM_2_Tx_BUS</t>
  </si>
  <si>
    <t>PR_APA_DA_FCM_FRM_6_Tx</t>
  </si>
  <si>
    <t>APA_DA_FCM_FRM_6_Tx_BUS</t>
  </si>
  <si>
    <t>PR_APA_DA_RLCR_2_Tx</t>
  </si>
  <si>
    <t>APA_DA_RLCR_2_Tx_BUS</t>
  </si>
  <si>
    <t>PR_APA_DA_AVM_APA_2_Tx</t>
  </si>
  <si>
    <t>APA_DA_AVM_APA_2_Tx_BUS</t>
  </si>
  <si>
    <t>CORNER_RADAR_FL</t>
  </si>
  <si>
    <t>Corner_Radar_Array_Info</t>
  </si>
  <si>
    <t>CORNER_RADAR_RL</t>
  </si>
  <si>
    <t>SysIn_DMC_DrivingControl</t>
  </si>
  <si>
    <t>SomeIP_VoiceControlInfo_BUS</t>
  </si>
  <si>
    <t>FRONT_RADAR</t>
  </si>
  <si>
    <t>Front_Radar_Array_Info</t>
  </si>
  <si>
    <t>CORNER_RADAR_FR</t>
  </si>
  <si>
    <t>CORNER_RADAR_RR</t>
  </si>
  <si>
    <t>DynamicObjectList_ICM</t>
  </si>
  <si>
    <t>SomeIP_DynamicObjectList_BUS</t>
  </si>
  <si>
    <t>传输动态障碍物数据包</t>
  </si>
  <si>
    <t>StaticObjectList_ICM</t>
  </si>
  <si>
    <t>SomeIP_StaticObjectList_BUS</t>
  </si>
  <si>
    <t>传输静态障碍物数据包</t>
  </si>
  <si>
    <t>LaneLineList_ICM</t>
  </si>
  <si>
    <t>SomeIP_LaneLineList_BUS</t>
  </si>
  <si>
    <t>传输车道线数据包</t>
  </si>
  <si>
    <t>PlanningPath_ICM</t>
  </si>
  <si>
    <t>SomeIP_PlanningPath_BUS</t>
  </si>
  <si>
    <t>传输规划轨迹数据包</t>
  </si>
  <si>
    <t>Othersymbol_ICM</t>
  </si>
  <si>
    <t>SomeIP_Othersymbol_BUS</t>
  </si>
  <si>
    <t>传输其他符号信息</t>
  </si>
  <si>
    <t>时间戳ms</t>
  </si>
  <si>
    <t>ObjectCnt</t>
  </si>
  <si>
    <t>障碍物个数</t>
  </si>
  <si>
    <t>ObjectInfoList</t>
  </si>
  <si>
    <t>SomeIP_DynamicObjectInfo_BUS</t>
  </si>
  <si>
    <t>障碍物信息列表</t>
  </si>
  <si>
    <t>objectType</t>
  </si>
  <si>
    <t>目标类型
0x0: No type
0x1: Car
0x2: Truck 
0x3: Motorcycle
0x4: Pedestrian
0x5: Cyclist
0x6: Bus
0x7:tricyle
0x8:SUV</t>
  </si>
  <si>
    <t>movingStatus</t>
  </si>
  <si>
    <t>目标运动状态
0x0:unknown 
0x1:moving
0x2:standstill</t>
  </si>
  <si>
    <t>lightStatus</t>
  </si>
  <si>
    <t>目标灯光状态
0x0:None
0x1:Turnleft
0x2:Turnright
0x3:DoubleFlash
0x4:Brake
0x5: Reverse</t>
  </si>
  <si>
    <t>objectPoseX</t>
  </si>
  <si>
    <t>目标位置X坐标，单位cm</t>
  </si>
  <si>
    <t>objectPoseY</t>
  </si>
  <si>
    <t>目标位置Y坐标，单位cm</t>
  </si>
  <si>
    <t>objectYaw</t>
  </si>
  <si>
    <t>目标Yaw角，单位deg</t>
  </si>
  <si>
    <t>objectPitch</t>
  </si>
  <si>
    <t>目标Picth角，单位deg</t>
  </si>
  <si>
    <t>objectRoll</t>
  </si>
  <si>
    <t>目标Roll角，单位deg</t>
  </si>
  <si>
    <t>objectLength</t>
  </si>
  <si>
    <t>目标长度，单位cm</t>
  </si>
  <si>
    <t>objecWidth</t>
  </si>
  <si>
    <t>目标宽度，单位cm</t>
  </si>
  <si>
    <t>objectHeight</t>
  </si>
  <si>
    <t>目标高度，单位cm</t>
  </si>
  <si>
    <t>objectColor</t>
  </si>
  <si>
    <t>高亮显示
0x0: None
0x1: Grey
0x2: Blue
0x3: Yellow
0x4: Red</t>
  </si>
  <si>
    <t>SomeIP_StaticObjectInfo_BUS</t>
  </si>
  <si>
    <t>目标类型
0x0: No type
0x1:traffic_cone
0x2:water-barrier
0x3:tripod
0x4:trafficbollard/isolationbollard
0x5:crashBarrel</t>
  </si>
  <si>
    <t>目标位置X坐标</t>
  </si>
  <si>
    <t>目标位置Y坐标</t>
  </si>
  <si>
    <t>LanelinCnt</t>
  </si>
  <si>
    <t>车道线条数</t>
  </si>
  <si>
    <t>LanelineInfo</t>
  </si>
  <si>
    <t>SomeIP_LanelineInfo_BUS</t>
  </si>
  <si>
    <t>车道线信息列表</t>
  </si>
  <si>
    <t>PostionParameterC0</t>
  </si>
  <si>
    <t>车道线方程式参数C0</t>
  </si>
  <si>
    <t>HeadingParmeterC1</t>
  </si>
  <si>
    <t>车道线方程式参数C1</t>
  </si>
  <si>
    <t>CurvatureParatemerC2</t>
  </si>
  <si>
    <t>车道线方程式参数C2</t>
  </si>
  <si>
    <t>CurvatureRateParatemerC3</t>
  </si>
  <si>
    <t>车道线方程式参数C3</t>
  </si>
  <si>
    <t>车道线类型
0x0:none
0x1:solid
0x2:dashed
0x3:reserved</t>
  </si>
  <si>
    <t>Color</t>
  </si>
  <si>
    <t>车道线显示颜色
0x0:none
0x1:grey
0x2:blue
0x3:yellow
0x4:red</t>
  </si>
  <si>
    <t>ClosePointX</t>
  </si>
  <si>
    <t>近端点位置，单位m</t>
  </si>
  <si>
    <t>FarPointX</t>
  </si>
  <si>
    <t>远端点位置，单位m</t>
  </si>
  <si>
    <t>LanePosition</t>
  </si>
  <si>
    <t>车道线位置，
0x0:Unknown
0x1:Ego_left
0x2:Ego_right
0x3:Left_adjacent_left
0x4:Right_adjacent_right
0x5:Left_road_edge
0x6:Right_road_edge</t>
  </si>
  <si>
    <t>PointCnt</t>
  </si>
  <si>
    <t>规划点个数</t>
  </si>
  <si>
    <t>PointInfoList</t>
  </si>
  <si>
    <t>SomeIP_PointInfoList_BUS</t>
  </si>
  <si>
    <t>规划点信息列表</t>
  </si>
  <si>
    <t>Coordinate_X</t>
  </si>
  <si>
    <t>X坐标，单位cm</t>
  </si>
  <si>
    <t>Coordinate_Y</t>
  </si>
  <si>
    <t>Y坐标，单位cm</t>
  </si>
  <si>
    <t>LaneChangePoint</t>
  </si>
  <si>
    <t>变道落位点
0x0:none
0x1:left_lane blue
0x2:right_lane blue
0x3:ego_lane blue
0x4:left_lane red
0x5:right_lane red
0x6~0x7:reserved</t>
  </si>
  <si>
    <t>EgoVehicleState</t>
  </si>
  <si>
    <t>自车加减速状态
0x0:none
0x1:accelerate
0x2:moderate
0x3:Reserved</t>
  </si>
  <si>
    <t>IsStoparea</t>
  </si>
  <si>
    <t>是否显示跟车停止线
0x0:no display
0x1:display</t>
  </si>
  <si>
    <t>StopareaX</t>
  </si>
  <si>
    <t>跟车停止线纵向位置，单位cm</t>
  </si>
  <si>
    <t>StoparealeftY</t>
  </si>
  <si>
    <t>跟车停止线左侧位置点横向位置，单位cm</t>
  </si>
  <si>
    <t>StoparearightY</t>
  </si>
  <si>
    <t>跟车停止线右侧位置点横向位置，单位cm</t>
  </si>
  <si>
    <t>ADS语音播报链路（暂借用泊车语音信号）</t>
  </si>
  <si>
    <t>ParkingVoiceRemind</t>
  </si>
  <si>
    <t>泊车语音播报
0x0:No Request
0x1:Req Stop
0x2: Req Press Brake pedal &amp;&amp; press Start Button
0x3: Req Parking start guidance
0x4: Req Apa Rear Space limit
0x5: Req Apa Pause
0x6: Req Apa Resume
0x7: Req Apa Quit &amp;&amp; TOR
0x8: Req Apa Completed
0x9: Req HPA System Failure
0xA: Req HPA RelatedSystemFailure
0xB: Req HPA OutOff ODD
0xC~0xF:Reserved
0x10: Req Strat Path Trainning
0x11: Req Slow speed
0x12: Req Training length remain limit 100m
0x13: Req Path Tracking Successed
0x14: Req Release brake &amp;&amp; Start cruising
0x15: Req Cruising will turn left
0x16: Req Cruising will turn right
0x17: Req will reach target slot
0x18: Req will park in target slot
0x19: Req please caution Pedestrain
0x1A: Req please caution Vehicle
0x1B: Req Hpa Pause
0x1C: Req Hpa Resume
0x1D: Req Hpa Quit &amp;&amp; TOR
0x1E: Req Target Slot Occupied &amp;&amp; Try other slot
0x1F Req Training End Off Length
0x20: Req Hpa Near Lift Point
0x21: Req Hpa Near Charger Point
0x22: Req Hpa Near In Point
0x23: Req Hpa Near Out Point
0x24: Req HPA System Failure
0x25: Req HPA RelatedSystemFailure
0x26: Req HPA OutOff ODD
0x27: HPA start guidance
0x28: HPA eixt , ple takeover
0x29: HPA complete
0x2A: Target slot occupied，HPA exit
0x2B: Req Hpa Near End Point
0x2E: Reserved
0x2F: RA exit , pls takeover
0x30: Req RA start guidance
0x31: Req RA Resume
0x32: Req RA Quit
0x33: Req RA Completed
0x34: Req RA System Failure
0x35: Req RA RelatedSystemFailure
0x36: Req RA OutOff ODD
0x37: Req Standby System Failure
0x38: Req Standby RelatedSystemFailure
0x39: Req Standby ADASActive
0x40: Req Standby Hignt Speed
0x41: Req Standby Collision Occurs
0x42: Reserved
0x43: Reserved
0x44: Reserved
0x45: Reserved
0x46: Reserved
0x47: Reserved
0x48: Reserved
0x49: Reserved
0x4A: Reserved
0x4B: Reserved
0x4C: Reserved
0x4E: Reserved
0x4F: Reserved
0x50: Reserved
0x51: ACC quit
0x52: LCC quit
0x53: NOC is actived
0x54: Out of NOC range soon
0x55: NOC will quit soon
0x56: NOC quit
0x57: Drive into the main road soon
0x58: Drive out the main road soon
0x59: Drive into ramp soon
0x5A: Change highway soon
0x5B: Drive into fast lane soon
0x5C: Overtake the front vehicle soon
0x5D: IES is actived
0x5E: Change to left lane soon
0x5F: Change to right lane soon
0x60: Safestop will active soon
0x61: Takeover the vehicle</t>
  </si>
  <si>
    <t>语音控车使用（主要使用其中的SetSpeed）</t>
  </si>
  <si>
    <t>IsHDMapHMI</t>
  </si>
  <si>
    <t>使能显示3D渲染界面
0x0:No need display
0x1:Prepare Display
0x2:Need Display</t>
  </si>
  <si>
    <t>ACCState</t>
  </si>
  <si>
    <t>ACC功能状态
0x0: Initial Mode
0x1: Passive mode
0x2: Ready mode
0x3: Active-Control mode
0x4:Brake-Only mode
0x5: Stand-active
0x6: Stand-wait
0x7: Override
0x8: Reserved/OFF mode(just for M32TFL2)
0x9: Failure mode</t>
  </si>
  <si>
    <t>SetSpeed</t>
  </si>
  <si>
    <t>ACC设定速度</t>
  </si>
  <si>
    <t>CPState</t>
  </si>
  <si>
    <t>CP（LCC/NOC）功能状态
0x0: Initial mode 
0x1: OFF mode
0x2: Passive mode
0x3: CP Reday mode
0x4: CP Active-Control mode
0x5: CP lateral override mode
0x6: NOC Reday mode
0x7: NOC Active-Control mode
0x8: NOC lateral override mode
0x9: Safe stop mode
0xA: Failure mode</t>
  </si>
  <si>
    <t>SLASpdLimit</t>
  </si>
  <si>
    <t>道路限速值
0x0: No Display
0x1: SPL Cancelled(Reserved)
0x2: SPL 5
0x3: SPL10
0x4: SPL 15
0x5: SPL 20
0x6: SPL 25
0x7: SPL 30
0x8: SPL 35
0x9: SPL 40
0xA: SPL 45
0xB: SPL 50
0xC: SPL 55
0xD: SPL 60
0xE: SPL 65
0xF: SPL 70
0x10: SPL 75
0x11: SPL 80
0x12: SPL 85
0x13: SPL 90
0x14: SPL 95
0x15: SPL 100
0x16: SPL 105
0x17: SPL 110
0x18: SPL 115
0x19: SPL 120
0x1A: SPL 125
0x1B: SPL 130
0x1C~0xFF: Reserved</t>
  </si>
  <si>
    <t>TSItype</t>
  </si>
  <si>
    <t>摄像头识别的扎标信息
0x0: No display
0x1: NoHorning
0x2: NoPassing
0x3: NoPassingRev
0x4: AccidentProne 
0x5: Continuous Turn
0x6: Danger
0x7: Down
0x8: LeftFalling
0x9: RightFalling
0xA: LRTurn
0xB: RLTurn
0xC: LeftTurn
0xD: RightTurn
0xE: LeftNarrow
0xF: RightNarrow
0x10：MergeLeft
0x11：MergeRight
0x12：SideWind
0x13：SplitLeft
0x14：SplitRight
0x15：Tunnel
0x16：TunelHeadlight
0x17：Up
0x18：Woring
0x19：Yleft
0x1A：Ramp
0x1B: SpeedLim5
0x1C: SpeedLim10
0x1D: SpeedLim15
0x1E: SpeedLim20
0x1F: SpeedLim25
0x20: SpeedLim30
0x21: SpeedLim35
0x22: SpeedLim40
0x23: SpeedLim45
0x24: SpeedLim50
0x25: SpeedLim55
0x26: SpeedLim60
0x27: SpeedLim70
0x28: SpeedLim80
0x29: SpeedLim90
0x2A: SpeedLim100
0x2B: SpeedLim110
0x2C: SpeedLim120
0x2D：SpeedLimRev30
0x2E：SpeedLimRev40
0x2F：SpeedLimRev50
0x30：SpeedLimRev60
0x31：SpeedLimRev70
0x32：SpeedLimRev80
0x33：SpeedLimRev90
0x34：SpeedLimRev100
0x35：SpeedLimRev110
0x36：SpeedLimRev120</t>
  </si>
  <si>
    <t>LaneLineColor</t>
  </si>
  <si>
    <t>高亮自车车道线
0x0：None
0x1：LaneLine Blue
0x2：PlanningPoint</t>
  </si>
  <si>
    <t>LaneChangeState</t>
  </si>
  <si>
    <t>变道状态
0x0：None
0x1：Waiting
0x2：Changing
0x3：Return
0x4：Cancelled
0x5：Finished
0x6：Failed</t>
  </si>
  <si>
    <t>LaneChangeDirection</t>
  </si>
  <si>
    <t>变道方向
0x0：None
0x1：Left
0x2：Right</t>
  </si>
  <si>
    <t>CurrentLinkID</t>
  </si>
  <si>
    <t>自车Link ID，赋默认值0</t>
  </si>
  <si>
    <t>CurrentlaneNo</t>
  </si>
  <si>
    <t>自车lane编号 从右往左0，.... ，n，没有匹配上车线时赋值0xFF</t>
  </si>
  <si>
    <t>DestlinkID</t>
  </si>
  <si>
    <t>变道目标的Link ID，赋默认值0</t>
  </si>
  <si>
    <t>DestlaneNo</t>
  </si>
  <si>
    <t>变道目标车线的lane编号，从右往左0，.... ，n，没有启动变道发0xFF</t>
  </si>
  <si>
    <t>DestLaneColor</t>
  </si>
  <si>
    <t>变道时目标车道（落位框）的颜色
0x0：None
0x1：Blue
0x2：Red</t>
  </si>
  <si>
    <t>IsSolidLine</t>
  </si>
  <si>
    <t>变道时，是否红色高亮变道侧车道线
0x0：None
0x1：SoildLine</t>
  </si>
  <si>
    <t xml:space="preserve"> CurvatureRadius</t>
  </si>
  <si>
    <t>弯曲道路的曲率半径，单位m</t>
  </si>
  <si>
    <t>NOCRemainingDistance</t>
  </si>
  <si>
    <t>NOC剩余距离，单位m</t>
  </si>
  <si>
    <t>ADAS_TextInfo</t>
  </si>
  <si>
    <t>文言
0x0：No display
0x1：Cruise in curve
0x2：Cruise in complex road
0x3：Cruise standwait
0x4：Drive off request under cruise
0x5：Drive off request under non-cruise
0x6：ACC highspeed override
0x7：Longitudinal takeover request to driver
0x8：NOC is actived
0x9：Switch to LCC soon
0xA：Switch to ACC soon
0xB：NOC quit soon
0xC：NOC is cancelled
0xD：NOC quit
0xE：Drive in the main road soon
0xF：Drive in the main road failed
0x10：Drive out the main road soon
0x11：Drive out the main road failed 
0x12：Drive int stub soon
0x13：Drive int ramp soon
0x14：Change highway soon
0x15：Drive in ramp
0x16：Lane merge soon
0x17：Change to fast lane
0x18：Overtaking
0x19：Avoiding obstacles
0x1A：Change lane to the left soon
0x1B：Change lane to the right soon
0x1C：Change lane to the left after confirm(turn light)
0x1D：Change lane to the right after confirm(turn right)
0x1E：MRM soon
0x1F：MRM doing
0x20：Fork turn left
0x21：Fork turn right
0x22：Fork change failed
0x23：IES is active
0x24：Hand off level 1 warning
0x25：Hand off level 2 warning
0x26：Hand off level 3 warning
0x27：LaneChange not satisfy（Low speed）
0x28：LaneChange not satisfy（Sold line）
0x29：LaneChange not satisfy（Other Reason）
0x2A：Lane change waiting
0x2B：Lane change is cancelled
0x2C：Lane change quit（Time out）
0x2D：Lane change quit and turnliaght on
0x2E：Lane changing
0x2F：Lane change return
0x30：Lane change failed
0x31：Lane change finished and turnlight on
0x32：Lane change finished
0x33：NOC is failure</t>
  </si>
  <si>
    <t>ADAS_Voice</t>
  </si>
  <si>
    <t>语音
0x0: No voice
0x1: ACC quit
0x2: LCC quit
0x3: NOC is actived
0x4: Out of NOC range soon
0x5: NOC will quit soon
0x6: NOC quit
0x7: Drive into the main road soon
0x8: Drive out the main road soon
0x9: Drive into ramp soon
0xA: Change highway soon
0xB: Drive into fast lane soon
0xC: Overtake the front vehicle soon
0xD: IES is actived
0xE: Change to left lane soon
0xF: Change to right lane soon
0x10: Safestop will active soon
0x11: Takeover the vehicle</t>
  </si>
  <si>
    <t>Front_Radar_Object_Info</t>
  </si>
  <si>
    <t>obj_alive_cnt</t>
  </si>
  <si>
    <t>obj_exist_prob</t>
  </si>
  <si>
    <t>obj_obstacle_prob</t>
  </si>
  <si>
    <t>obj_dx</t>
  </si>
  <si>
    <t>obj_dy</t>
  </si>
  <si>
    <t>obj_vx</t>
  </si>
  <si>
    <t>obj_vy</t>
  </si>
  <si>
    <t>obj_ax</t>
  </si>
  <si>
    <t>obj_ay</t>
  </si>
  <si>
    <t>obj_dx_var</t>
  </si>
  <si>
    <t>obj_dy_var</t>
  </si>
  <si>
    <t>obj_vx_var</t>
  </si>
  <si>
    <t>obj_vy_var</t>
  </si>
  <si>
    <t>obj_ax_var</t>
  </si>
  <si>
    <t>obj_ay_var</t>
  </si>
  <si>
    <t>obj_type</t>
  </si>
  <si>
    <t>obj_type_conf</t>
  </si>
  <si>
    <t>obj_asil_flag</t>
  </si>
  <si>
    <t>obj_length</t>
  </si>
  <si>
    <t>obj_height</t>
  </si>
  <si>
    <t>obj_rcs</t>
  </si>
  <si>
    <t>obj_motion_mode</t>
  </si>
  <si>
    <t>obj_det_sts</t>
  </si>
  <si>
    <t>obj_track_frame</t>
  </si>
  <si>
    <t>Front_Radar_Location_Info</t>
  </si>
  <si>
    <t>loc_alive_cnt</t>
  </si>
  <si>
    <t>loc_valid</t>
  </si>
  <si>
    <t>loc_motion_status</t>
  </si>
  <si>
    <t>loc_dr</t>
  </si>
  <si>
    <t>loc_vr</t>
  </si>
  <si>
    <t>loc_theta</t>
  </si>
  <si>
    <t>loc_phi</t>
  </si>
  <si>
    <t>loc_rcs</t>
  </si>
  <si>
    <t>loc_snr</t>
  </si>
  <si>
    <t>loc_dr_vr_quality</t>
  </si>
  <si>
    <t>loc_theta_quality</t>
  </si>
  <si>
    <t>loc_phi_quality</t>
  </si>
  <si>
    <t>alive_cnt</t>
  </si>
  <si>
    <t>obj_cnt</t>
  </si>
  <si>
    <t>loc_cnt</t>
  </si>
  <si>
    <t>timestamp_status</t>
  </si>
  <si>
    <t>time_latency</t>
  </si>
  <si>
    <t>sensor_state</t>
  </si>
  <si>
    <t>front_radar_objects</t>
  </si>
  <si>
    <t>front_radar_locations</t>
  </si>
  <si>
    <t>Corner_Radar_Object_Info</t>
  </si>
  <si>
    <t>obj_counter</t>
  </si>
  <si>
    <t>obj_status</t>
  </si>
  <si>
    <t>obj_ttc</t>
  </si>
  <si>
    <t>obj_oncoming_flag</t>
  </si>
  <si>
    <t>obj_crossing_flag</t>
  </si>
  <si>
    <t>obj_age</t>
  </si>
  <si>
    <t>obj_class</t>
  </si>
  <si>
    <t>obj_class_conf</t>
  </si>
  <si>
    <t>obj_motion_status</t>
  </si>
  <si>
    <t>obj_heading</t>
  </si>
  <si>
    <t>obj_velocity</t>
  </si>
  <si>
    <t>obj_distance_x</t>
  </si>
  <si>
    <t>obj_distance_y</t>
  </si>
  <si>
    <t>obj_rel_velocity_x</t>
  </si>
  <si>
    <t>obj_rel_velocity_y</t>
  </si>
  <si>
    <t>obj_acceleration_x</t>
  </si>
  <si>
    <t>obj_acceleration_y</t>
  </si>
  <si>
    <t>Corner_Radar_Raw_Data_Info</t>
  </si>
  <si>
    <t>vr</t>
  </si>
  <si>
    <t>dr</t>
  </si>
  <si>
    <t>theta</t>
  </si>
  <si>
    <t>prob</t>
  </si>
  <si>
    <t>snr</t>
  </si>
  <si>
    <t>rcs</t>
  </si>
  <si>
    <t>Corner_Radar_Error_State_Info</t>
  </si>
  <si>
    <t>state_status_blk</t>
  </si>
  <si>
    <t>state_work_status</t>
  </si>
  <si>
    <t>timestamp_state</t>
  </si>
  <si>
    <t>cycle_counter</t>
  </si>
  <si>
    <t>sensor_source</t>
  </si>
  <si>
    <t>track_num</t>
  </si>
  <si>
    <t>CrossTrafficONOFFSTS</t>
  </si>
  <si>
    <t>交通穿行功能开关状态
0：off
1：switch off
2：switch on</t>
  </si>
  <si>
    <t>CrossTrafficTextInfo</t>
  </si>
  <si>
    <t>交通穿行功能文言
0：No Display
1：Left Active
2：Right Active
3：Failure</t>
  </si>
  <si>
    <t>CrossTrafficSound</t>
  </si>
  <si>
    <t>交通穿行功能声音
0：NA
1：Tip Sound
2：Active Sound
3：Quit Sound
4：Failure Sound
5：Stafty Sound
6：Warning Sound
7：Takeover Sound</t>
  </si>
  <si>
    <t>CrossTrafficBrakingReq</t>
  </si>
  <si>
    <t>交通穿行制动请求</t>
  </si>
  <si>
    <t>CrossTrafficBrakingCtrlA</t>
  </si>
  <si>
    <t>交通穿行制动减速度</t>
  </si>
  <si>
    <t>error_state</t>
  </si>
  <si>
    <t>corner_radar_objects</t>
  </si>
  <si>
    <t>corner_radar_rawdata</t>
  </si>
  <si>
    <t>IDCU_11_ALCDrvStysts</t>
  </si>
  <si>
    <t>IDCU_11_ALCDrvrCfmONOFFsts</t>
  </si>
  <si>
    <t>IDCU_11_CPONOFFsts</t>
  </si>
  <si>
    <t>IDCU_11_CRC</t>
  </si>
  <si>
    <t>IDCU_11_DCLCONOFFsts</t>
  </si>
  <si>
    <t>IDCU_11_DrvAssiStylests</t>
  </si>
  <si>
    <t>IDCU_11_FCTBONOFFsts</t>
  </si>
  <si>
    <t>IDCU_11_HPAONOFFsts</t>
  </si>
  <si>
    <t>IDCU_11_MsgCntr</t>
  </si>
  <si>
    <t>IDCU_11_NOCONOFFsts</t>
  </si>
  <si>
    <t>IDCU_11_PPMIMod</t>
  </si>
  <si>
    <t>IDCU_11_ParkIntSts</t>
  </si>
  <si>
    <t>IDCU_11_ParkingProgressBarInd</t>
  </si>
  <si>
    <t>IDCU_11_ParkingchimeVoice</t>
  </si>
  <si>
    <t>IDCU_11_PrkgIntrptVoice</t>
  </si>
  <si>
    <t>IDCU_11_RPAParkingDriOperateInd</t>
  </si>
  <si>
    <t>IDCU_11_Resd_2</t>
  </si>
  <si>
    <t>IDCU_11_ResumeButtonSts</t>
  </si>
  <si>
    <t>IDCU_11_StartButtonSts</t>
  </si>
  <si>
    <t>IDCU_11_VoiceRem</t>
  </si>
  <si>
    <t>IDCU_1_Resd</t>
  </si>
  <si>
    <t>IDCU_13_CRC</t>
  </si>
  <si>
    <t>IDCU_13_MsgCntr</t>
  </si>
  <si>
    <t>IDCU_ACC_TextInfo</t>
  </si>
  <si>
    <t>IDCU_ADAS_Sound</t>
  </si>
  <si>
    <t>IDCU_ADAS_Voice</t>
  </si>
  <si>
    <t>IDCU_AEB_TexInfo</t>
  </si>
  <si>
    <t>IDCU_CPMode</t>
  </si>
  <si>
    <t>IDCU_CP_TextInfo</t>
  </si>
  <si>
    <t>IDCU_DCLC_TextInfo</t>
  </si>
  <si>
    <t>IDCU_FCTB_TexInfo</t>
  </si>
  <si>
    <t>IDCU_HWFailure_TextInfo</t>
  </si>
  <si>
    <t>IDCU_LKS_IHC_TextInfo</t>
  </si>
  <si>
    <t>IDCU_NOC_TextInfo</t>
  </si>
  <si>
    <t>IDCU_TSR_TextInfo</t>
  </si>
  <si>
    <t>IDCU_TextInfo_priority</t>
  </si>
  <si>
    <t>IDCU_9_AVPFailrSt</t>
  </si>
  <si>
    <t>IDCU_9_AVPFunReq</t>
  </si>
  <si>
    <t>IDCU_9_AVPMatcSts</t>
  </si>
  <si>
    <t>IDCU_9_AVPModReqAutoParkOut</t>
  </si>
  <si>
    <t>IDCU_9_AVPModReqAutoPrkg</t>
  </si>
  <si>
    <t>IDCU_9_AVPModReqBackForth</t>
  </si>
  <si>
    <t>IDCU_9_AVPModReqMmryParkOut</t>
  </si>
  <si>
    <t>IDCU_9_AVPModReqMmryPrkg</t>
  </si>
  <si>
    <t>IDCU_9_AVPModReqRmtParkOut</t>
  </si>
  <si>
    <t>IDCU_9_AVPModReqRmtPrkg</t>
  </si>
  <si>
    <t>IDCU_9_AVPPrkgSpd</t>
  </si>
  <si>
    <t>IDCU_9_AVPPrkgslot</t>
  </si>
  <si>
    <t>IDCU_9_AVPRecaFailrSt</t>
  </si>
  <si>
    <t>IDCU_9_AVPRemCtrlSts</t>
  </si>
  <si>
    <t>IDCU_9_AVPReqClsSunRoof</t>
  </si>
  <si>
    <t>IDCU_9_AVPReqHdLoLi</t>
  </si>
  <si>
    <t>IDCU_9_AVPReqHorn</t>
  </si>
  <si>
    <t>IDCU_9_AVPReqLeRiLi</t>
  </si>
  <si>
    <t>IDCU_9_AVPReqOutdReviMirr</t>
  </si>
  <si>
    <t>IDCU_9_AVPReqPEPS</t>
  </si>
  <si>
    <t>IDCU_9_AVPReqWinTurnDwn</t>
  </si>
  <si>
    <t>IDCU_9_AVPReqfourdoorlock</t>
  </si>
  <si>
    <t>IDCU_9_BackLeftCross</t>
  </si>
  <si>
    <t>IDCU_9_BackOut</t>
  </si>
  <si>
    <t>IDCU_9_BackRightCross</t>
  </si>
  <si>
    <t>IDCU_9_CRC</t>
  </si>
  <si>
    <t>IDCU_9_FrontLeftCross</t>
  </si>
  <si>
    <t>IDCU_9_FrontLeftParallel</t>
  </si>
  <si>
    <t>IDCU_9_FrontOut</t>
  </si>
  <si>
    <t>IDCU_9_FrontRightCross</t>
  </si>
  <si>
    <t>IDCU_9_FrontRightParallel</t>
  </si>
  <si>
    <t>IDCU_9_MsgCntr</t>
  </si>
  <si>
    <t>IDCU_9_ParkOutDirectionSt</t>
  </si>
  <si>
    <t>Read_IDCU_9_AVPModReqCruisePrkg</t>
  </si>
  <si>
    <t>ACCMode_ESP</t>
  </si>
  <si>
    <t>ACCTarAcc</t>
  </si>
  <si>
    <t>ACC_AccECGPOvrd</t>
  </si>
  <si>
    <t>BrakePreferred</t>
  </si>
  <si>
    <t>ComfortAccLowerValue</t>
  </si>
  <si>
    <t>ComfortAccUpperValue</t>
  </si>
  <si>
    <t>DecToStop</t>
  </si>
  <si>
    <t>FCM_FRM_1_CRC</t>
  </si>
  <si>
    <t>FCM_FRM_1_MessageCounter</t>
  </si>
  <si>
    <t>HBALevel</t>
  </si>
  <si>
    <t>HBARequest</t>
  </si>
  <si>
    <t>LimitAccLowerValue</t>
  </si>
  <si>
    <t>LimitAccUpperValue</t>
  </si>
  <si>
    <t>VLCShutdownMode</t>
  </si>
  <si>
    <t>ACCMinimumBraking</t>
  </si>
  <si>
    <t>ACCStartStopInfo</t>
  </si>
  <si>
    <t>AEBDecCtrlRequest</t>
  </si>
  <si>
    <t>FCM_FRM_2_CRC</t>
  </si>
  <si>
    <t>FCM_FRM_2_MessageCounter</t>
  </si>
  <si>
    <t>FCM_FRM_2_Reserved1</t>
  </si>
  <si>
    <t>FCM_FRM_2_Reserved2</t>
  </si>
  <si>
    <t>FCM_FRM_2_Textinfo_Info</t>
  </si>
  <si>
    <t>FCM_FRM_6_ACCMode</t>
  </si>
  <si>
    <t>FCM_FRM_6_AEBDecCtrlRequest</t>
  </si>
  <si>
    <t>FCM_FRM_6_AEBMode</t>
  </si>
  <si>
    <t>FCM_FRM_6_CRC</t>
  </si>
  <si>
    <t>FCM_FRM_6_DistanceWarning</t>
  </si>
  <si>
    <t>FCM_FRM_6_DrvrCfmSCFDispFb</t>
  </si>
  <si>
    <t>FCM_FRM_6_FCWMode</t>
  </si>
  <si>
    <t>FCM_FRM_6_FCW_preWarning</t>
  </si>
  <si>
    <t>FCM_FRM_6_HMI_Indicator</t>
  </si>
  <si>
    <t>FCM_FRM_6_MsgCntr</t>
  </si>
  <si>
    <t>FCM_FRM_6_Resd_1</t>
  </si>
  <si>
    <t>FCM_FRM_6_Resd_2</t>
  </si>
  <si>
    <t>FCM_FRM_6_SCF_PopoverReq</t>
  </si>
  <si>
    <t>FCM_FRM_6_SCF_SpdLimSts</t>
  </si>
  <si>
    <t>FCM_FRM_6_SCF_SpdLimUnit</t>
  </si>
  <si>
    <t>FCM_FRM_6_TakeOverReq</t>
  </si>
  <si>
    <t>FCM_FRM_6_TextinfoWarn</t>
  </si>
  <si>
    <t>FCM_FRM_6_Textinfo_Info</t>
  </si>
  <si>
    <t>FCM_FRM_6_TimeGapSetICM</t>
  </si>
  <si>
    <t>FCM_FRM_6_VSetDis</t>
  </si>
  <si>
    <t>RLCR_2_Resd1</t>
  </si>
  <si>
    <t>RLCR_2_RAEBReq</t>
  </si>
  <si>
    <t>0x0: Not Request
0x1: Request</t>
  </si>
  <si>
    <t>RLCR_2_RAEBONOFFSts</t>
  </si>
  <si>
    <t>0x0: Not active
0x1: ON
0x2: OFF
0x3: Reserved</t>
  </si>
  <si>
    <t>RLCR_2_RCTBONOFFSts</t>
  </si>
  <si>
    <t>RLCR_2_RAEBCtrlA</t>
  </si>
  <si>
    <t>RLCR_2_Resd4</t>
  </si>
  <si>
    <t>RLCR_2_RCTBReq</t>
  </si>
  <si>
    <t>RLCR_2_Resd2</t>
  </si>
  <si>
    <t>RLCR_2_RCTBCtrlA</t>
  </si>
  <si>
    <t>RLCR_2_Resd3</t>
  </si>
  <si>
    <t>RLCR_2_MsgCntr</t>
  </si>
  <si>
    <t>RLCR_2_CRC</t>
  </si>
  <si>
    <t>VoiceControl</t>
  </si>
  <si>
    <t>语音功能控制
0x0: No Request
0x1: change lane to left
0x2: change lane to right
0x3: confirm change lane
0x4: cancel change lane
0x5: speed set +
0x6: speed set -
0x7: timegap max
0x8: timegap min
0x9: timegap set +
0xA: timegap set -
0xB~0xFE: Reserved</t>
  </si>
  <si>
    <t>SpeedVoiceControl</t>
  </si>
  <si>
    <t>语音速度控制
km/h</t>
  </si>
  <si>
    <t>APA_ESP_Stop_Distance</t>
  </si>
  <si>
    <t>APA_ESP_Speed_Limitation</t>
  </si>
  <si>
    <t>APA_Allow_ESP_Control_Brake</t>
  </si>
  <si>
    <t>APA_ESP_Control_Request</t>
  </si>
  <si>
    <t>APA_ESP_Target_Gear_Request</t>
  </si>
  <si>
    <t>当前需要处理</t>
  </si>
  <si>
    <t>APA_FailureBrakeMode</t>
  </si>
  <si>
    <t>AVM_APA_2_APAEPBCtrlReq</t>
  </si>
  <si>
    <t>AVM_APA_2_Reserved1</t>
  </si>
  <si>
    <t>AVM_APA_2_AliveCounter</t>
  </si>
  <si>
    <t>AVM_APA_2_CRC</t>
  </si>
  <si>
    <t>Fusa_CAN_E2E</t>
  </si>
  <si>
    <t>Fusa_CAN_E2E_BUS</t>
  </si>
  <si>
    <t>功能安全E2E信息</t>
  </si>
  <si>
    <t>Fusa_CAN_Value</t>
  </si>
  <si>
    <t>Fusa_CAN_Value_BUS</t>
  </si>
  <si>
    <t>功能安全依赖矩阵信号</t>
  </si>
  <si>
    <t>Fusa_ErrID</t>
  </si>
  <si>
    <t>Fusa_ErrID_BUS</t>
  </si>
  <si>
    <t>底层功能安全ErrID</t>
  </si>
  <si>
    <t>SysIn_HMI_ADASSetting</t>
  </si>
  <si>
    <t>SomeIP_HMI_ADASSetting_BUS</t>
  </si>
  <si>
    <t>ADAS开关设置项</t>
  </si>
  <si>
    <t>SysIn_ICC_SDmapInfo_2</t>
  </si>
  <si>
    <t>SomeIP_ICC_SDmapInfo_2_BUS</t>
  </si>
  <si>
    <t>SD map output information</t>
  </si>
  <si>
    <t>SysOut_FCM_DrivingHmiEnv</t>
  </si>
  <si>
    <t>SomeIP_FCM_DrivingHmiEnv_BUS</t>
  </si>
  <si>
    <t>人机交互环境重构</t>
  </si>
  <si>
    <t>SysOut_FCM_DrivingFuncInfo</t>
  </si>
  <si>
    <t>SomeIP_FCM_DrivingFuncInfo_BUS</t>
  </si>
  <si>
    <t>驾驶功能信息</t>
  </si>
  <si>
    <t>SysOut_FCM_ActiveSafetyInfo</t>
  </si>
  <si>
    <t>SomeIP_FCM_ActiveSafetyInfo_BUS</t>
  </si>
  <si>
    <t>主动安全信息</t>
  </si>
  <si>
    <t>SysOut_FCM_SensorInfo</t>
  </si>
  <si>
    <t>SomeIP_FCM_SensorInfo_BUS</t>
  </si>
  <si>
    <t>ADAS 控制器及传感器状态信息服务</t>
  </si>
  <si>
    <t>SysOut_FCM_UUID</t>
  </si>
  <si>
    <t>SomeIP_SysOut_FCM_UUID_BUS</t>
  </si>
  <si>
    <t>车辆UUID信息</t>
  </si>
  <si>
    <t>SysOut_FCM_DVRSts</t>
  </si>
  <si>
    <t>SomeIP_SysOut_FCM_DVRSts_BUS</t>
  </si>
  <si>
    <t>DVR状态反馈</t>
  </si>
  <si>
    <t>RR_CR_OBJ</t>
  </si>
  <si>
    <t>CR_OBJ_BUS</t>
  </si>
  <si>
    <t>RL_CR_OBJ</t>
  </si>
  <si>
    <t>FUSA_10ms_Data</t>
  </si>
  <si>
    <t>FUSA_10ms_Data_BUS</t>
  </si>
  <si>
    <t>Fusa_ACU_1_CRC1_Error</t>
  </si>
  <si>
    <t>ACU_1_CRC1_Error E2E通讯故障错误</t>
  </si>
  <si>
    <t>Fusa_ACU_1_RollgCntr1_Error</t>
  </si>
  <si>
    <t>ACU_1_RollgCntr1_Error E2E通讯故障错误</t>
  </si>
  <si>
    <t>Fusa_ACU_2_CRC1_Error</t>
  </si>
  <si>
    <t>ACU_2_CRC1_Error E2E通讯故障错误</t>
  </si>
  <si>
    <t>Fusa_ACU_2_RollgCntr1_Error</t>
  </si>
  <si>
    <t>ACU_2_RollgCntr1_Error E2E通讯故障错误</t>
  </si>
  <si>
    <t>Fusa_ACU_2_Timeout</t>
  </si>
  <si>
    <t>ACU_2_Timeout 数据帧通讯超时</t>
  </si>
  <si>
    <t>Fusa_ACU_3_CRC1_Error</t>
  </si>
  <si>
    <t>ACU_3_CRC1_Error E2E通讯故障错误</t>
  </si>
  <si>
    <t>Fusa_ACU_3_RollgCntr1_Error</t>
  </si>
  <si>
    <t>ACU_3_RollgCntr1_Error E2E通讯故障错误</t>
  </si>
  <si>
    <t>Fusa_ACU_3_Timeout</t>
  </si>
  <si>
    <t>ACU_3_Timeout 数据帧通讯超时</t>
  </si>
  <si>
    <t>Fusa_EPB_R_1_CRC1_Error</t>
  </si>
  <si>
    <t>EPB_R_1_CRC1_Error E2E通讯故障错误</t>
  </si>
  <si>
    <t>Fusa_EPB_R_1_RollgCntr1_Error</t>
  </si>
  <si>
    <t>EPB_R_1_RollgCntr1_Error E2E通讯故障错误</t>
  </si>
  <si>
    <t>Fusa_EPB_R_1_CRC2_Error</t>
  </si>
  <si>
    <t>EPB_R_1_CRC2_Error E2E通讯故障错误</t>
  </si>
  <si>
    <t>Fusa_EPB_R_1_RollgCntr2_Error</t>
  </si>
  <si>
    <t>EPB_R_1_RollgCntr2_Error E2E通讯故障错误</t>
  </si>
  <si>
    <t>Fusa_EPB_R_1_Timeout</t>
  </si>
  <si>
    <t>EPB_R_1_Timeout 数据帧通讯超时</t>
  </si>
  <si>
    <t>Fusa_EPS_1_CRC_Error</t>
  </si>
  <si>
    <t>EPS_1_CRC_Error E2E通讯故障错误</t>
  </si>
  <si>
    <t>Fusa_EPS_1_RollgCntr_Error</t>
  </si>
  <si>
    <t>EPS_1_RollgCntr_Error E2E通讯故障错误</t>
  </si>
  <si>
    <t>Fusa_EPS_1_Timeout</t>
  </si>
  <si>
    <t>EPS_1_Timeout 数据帧通讯超时</t>
  </si>
  <si>
    <t>Fusa_EPS_3_CRC_Error</t>
  </si>
  <si>
    <t>EPS_3_CRC_Error E2E通讯故障错误</t>
  </si>
  <si>
    <t>Fusa_EPS_3_RollgCntr_Error</t>
  </si>
  <si>
    <t>EPS_3_RollgCntr_Error E2E通讯故障错误</t>
  </si>
  <si>
    <t>Fusa_EPS_3_Timeout</t>
  </si>
  <si>
    <t>EPS_3_Timeout 数据帧通讯超时</t>
  </si>
  <si>
    <t>Fusa_EPS_4_CRC1_Error</t>
  </si>
  <si>
    <t>EPS_4_CRC1_Error E2E通讯故障错误</t>
  </si>
  <si>
    <t>Fusa_EPS_4_RollgCntr1_Error</t>
  </si>
  <si>
    <t>EPS_4_RollgCntr1_Error E2E通讯故障错误</t>
  </si>
  <si>
    <t>Fusa_EPS_4_CRC2_Error</t>
  </si>
  <si>
    <t>EPS_4_CRC2_Error E2E通讯故障错误</t>
  </si>
  <si>
    <t>Fusa_EPS_4_RollgCntr2_Error</t>
  </si>
  <si>
    <t>EPS_4_RollgCntr2_Error E2E通讯故障错误</t>
  </si>
  <si>
    <t>Fusa_EPS_4_CRC3_Error</t>
  </si>
  <si>
    <t>EPS_4_CRC3_Error E2E通讯故障错误</t>
  </si>
  <si>
    <t>Fusa_EPS_4_RollgCntr3_Error</t>
  </si>
  <si>
    <t>EPS_4_RollgCntr3_Error E2E通讯故障错误</t>
  </si>
  <si>
    <t>Fusa_EPS_4_CRC4_Error</t>
  </si>
  <si>
    <t>EPS_4_CRC4_Error E2E通讯故障错误</t>
  </si>
  <si>
    <t>Fusa_EPS_4_RollgCntr4_Error</t>
  </si>
  <si>
    <t>EPS_4_RollgCntr4_Error E2E通讯故障错误</t>
  </si>
  <si>
    <t>Fusa_EPS_4_CRC5_Error</t>
  </si>
  <si>
    <t>EPS_4_CRC5_Error E2E通讯故障错误</t>
  </si>
  <si>
    <t>Fusa_EPS_4_RollgCntr5_Error</t>
  </si>
  <si>
    <t>EPS_4_RollgCntr5_Error E2E通讯故障错误</t>
  </si>
  <si>
    <t>Fusa_EPS_4_Timeout</t>
  </si>
  <si>
    <t>EPS_4_Timeout 数据帧通讯超时</t>
  </si>
  <si>
    <t>Fusa_SAM_1_CRC_Error</t>
  </si>
  <si>
    <t>SAM_1_CRC_Error E2E通讯故障错误</t>
  </si>
  <si>
    <t>Fusa_SAM_1_RollgCntr_Error</t>
  </si>
  <si>
    <t>SAM_1_RollgCntr_Error E2E通讯故障错误</t>
  </si>
  <si>
    <t>Fusa_SAS_1_Timeout</t>
  </si>
  <si>
    <t>SAS_1_Timeout 数据帧通讯超时</t>
  </si>
  <si>
    <t>Fusa_ONEBOX_1_CRC1_Error</t>
  </si>
  <si>
    <t>ONEBOX_1_CRC1_Error E2E通讯故障错误</t>
  </si>
  <si>
    <t>Fusa_ONEBOX_1_RollgCntr1_Error</t>
  </si>
  <si>
    <t>ONEBOX_1_RollgCntr1_Error E2E通讯故障错误</t>
  </si>
  <si>
    <t>Fusa_ONEBOX_1_CRC2_Error</t>
  </si>
  <si>
    <t>ONEBOX_1_CRC2_Error E2E通讯故障错误</t>
  </si>
  <si>
    <t>Fusa_ONEBOX_1_RollgCntr2_Error</t>
  </si>
  <si>
    <t>ONEBOX_1_RollgCntr2_Error E2E通讯故障错误</t>
  </si>
  <si>
    <t>Fusa_ONEBOX_1_Timeout</t>
  </si>
  <si>
    <t>ONEBOX_1_Timeout 数据帧通讯超时</t>
  </si>
  <si>
    <t>Fusa_ONEBOX_3_CRC1_Error</t>
  </si>
  <si>
    <t>ONEBOX_3_CRC1_Error E2E通讯故障错误</t>
  </si>
  <si>
    <t>Fusa_ONEBOX_3_RollgCntr1_Error</t>
  </si>
  <si>
    <t>ONEBOX_3_RollgCntr1_Error E2E通讯故障错误</t>
  </si>
  <si>
    <t>Fusa_ONEBOX_3_CRC2_Error</t>
  </si>
  <si>
    <t>ONEBOX_3_CRC2_Error E2E通讯故障错误</t>
  </si>
  <si>
    <t>Fusa_ONEBOX_3_RollgCntr2_Error</t>
  </si>
  <si>
    <t>ONEBOX_3_RollgCntr2_Error E2E通讯故障错误</t>
  </si>
  <si>
    <t>Fusa_ONEBOX_3_CRC4_Error</t>
  </si>
  <si>
    <t>ONEBOX_3_CRC4_Error E2E通讯故障错误</t>
  </si>
  <si>
    <t>Fusa_ONEBOX_3_RollgCntr4_Error</t>
  </si>
  <si>
    <t>ONEBOX_3_RollgCntr4_Error E2E通讯故障错误</t>
  </si>
  <si>
    <t>Fusa_ONEBOX_3_Timeout</t>
  </si>
  <si>
    <t>ONEBOX_3_Timeout 数据帧通讯超时</t>
  </si>
  <si>
    <t>Fusa_ONEBOX_4_CRC1_Error</t>
  </si>
  <si>
    <t>ONEBOX_4_CRC1_Error E2E通讯故障错误</t>
  </si>
  <si>
    <t>Fusa_ONEBOX_4_RollgCntr1_Error</t>
  </si>
  <si>
    <t>ONEBOX_4_RollgCntr1_Error E2E通讯故障错误</t>
  </si>
  <si>
    <t>Fusa_ONEBOX_4_CRC2_Error</t>
  </si>
  <si>
    <t>ONEBOX_4_CRC2_Error E2E通讯故障错误</t>
  </si>
  <si>
    <t>Fusa_ONEBOX_4_RollgCntr2_Error</t>
  </si>
  <si>
    <t>ONEBOX_4_RollgCntr2_Error E2E通讯故障错误</t>
  </si>
  <si>
    <t>Fusa_ONEBOX_4_CRC3_Error</t>
  </si>
  <si>
    <t>ONEBOX_4_CRC3_Error E2E通讯故障错误</t>
  </si>
  <si>
    <t>Fusa_ONEBOX_4_RollgCntr3_Error</t>
  </si>
  <si>
    <t>ONEBOX_4_RollgCntr3_Error E2E通讯故障错误</t>
  </si>
  <si>
    <t>Fusa_ONEBOX_4_CRC4_Error</t>
  </si>
  <si>
    <t>ONEBOX_4_CRC4_Error E2E通讯故障错误</t>
  </si>
  <si>
    <t>Fusa_ONEBOX_4_RollgCntr4_Error</t>
  </si>
  <si>
    <t>ONEBOX_4_RollgCntr4_Error E2E通讯故障错误</t>
  </si>
  <si>
    <t>Fusa_ONEBOX_4_Timeout</t>
  </si>
  <si>
    <t>ONEBOX_4_Timeout 数据帧通讯超时</t>
  </si>
  <si>
    <t>Fusa_ONEBOX_5_CRC1_Error</t>
  </si>
  <si>
    <t>ONEBOX_5_CRC1_Error E2E通讯故障错误</t>
  </si>
  <si>
    <t>Fusa_ONEBOX_5_RollgCntr1_Error</t>
  </si>
  <si>
    <t>ONEBOX_5_RollgCntr1_Error E2E通讯故障错误</t>
  </si>
  <si>
    <t>Fusa_ONEBOX_5_Timeout</t>
  </si>
  <si>
    <t>ONEBOX_5_Timeout 数据帧通讯超时</t>
  </si>
  <si>
    <t>Fusa_ONEBOX_2_G_CRC_Error</t>
  </si>
  <si>
    <t>ONEBOX_2_G_CRC_Error E2E通讯故障错误</t>
  </si>
  <si>
    <t>Fusa_ONEBOX_2_G_RollgCntr_Error</t>
  </si>
  <si>
    <t>ONEBOX_2_G_RollgCntr_Error E2E通讯故障错误</t>
  </si>
  <si>
    <t>Fusa_ONEBOX_2_G_Timeout</t>
  </si>
  <si>
    <t>ONEBOX_2_G_Timeout 数据帧通讯超时</t>
  </si>
  <si>
    <t>Fusa_VCU_1_G_CRC_Error</t>
  </si>
  <si>
    <t>VCU_1_G_CRC_Error E2E通讯故障错误</t>
  </si>
  <si>
    <t>Fusa_VCU_1_G_RollgCntr_Error</t>
  </si>
  <si>
    <t>VCU_1_G_RollgCntr_Error E2E通讯故障错误</t>
  </si>
  <si>
    <t>Fusa_VCU_1_G_Timeout</t>
  </si>
  <si>
    <t>VCU_1_G_Timeout 数据帧通讯超时</t>
  </si>
  <si>
    <t>Fusa_VCU_2_G_CRC_Error</t>
  </si>
  <si>
    <t>VCU_2_G_CRC_Error E2E通讯故障错误</t>
  </si>
  <si>
    <t>Fusa_VCU_2_G_RollgCntr_Error</t>
  </si>
  <si>
    <t>VCU_2_G_RollgCntr_Error E2E通讯故障错误</t>
  </si>
  <si>
    <t>Fusa_VCU_2_G_Timeout</t>
  </si>
  <si>
    <t>VCU_2_G_Timeout 数据帧通讯超时</t>
  </si>
  <si>
    <t>Fusa_VCU_10_CRC_Error</t>
  </si>
  <si>
    <t>VCU_10_CRC_Error E2E通讯故障错误</t>
  </si>
  <si>
    <t>Fusa_VCU_10_RollgCntr_Error</t>
  </si>
  <si>
    <t>VCU_10_RollgCntr_Error E2E通讯故障错误</t>
  </si>
  <si>
    <t>Fusa_VCU_COM_10_Timeout</t>
  </si>
  <si>
    <t>VCU_COM_10_Timeout 数据帧通讯超时</t>
  </si>
  <si>
    <t>Fusa_VCU_11_CRC1_Error</t>
  </si>
  <si>
    <t>VCU_11_CRC1_Error E2E通讯故障错误</t>
  </si>
  <si>
    <t>Fusa_VCU_11_RollgCntr1_Error</t>
  </si>
  <si>
    <t>VCU_11_RollgCntr1_Error E2E通讯故障错误</t>
  </si>
  <si>
    <t>Fusa_VCU_11_CRC2_Error</t>
  </si>
  <si>
    <t>VCU_11_CRC2_Error E2E通讯故障错误</t>
  </si>
  <si>
    <t>Fusa_VCU_11_RollgCntr2_Error</t>
  </si>
  <si>
    <t>VCU_11_RollgCntr2_Error E2E通讯故障错误</t>
  </si>
  <si>
    <t>Fusa_VCU_11_CRC3_Error</t>
  </si>
  <si>
    <t>VCU_11_CRC3_Error E2E通讯故障错误</t>
  </si>
  <si>
    <t>Fusa_VCU_11_RollgCntr3_Error</t>
  </si>
  <si>
    <t>VCU_11_RollgCntr3_Error E2E通讯故障错误</t>
  </si>
  <si>
    <t>Fusa_VCU_11_CRC4_Error</t>
  </si>
  <si>
    <t>VCU_11_CRC4_Error E2E通讯故障错误</t>
  </si>
  <si>
    <t>Fusa_VCU_11_RollgCntr4_Error</t>
  </si>
  <si>
    <t>VCU_11_RollgCntr4_Error E2E通讯故障错误</t>
  </si>
  <si>
    <t>Fusa_VCU_ONEBOX_11_Timeout</t>
  </si>
  <si>
    <t>VCU_ONEBOX_11_Timeout 数据帧通讯超时</t>
  </si>
  <si>
    <t>Fusa_VCU_12_CRC1_Error</t>
  </si>
  <si>
    <t>VCU_12_CRC1_Error E2E通讯故障错误</t>
  </si>
  <si>
    <t>Fusa_VCU_12_RollgCntr1_Error</t>
  </si>
  <si>
    <t>VCU_12_RollgCntr1_Error E2E通讯故障错误</t>
  </si>
  <si>
    <t>Fusa_VCU_12_CRC2_Error</t>
  </si>
  <si>
    <t>VCU_12_CRC2_Error E2E通讯故障错误</t>
  </si>
  <si>
    <t>Fusa_VCU_12_RollgCntr2_Error</t>
  </si>
  <si>
    <t>VCU_12_RollgCntr2_Error E2E通讯故障错误</t>
  </si>
  <si>
    <t>Fusa_VCU_12_CRC3_Error</t>
  </si>
  <si>
    <t>VCU_12_CRC3_Error E2E通讯故障错误</t>
  </si>
  <si>
    <t>Fusa_VCU_12_RollgCntr3_Error</t>
  </si>
  <si>
    <t>VCU_12_RollgCntr3_Error E2E通讯故障错误</t>
  </si>
  <si>
    <t>Fusa_VCU_ADCC_12_Timeout</t>
  </si>
  <si>
    <t>VCU_ADCC_12_Timeout 数据帧通讯超时</t>
  </si>
  <si>
    <t>Fusa_ASU_1_CRC1_Error</t>
  </si>
  <si>
    <t>ASU_1_CRC1_Error E2E通讯故障错误</t>
  </si>
  <si>
    <t>Fusa_ASU_1_RollgCntr1_Error</t>
  </si>
  <si>
    <t>ASU_1_RollgCntr1_Error E2E通讯故障错误</t>
  </si>
  <si>
    <t>Fusa_ASU_2_CRC1_Error</t>
  </si>
  <si>
    <t>ASU_2_CRC1_Error E2E通讯故障错误</t>
  </si>
  <si>
    <t>Fusa_ASU_2_RollgCntr1_Error</t>
  </si>
  <si>
    <t>ASU_2_RollgCntr1_Error E2E通讯故障错误</t>
  </si>
  <si>
    <t>Fusa_CSA_1_CRC_Error</t>
  </si>
  <si>
    <t>CSA_1_CRC_Error E2E通讯故障错误</t>
  </si>
  <si>
    <t>Fusa_CSA_1_RollgCntr_Error</t>
  </si>
  <si>
    <t>CSA_1_RollgCntr_Error E2E通讯故障错误</t>
  </si>
  <si>
    <t>Fusa_CSA_2_CRC1_Error</t>
  </si>
  <si>
    <t>CSA_2_CRC1_Error E2E通讯故障错误</t>
  </si>
  <si>
    <t>Fusa_CSA_2_RollgCntr1_Error</t>
  </si>
  <si>
    <t>CSA_2_RollgCntr1_Error E2E通讯故障错误</t>
  </si>
  <si>
    <t>Fusa_FLZCU_1_CRC_Error</t>
  </si>
  <si>
    <t>FLZCU_1_CRC_Error E2E通讯故障错误</t>
  </si>
  <si>
    <t>Fusa_FLZCU_1_RollgCntr_Error</t>
  </si>
  <si>
    <t>FLZCU_1_RollgCntr_Error E2E通讯故障错误</t>
  </si>
  <si>
    <t>Fusa_FLZCU_1_Timeout</t>
  </si>
  <si>
    <t>FLZCU_1_Timeout 数据帧通讯超时</t>
  </si>
  <si>
    <t>Fusa_FLZCU_3_CRC_Error</t>
  </si>
  <si>
    <t>FLZCU_3_CRC_Error E2E通讯故障错误</t>
  </si>
  <si>
    <t>Fusa_FLZCU_3_RollgCntr_Error</t>
  </si>
  <si>
    <t>FLZCU_3_RollgCntr_Error E2E通讯故障错误</t>
  </si>
  <si>
    <t>Fusa_FLZCU_9_CRC_Error</t>
  </si>
  <si>
    <t>FLZCU_9_CRC_Error E2E通讯故障错误</t>
  </si>
  <si>
    <t>Fusa_FLZCU_9_RollgCntr_Error</t>
  </si>
  <si>
    <t>FLZCU_9_RollgCntr_Error E2E通讯故障错误</t>
  </si>
  <si>
    <t>Fusa_FLZCU_12_CRC_Error</t>
  </si>
  <si>
    <t>FLZCU_12_CRC_Error E2E通讯故障错误</t>
  </si>
  <si>
    <t>Fusa_FLZCU_12_RollgCntr_Error</t>
  </si>
  <si>
    <t>FLZCU_12_RollgCntr_Error E2E通讯故障错误</t>
  </si>
  <si>
    <t>Fusa_MFS_2_CRC_Error</t>
  </si>
  <si>
    <t>MFS_2_CRC_Error E2E通讯故障错误</t>
  </si>
  <si>
    <t>Fusa_MFS_2_RollgCntr_Error</t>
  </si>
  <si>
    <t>MFS_2_RollgCntr_Error E2E通讯故障错误</t>
  </si>
  <si>
    <t>Fusa_MFS_2_Timeout</t>
  </si>
  <si>
    <t>MFS_2_Timeout 数据帧通讯超时</t>
  </si>
  <si>
    <t>Fusa_FRZCU_1_CRC_Error</t>
  </si>
  <si>
    <t>FRZCU_1_CRC_Error E2E通讯故障错误</t>
  </si>
  <si>
    <t>Fusa_FRZCU_1_RollgCntr_Error</t>
  </si>
  <si>
    <t>FRZCU_1_RollgCntr_Error E2E通讯故障错误</t>
  </si>
  <si>
    <t>Fusa_FRZCU_7_CRC_Error</t>
  </si>
  <si>
    <t>FRZCU_7_CRC_Error E2E通讯故障错误</t>
  </si>
  <si>
    <t>Fusa_FRZCU_7_RollgCntr_Error</t>
  </si>
  <si>
    <t>FRZCU_7_RollgCntr_Error E2E通讯故障错误</t>
  </si>
  <si>
    <t>Fusa_RZCU_2_CRC_Error</t>
  </si>
  <si>
    <t>RZCU_2_CRC_Error E2E通讯故障错误</t>
  </si>
  <si>
    <t>Fusa_RZCU_2_RollgCntr_Error</t>
  </si>
  <si>
    <t>RZCU_2_RollgCntr_Error E2E通讯故障错误</t>
  </si>
  <si>
    <t>Fusa_RZCU_7_CRC_Error</t>
  </si>
  <si>
    <t>RZCU_7_CRC_Error E2E通讯故障错误</t>
  </si>
  <si>
    <t>Fusa_RZCU_7_RollgCntr_Error</t>
  </si>
  <si>
    <t>RZCU_7_RollgCntr_Error E2E通讯故障错误</t>
  </si>
  <si>
    <t>Fusa_FLCR_1_CRC1_Error</t>
  </si>
  <si>
    <t>FLCR_1_CRC1_Error E2E通讯故障错误</t>
  </si>
  <si>
    <t>Fusa_FLCR_1_RollgCntr1_Error</t>
  </si>
  <si>
    <t>FLCR_1_RollgCntr1_Error E2E通讯故障错误</t>
  </si>
  <si>
    <t>Fusa_FLCR_2_CRC1_Error</t>
  </si>
  <si>
    <t>FLCR_2_CRC1_Error E2E通讯故障错误</t>
  </si>
  <si>
    <t>Fusa_FLCR_2_RollgCntr1_Error</t>
  </si>
  <si>
    <t>FLCR_2_RollgCntr1_Error E2E通讯故障错误</t>
  </si>
  <si>
    <t>Fusa_FRCR_1_CRC1_Error</t>
  </si>
  <si>
    <t>FRCR_1_CRC1_Error E2E通讯故障错误</t>
  </si>
  <si>
    <t>Fusa_FRCR_1_RollgCntr1_Error</t>
  </si>
  <si>
    <t>FRCR_1_RollgCntr1_Error E2E通讯故障错误</t>
  </si>
  <si>
    <t>Fusa_RLCR_1_CRC1_Error</t>
  </si>
  <si>
    <t>RLCR_1_CRC1_Error E2E通讯故障错误</t>
  </si>
  <si>
    <t>Fusa_RLCR_1_RollgCntr1_Error</t>
  </si>
  <si>
    <t>RLCR_1_RollgCntr1_Error E2E通讯故障错误</t>
  </si>
  <si>
    <t>Fusa_RLCR_1_Timeout</t>
  </si>
  <si>
    <t>RLCR_1_Timeout 数据帧通讯超时</t>
  </si>
  <si>
    <t>Fusa_RLCR_2_CRC1_Error</t>
  </si>
  <si>
    <t>RLCR_2_CRC1_Error E2E通讯故障错误</t>
  </si>
  <si>
    <t>Fusa_RLCR_2_RollgCntr1_Error</t>
  </si>
  <si>
    <t>RLCR_2_RollgCntr1_Error E2E通讯故障错误</t>
  </si>
  <si>
    <t>Fusa_RLCR_3_CRC_Error</t>
  </si>
  <si>
    <t>RLCR_3_CRC_Error E2E通讯故障错误</t>
  </si>
  <si>
    <t>Fusa_RLCR_3_RollgCntr_Error</t>
  </si>
  <si>
    <t>RLCR_3_RollgCntr_Error E2E通讯故障错误</t>
  </si>
  <si>
    <t>Fusa_RLCR_3_Timeout</t>
  </si>
  <si>
    <t>RLCR_3_Timeout 数据帧通讯超时</t>
  </si>
  <si>
    <t>Fusa_RLCR_4_CRC_Error</t>
  </si>
  <si>
    <t>RLCR_4_CRC_Error E2E通讯故障错误</t>
  </si>
  <si>
    <t>Fusa_RLCR_4_RollgCntr_Error</t>
  </si>
  <si>
    <t>RLCR_4_RollgCntr_Error E2E通讯故障错误</t>
  </si>
  <si>
    <t>Fusa_RLCR_4_Timeout</t>
  </si>
  <si>
    <t>RLCR_4_Timeout 数据帧通讯超时</t>
  </si>
  <si>
    <t>Fusa_RLCR_5_CRC_Error</t>
  </si>
  <si>
    <t>RLCR_5_CRC_Error E2E通讯故障错误</t>
  </si>
  <si>
    <t>Fusa_RLCR_5_RollgCntr_Error</t>
  </si>
  <si>
    <t>RLCR_5_RollgCntr_Error E2E通讯故障错误</t>
  </si>
  <si>
    <t>Fusa_RLCR_5_Timeout</t>
  </si>
  <si>
    <t>RLCR_5_Timeout 数据帧通讯超时</t>
  </si>
  <si>
    <t>Fusa_RLCR_6_CRC_Error</t>
  </si>
  <si>
    <t>RLCR_6_CRC_Error E2E通讯故障错误</t>
  </si>
  <si>
    <t>Fusa_RLCR_6_RollgCntr_Error</t>
  </si>
  <si>
    <t>RLCR_6_RollgCntr_Error E2E通讯故障错误</t>
  </si>
  <si>
    <t>Fusa_RLCR_6_Timeout</t>
  </si>
  <si>
    <t>RLCR_6_Timeout 数据帧通讯超时</t>
  </si>
  <si>
    <t>Fusa_RLCR_7_CRC_Error</t>
  </si>
  <si>
    <t>RLCR_7_CRC_Error E2E通讯故障错误</t>
  </si>
  <si>
    <t>Fusa_RLCR_7_RollgCntr_Error</t>
  </si>
  <si>
    <t>RLCR_7_RollgCntr_Error E2E通讯故障错误</t>
  </si>
  <si>
    <t>Fusa_RLCR_7_Timeout</t>
  </si>
  <si>
    <t>RLCR_7_Timeout 数据帧通讯超时</t>
  </si>
  <si>
    <t>Fusa_RLCR_8_CRC_Error</t>
  </si>
  <si>
    <t>RLCR_8_CRC_Error E2E通讯故障错误</t>
  </si>
  <si>
    <t>Fusa_RLCR_8_RollgCntr_Error</t>
  </si>
  <si>
    <t>RLCR_8_RollgCntr_Error E2E通讯故障错误</t>
  </si>
  <si>
    <t>Fusa_RLCR_8_Timeout</t>
  </si>
  <si>
    <t>RLCR_8_Timeout 数据帧通讯超时</t>
  </si>
  <si>
    <t>Fusa_RRCR_1_CRC1_Error</t>
  </si>
  <si>
    <t>RRCR_1_CRC1_Error E2E通讯故障错误</t>
  </si>
  <si>
    <t>Fusa_RRCR_1_RollgCntr1_Error</t>
  </si>
  <si>
    <t>RRCR_1_RollgCntr1_Error E2E通讯故障错误</t>
  </si>
  <si>
    <t>Fusa_RRCR_1_Timeout</t>
  </si>
  <si>
    <t>RRCR_1_Timeout 数据帧通讯超时</t>
  </si>
  <si>
    <t>Fusa_RRCR_3_CRC_Error</t>
  </si>
  <si>
    <t>RRCR_3_CRC_Error E2E通讯故障错误</t>
  </si>
  <si>
    <t>Fusa_RRCR_3_RollgCntr_Error</t>
  </si>
  <si>
    <t>RRCR_3_RollgCntr_Error E2E通讯故障错误</t>
  </si>
  <si>
    <t>Fusa_RRCR_3_Timeout</t>
  </si>
  <si>
    <t>RRCR_3_Timeout 数据帧通讯超时</t>
  </si>
  <si>
    <t>Fusa_RRCR_4_CRC_Error</t>
  </si>
  <si>
    <t>RRCR_4_CRC_Error E2E通讯故障错误</t>
  </si>
  <si>
    <t>Fusa_RRCR_4_RollgCntr_Error</t>
  </si>
  <si>
    <t>RRCR_4_RollgCntr_Error E2E通讯故障错误</t>
  </si>
  <si>
    <t>Fusa_RRCR_4_Timeout</t>
  </si>
  <si>
    <t>RRCR_4_Timeout 数据帧通讯超时</t>
  </si>
  <si>
    <t>Fusa_RRCR_5_CRC_Error</t>
  </si>
  <si>
    <t>RRCR_5_CRC_Error E2E通讯故障错误</t>
  </si>
  <si>
    <t>Fusa_RRCR_5_RollgCntr_Error</t>
  </si>
  <si>
    <t>RRCR_5_RollgCntr_Error E2E通讯故障错误</t>
  </si>
  <si>
    <t>Fusa_RRCR_5_Timeout</t>
  </si>
  <si>
    <t>RRCR_5_Timeout 数据帧通讯超时</t>
  </si>
  <si>
    <t>Fusa_RRCR_6_CRC_Error</t>
  </si>
  <si>
    <t>RRCR_6_CRC_Error E2E通讯故障错误</t>
  </si>
  <si>
    <t>Fusa_RRCR_6_RollgCntr_Error</t>
  </si>
  <si>
    <t>RRCR_6_RollgCntr_Error E2E通讯故障错误</t>
  </si>
  <si>
    <t>Fusa_RRCR_6_Timeout</t>
  </si>
  <si>
    <t>RRCR_6_Timeout 数据帧通讯超时</t>
  </si>
  <si>
    <t>Fusa_RRCR_7_CRC_Error</t>
  </si>
  <si>
    <t>RRCR_7_CRC_Error E2E通讯故障错误</t>
  </si>
  <si>
    <t>Fusa_RRCR_7_RollgCntr_Error</t>
  </si>
  <si>
    <t>RRCR_7_RollgCntr_Error E2E通讯故障错误</t>
  </si>
  <si>
    <t>Fusa_RRCR_7_Timeout</t>
  </si>
  <si>
    <t>RRCR_7_Timeout 数据帧通讯超时</t>
  </si>
  <si>
    <t>Fusa_RRCR_8_CRC_Error</t>
  </si>
  <si>
    <t>RRCR_8_CRC_Error E2E通讯故障错误</t>
  </si>
  <si>
    <t>Fusa_RRCR_8_RollgCntr_Error</t>
  </si>
  <si>
    <t>RRCR_8_RollgCntr_Error E2E通讯故障错误</t>
  </si>
  <si>
    <t>Fusa_RRCR_8_Timeout</t>
  </si>
  <si>
    <t>RRCR_8_Timeout 数据帧通讯超时</t>
  </si>
  <si>
    <t>Fusa_ICC_BD_11_CRC_Error</t>
  </si>
  <si>
    <t>ICC_BD_11_CRC_Error E2E通讯故障错误</t>
  </si>
  <si>
    <t>Fusa_ICC_BD_11_RollgCntr_Error</t>
  </si>
  <si>
    <t>ICC_BD_11_RollgCntr_Error E2E通讯故障错误</t>
  </si>
  <si>
    <t>Fusa_ICC_DA_15_CRC_Error</t>
  </si>
  <si>
    <t>ICC_DA_15_CRC_Error E2E通讯故障错误</t>
  </si>
  <si>
    <t>Fusa_ICC_DA_15_RollgCntr_Error</t>
  </si>
  <si>
    <t>ICC_DA_15_RollgCntr_Error E2E通讯故障错误</t>
  </si>
  <si>
    <t>Fusa_VCC_3_CRC_Error</t>
  </si>
  <si>
    <t>VCC_3_CRC_Error E2E通讯故障错误</t>
  </si>
  <si>
    <t>Fusa_VCC_3_RollgCntr_Error</t>
  </si>
  <si>
    <t>VCC_3_RollgCntr_Error E2E通讯故障错误</t>
  </si>
  <si>
    <t>Fusa_ACU_2_LateralAcceleration</t>
  </si>
  <si>
    <t xml:space="preserve">CAN矩阵输入信号: 
 描述:Lateral acceleration signal
 Sensor accuracy：0.0027680342857143g
 信号值:
 </t>
  </si>
  <si>
    <t>Fusa_ACU_2_YawRate</t>
  </si>
  <si>
    <t xml:space="preserve">CAN矩阵输入信号: 
 描述:Yaw rate signal
 Sensor accuracy：0.122189236 deg/s
 信号值:
 </t>
  </si>
  <si>
    <t>Fusa_ACU_2_YASCalibrationSts</t>
  </si>
  <si>
    <t>CAN矩阵输入信号: 
 描述:Indicates IMU Calibration State
 信号值:
 0x0:Sensor Not Calibrated
 0x1:Sensor Calibrated</t>
  </si>
  <si>
    <t>Fusa_ACU_2_YawrateSigValidData</t>
  </si>
  <si>
    <t>CAN矩阵输入信号: 
 描述:Signal state for yawrate
 信号值:
 0x0:Valid
 0x1:Reserved
 0x2:Invalid
 0x3:Initialize</t>
  </si>
  <si>
    <t>Fusa_ACU_2_LateralAccelerationSigVD</t>
  </si>
  <si>
    <t>CAN矩阵输入信号: 
 描述:If hasn’t been calibrated, after initialization, this signal ‘s value is always 10(invalid).
 信号值:
 0x0:Valid
 0x1:Reserved
 0x2:Invalid
 0x3:Initialize</t>
  </si>
  <si>
    <t>Fusa_ACU_3_LongitudinalAcceleration</t>
  </si>
  <si>
    <t xml:space="preserve">CAN矩阵输入信号: 
 描述:Longitudinal acceleration signal
 Sensor accuracy：0.0027680342857143 g
 信号值:
 </t>
  </si>
  <si>
    <t>Fusa_ACU_3_LongitudinalAccelerationVD</t>
  </si>
  <si>
    <t>CAN矩阵输入信号: 
 描述:If hasn’t been calibrated, after initialization, this signal ‘s value is always10(invalid)
 信号值:
 0x0:Valid
 0x1:Reserved
 0x2:Invalid
 0x3:Initialize</t>
  </si>
  <si>
    <t>Fusa_ACU_3_CrashOutputSts</t>
  </si>
  <si>
    <t>CAN矩阵输入信号: 
 描述:Crash signal indicates the status according to bit:
 If multiple directions collide at the same time, each collision flag bit representing each direction will be set to 1.For example, if left crash is superimposed with right crash, the output signal is 00001100
 此信号发到ECU停止工作为止
 信号值:
 0x00:No crash
 0x01:Belt Crash
 0x02:Front Crash
 0x04:Left Side Crash
 0x08:Right Side Crash
 0x10:Rear Crash
 0x20:Roll Crash</t>
  </si>
  <si>
    <t>Fusa_EPB_1_ActrSt</t>
  </si>
  <si>
    <t>CAN矩阵输入信号: 
 描述:Current state of APB actuator connected to ECU
 EPB卡钳执行状态
 信号值:
 0x0:Unknow
 0x1:Applied
 0x2:Released
 0x3:Applying
 0x4:Releasing
 0x5:CompletelyReleased
 0x6:Half Applied
 0x7:Reserved</t>
  </si>
  <si>
    <t>Fusa_EPB_1_EPBAvlSt</t>
  </si>
  <si>
    <t>CAN矩阵输入信号: 
 描述:EPB可用状态
 信号值:
 0x0:Not Available
 0x1:Available</t>
  </si>
  <si>
    <t>Fusa_EPB_1_FltLvl</t>
  </si>
  <si>
    <t>CAN矩阵输入信号: 
 描述:EPB故障状态
 信号值:
 0x0:No fault
 0x1:One caliper fault-L 
 0x2:One caliper fault-R
 0x3:Two caliper fault</t>
  </si>
  <si>
    <t>Fusa_EPB_R_1_Flt_Lamp</t>
  </si>
  <si>
    <t>CAN矩阵输入信号: 
 描述:EPB故障状态
 诊断和转毂测试模式时闪烁
 信号值:
 0x0:Lamp OFF
 0x1:Lamp ON
 0x2:Lamp Flash
 0x3:Reserved</t>
  </si>
  <si>
    <t>Fusa_EPB_R_1_EPB_R_1Avl_St</t>
  </si>
  <si>
    <t>Fusa_EPB_R_1_FltLvl</t>
  </si>
  <si>
    <t>CAN矩阵输入信号: 
 描述:EPB故障状态-R
 信号值:
 0x0:No fault
 0x1:Fault_R</t>
  </si>
  <si>
    <t>Fusa_EPSFailSts</t>
  </si>
  <si>
    <t>CAN矩阵输入信号: 
 描述:EPS Fail Status
 信号值:
 0x0:Not present
 0x1:Fail present
 0x2:Reserved
 0x3:Reserved</t>
  </si>
  <si>
    <t>Fusa_TorsionBarTorque</t>
  </si>
  <si>
    <t xml:space="preserve">CAN矩阵输入信号: 
 描述:Torsion BarTorque
 信号值:
 </t>
  </si>
  <si>
    <t>Fusa_TorsionBarTorqueDir</t>
  </si>
  <si>
    <t>CAN矩阵输入信号: 
 描述:Torsion Bar Torque Direction
 信号值:
 0x0:postive
 0x1:negative</t>
  </si>
  <si>
    <t>Fusa_TosionBarTorqueValid</t>
  </si>
  <si>
    <t>CAN矩阵输入信号: 
 描述:Tosion Bar Torque Valid
 信号值:
 0x0:Invalid
 0x1:Valid</t>
  </si>
  <si>
    <t>Fusa_EPS_4_AgPilotCtrlAvl</t>
  </si>
  <si>
    <t xml:space="preserve">CAN矩阵输入信号: 
 描述:EPS监控自身故障，并反馈是否具备执行行车转角控制的能力，握手信号
 信号值:
 0x0:Not available 
 0x1:Available
 </t>
  </si>
  <si>
    <t>Fusa_EPS_4_AgPilotCtrlSts</t>
  </si>
  <si>
    <t xml:space="preserve">CAN矩阵输入信号: 
 描述:
 信号值:
 0x0:No active
 0x1:Reserved
 0x2:active
 </t>
  </si>
  <si>
    <t>Fusa_EPS_4_SteerPinionTqVld</t>
  </si>
  <si>
    <t xml:space="preserve">CAN矩阵输入信号: 
 描述:
 信号值:
 0x0:Invalid 
 0x1:Valid </t>
  </si>
  <si>
    <t>Fusa_EPS_4_SteerDrvrOvrd</t>
  </si>
  <si>
    <t>CAN矩阵输入信号: 
 描述:EPS作驾驶员转向干预退出防护策略，阈值和持续时间可标定（由ADS和EPS共同确定）
 信号值:
 0x0:Not override
 0x1:Override</t>
  </si>
  <si>
    <t>Fusa_EPS_4_SteerDrvrOvrdVld</t>
  </si>
  <si>
    <t>Fusa_SAM_1_SteeringAngle</t>
  </si>
  <si>
    <t xml:space="preserve">CAN矩阵输入信号: 
 描述:The actual range is from -720 deg to +720 deg.
 信号值:
 </t>
  </si>
  <si>
    <t>Fusa_SAM_1_SteeringAngleSpeed</t>
  </si>
  <si>
    <t xml:space="preserve">CAN矩阵输入信号: 
 描述:
 信号值:
 </t>
  </si>
  <si>
    <t>Fusa_SAM_1_SteeringAngleVD</t>
  </si>
  <si>
    <t>CAN矩阵输入信号: 
 描述:Steering Angle Valid Data
 信号值:
 0x0:Valid
 0x1:Not Valid</t>
  </si>
  <si>
    <t>Fusa_SAM_1_SteeringAngleSpeedVD</t>
  </si>
  <si>
    <t>CAN矩阵输入信号: 
 描述:Steering Angle Speed Valid Data
 信号值:
 0x0:Valid
 0x1:Not Valid</t>
  </si>
  <si>
    <t>Fusa_ABS_ESP_1_VehicleSpeedVSOSig</t>
  </si>
  <si>
    <t xml:space="preserve">CAN矩阵输入信号: 
 描述:Vehicle Speed
 信号值:
 </t>
  </si>
  <si>
    <t>Fusa_ESP1_VehicleSpeedVSOSigValidData</t>
  </si>
  <si>
    <t>CAN矩阵输入信号: 
 描述:Valid check bit of the signal ABS_ESP_1_VehicleSpeedVSOSig
 信号值:
 0x0:Valid
 0x1:Not Valid</t>
  </si>
  <si>
    <t>Fusa_ABS_ESP_1_EBDFailSts</t>
  </si>
  <si>
    <t>CAN矩阵输入信号: 
 描述:EBD Fail Status
 信号值:
 0x0:Not present
 0x1:Fail present (lamp on)</t>
  </si>
  <si>
    <t>Fusa_ABS_ESP_1_ABSFailSts</t>
  </si>
  <si>
    <t>CAN矩阵输入信号: 
 描述:ABS Fail Status
 信号值:
 0x0:Not present
 0x1:Fail present (lamp on)</t>
  </si>
  <si>
    <t>Fusa_ABS_ESP_1_VDCFailSts</t>
  </si>
  <si>
    <t>CAN矩阵输入信号: 
 描述:VDC Fail Status
 信号值:
 0x0:Not present
 0x1:Fail present (lamp on)</t>
  </si>
  <si>
    <t>Fusa_ABS_ESP_1_TCSFailSts</t>
  </si>
  <si>
    <t>CAN矩阵输入信号: 
 描述:TCS Fail Status
 信号值:
 0x0:Not present
 0x1:Fail present (lamp on)</t>
  </si>
  <si>
    <t>Fusa_ABS_ESP_1_HHCFailSts</t>
  </si>
  <si>
    <t>CAN矩阵输入信号: 
 描述:HHC Fail Sts
 信号值:
 0x0:Not present
 0x1:Fail present (lamp on)</t>
  </si>
  <si>
    <t>Fusa_ABS_ESP_1_HDCFailSts</t>
  </si>
  <si>
    <t>CAN矩阵输入信号: 
 描述:HDC Fail Sts
 信号值:
 0x0:Not present
 0x1:Fail present (lamp on)</t>
  </si>
  <si>
    <t>Fusa_VehicleStandstill</t>
  </si>
  <si>
    <t>CAN矩阵输入信号: 
 描述:Stationary state of vehicle
 信号值:
 0x0:Not standstill
 0x1:Standstill
 0x2:invalid
 0x3:Reserved</t>
  </si>
  <si>
    <t>Fusa_AVHFailSts</t>
  </si>
  <si>
    <t>CAN矩阵输入信号: 
 描述:AutoHold Functional failure state
 信号值:
 0x0:Not present
 0x1:Fail present (lamp on)</t>
  </si>
  <si>
    <t>Fusa_DCFail</t>
  </si>
  <si>
    <t>CAN矩阵输入信号: 
 描述:Notify the FRM when ACC's deceleration function cannot be performed
 信号值:
 0x0:No error
 0x1:Error</t>
  </si>
  <si>
    <t>Fusa_IPB_PlungerPressureValidData</t>
  </si>
  <si>
    <t xml:space="preserve">CAN矩阵输入信号: 
 描述:Valid check bit of the signal PressureMasterCylinder
 信号值:
 0x0:Valid 
 0x1:Invalid </t>
  </si>
  <si>
    <t>Fusa_IPB_InputRodStrokeStatus</t>
  </si>
  <si>
    <t xml:space="preserve">CAN矩阵输入信号: 
 描述:Indicate inputRod stroke for pedal travel
 信号值:
 0x0:Valid 
 0x1:Invalid </t>
  </si>
  <si>
    <t>Fusa_IPB_PlungerPressure</t>
  </si>
  <si>
    <t xml:space="preserve">CAN矩阵输入信号: 
 描述:Pressure Master Cylinder
 信号值:
 </t>
  </si>
  <si>
    <t>Fusa_IPB_InputRodStroke</t>
  </si>
  <si>
    <t xml:space="preserve">CAN矩阵输入信号: 
 描述:Indicate inputRod stroke for pedal travel
 信号值:
 </t>
  </si>
  <si>
    <t>Fusa_LHFWheelDriveDirection</t>
  </si>
  <si>
    <t>CAN矩阵输入信号: 
 描述:left front Wheel Drive Direction
 信号值:
 0x0:Init
 0x1:Forward
 0x2:Backward
 0x3:Stop
 0x4:Invalid
 0x5~0x7:reserved</t>
  </si>
  <si>
    <t>Fusa_LHFWheelSpeedRawValidData</t>
  </si>
  <si>
    <t>CAN矩阵输入信号: 
 描述:Valid check bit of the signal LHFWheelSpeedRaw
 信号值:
 0x0:Valid
 0x1:Not Valid</t>
  </si>
  <si>
    <t>Fusa_RHFWheelDriveDirection</t>
  </si>
  <si>
    <t>CAN矩阵输入信号: 
 描述:right front Wheel Speed Drive Direction
 信号值:
 0x0:Init
 0x1:Forward
 0x2:Backward
 0x3:Stop
 0x4:Invalid
 0x5~0x7:reserved</t>
  </si>
  <si>
    <t>Fusa_RHFWheelSpeedRawValidData</t>
  </si>
  <si>
    <t>CAN矩阵输入信号: 
 描述:Valid check bit of the signal RHFWheelSpeedRaw
 信号值:
 0x0:Valid
 0x1:Not Valid</t>
  </si>
  <si>
    <t>Fusa_LHRWheelDriveDirection</t>
  </si>
  <si>
    <t>CAN矩阵输入信号: 
 描述: left rear Wheel Speed Drive Direction
 信号值:
 0x0:Init
 0x1:Forward
 0x2:Backward
 0x3:Stop
 0x4:Invalid
 0x5~0x7:reserved</t>
  </si>
  <si>
    <t>Fusa_LHRWheelSpeedRawValidData</t>
  </si>
  <si>
    <t>CAN矩阵输入信号: 
 描述:Valid check bit of the signal LHRWheelSpeedRaw
 信号值:
 0x0:Valid
 0x1:Not Valid</t>
  </si>
  <si>
    <t>Fusa_RHRWheelDriveDirection</t>
  </si>
  <si>
    <t>CAN矩阵输入信号: 
 描述: right rear Wheel Speed Drive Direction
 信号值:
 0x0:Init
 0x1:Forward
 0x2:Backward
 0x3:Stop
 0x4:Invalid
 0x5~0x7:reserved</t>
  </si>
  <si>
    <t>Fusa_RHRWheelSpeedRawValidData</t>
  </si>
  <si>
    <t>CAN矩阵输入信号: 
 描述:Valid check bit of the signal RHRWheelSpeedRaw
 信号值:
 0x0:Valid
 0x1:Not Valid</t>
  </si>
  <si>
    <t>Fusa_ONEBOX_5_PilotParkBrkDecCtlAvl</t>
  </si>
  <si>
    <t>CAN矩阵输入信号: 
 描述:Pilot deceleration control interface available
 信号值:
 0x0:Valid
 0x1:Not valid</t>
  </si>
  <si>
    <t>Fusa_BrakesystemFailSts</t>
  </si>
  <si>
    <t>CAN矩阵输入信号: 
 描述:
 信号值:
 0x0: Fail not present
 0x1: Fail present</t>
  </si>
  <si>
    <t>Fusa_VCU_GasPedalPositionInvalidData</t>
  </si>
  <si>
    <t>CAN矩阵输入信号: 
 描述:
 信号值:
 0x0:Valid
 0x1:Invalid</t>
  </si>
  <si>
    <t>Fusa_VCU_HVReady</t>
  </si>
  <si>
    <t>CAN矩阵输入信号: 
 描述:HV Ready
 信号值:
 0x0:LmpOFF
 0x1:LmpON</t>
  </si>
  <si>
    <t>Fusa_VCU_ActualGear</t>
  </si>
  <si>
    <t>CAN矩阵输入信号: 
 描述:actual gear
 信号值:
 0x0:No Request
 0x1:gear P
 0x2:gear R
 0x3:gear N
 0x4:gear D
 0x5~0x6:Reserved
 0x7:Invalid</t>
  </si>
  <si>
    <t>Fusa_VCU_ActualGearValidData</t>
  </si>
  <si>
    <t>CAN矩阵输入信号: 
 描述:valid actual gear
 信号值:
 0x0:Not Valid
 0x1:V alid</t>
  </si>
  <si>
    <t>Fusa_VCU_BrakePedalStsValidData</t>
  </si>
  <si>
    <t>CAN矩阵输入信号: 
 描述:
 信号值:
 0x0:Valid
 0x1:Not Valid</t>
  </si>
  <si>
    <t>Fusa_VCU_BrakePedalSts</t>
  </si>
  <si>
    <t>CAN矩阵输入信号: 
 描述:
 信号值:
 0x0:Not applied
 0x1:Applied</t>
  </si>
  <si>
    <t>Fusa_VCU_ONEBOX_GasPedalPositionInvalidData</t>
  </si>
  <si>
    <t>Fusa_VCU_AcceleratorPosRawIVD</t>
  </si>
  <si>
    <t>Fusa_VCU_GasPedalPosition</t>
  </si>
  <si>
    <t xml:space="preserve">CAN矩阵输入信号: 
 描述:Driver/Cruise control
 This signal including compositive informations which are actual gas pedal position and dummy Cruise control gas pedal position
 信号值:
 </t>
  </si>
  <si>
    <t>Fusa_VCU_AcceleratorPosRaw</t>
  </si>
  <si>
    <t xml:space="preserve">CAN矩阵输入信号: 
 描述:Raw position of the accelerator pedal (unfiltered). Represents always raw pedal position without any other influcence only mandatory to calculated gradient acceleration pedal.
 信号值:
 </t>
  </si>
  <si>
    <t>Fusa_VCU_12_PtTqActvSts</t>
  </si>
  <si>
    <t>CAN矩阵输入信号: 
 描述:VCU Torque Active State
 信号值:
 0x0:Not response 
 0x1:Responsed</t>
  </si>
  <si>
    <t>Fusa_VCU_12_PtTqAvl</t>
  </si>
  <si>
    <t>CAN矩阵输入信号: 
 描述:VCU PT Torque Available
 信号值:
 0x0:not available
 0x1:available
 0x2:available degraded
 0x3:fault</t>
  </si>
  <si>
    <t>Fusa_STAT_ShifterLeverFault</t>
  </si>
  <si>
    <t>CAN矩阵输入信号: 
 描述:Shift sensor fault status
 信号值:
 0x0:Shift sensors both ok
 0x1:Shift sensor 1 fault
 0x2:Shift sensor 2 fault
 0x3:Shift sensors both fault
 0x4~0x6:Reserve
 0x7:Invalid</t>
  </si>
  <si>
    <t>Fusa_CSA_2_AllWarningInfo</t>
  </si>
  <si>
    <t>CAN矩阵输入信号: 
 描述:EGS全部报警信号
 T1C项目，EGS此信号发0x0、0x1、0x4，仪表接收
 信号值:
 0x0:No error
 0x1:First grade failure of gear shift mechanism
 0x2:Second grade failure of gear shift mechanism
 0x3:Third grade failure of gear shift mechanism(Reserved)
 0x4:Please check the position of the gear shift
 0x5~0x7:Reserved</t>
  </si>
  <si>
    <t>Fusa_CSA_2_TurnSigLvrCmd</t>
  </si>
  <si>
    <t>CAN矩阵输入信号: 
 描述:turn signal lever command for CSA.
 信号值:
 0x0:OFF
 0x1:turn left
 0x2:turn right
 0x3:left change
 0x4:right change
 0x5~0x6:Reserved
 0x7:fault</t>
  </si>
  <si>
    <t>Fusa_LHFdoorSts</t>
  </si>
  <si>
    <t>CAN矩阵输入信号: 
 描述:
 信号值:
 0x0:Close
 0x1:Ajar 
 0x2:full_open
 0x3:Reserved</t>
  </si>
  <si>
    <t>Fusa_LHFSeatBeltSW</t>
  </si>
  <si>
    <t>CAN矩阵输入信号: 
 描述:安全带检测开关，0为未插入，1为插入
 信号值:
 0x0:Not Active
 0x1:Active</t>
  </si>
  <si>
    <t>Fusa_FL_SeatBeltFaultStatus</t>
  </si>
  <si>
    <t>CAN矩阵输入信号: 
 描述:安全带故障状态
 信号值:
 0x0:Not_Fault
 0x1:Fault</t>
  </si>
  <si>
    <t>Fusa_FLZCU_9_PowerMode</t>
  </si>
  <si>
    <t>CAN矩阵输入信号: 
 描述:低压电源状态
 信号值:
 0x0:Off
 0x1:Comfortable
 0x2:ON
 0x3:Reserved</t>
  </si>
  <si>
    <t>Fusa_MFS_Rsp_Error</t>
  </si>
  <si>
    <t>CAN矩阵输入信号: 
 描述:按键故障
 信号值:
 0x0:No error
 0x1:Error</t>
  </si>
  <si>
    <t>Fusa_MFS_LeftRoller</t>
  </si>
  <si>
    <t>CAN矩阵输入信号: 
 描述:CC/SL RES/+ button
备注：无该按键功能或没有触发该按键时，MFS此信号发0x0
原始脉冲发送逻辑：转一圈x个脉冲
快滚：单位时间内大于 x个脉冲/s  MFS发送快滚动
慢滚同上逻辑
自驾收到信号后逻辑：后续定出
 信号值:
 0x0:Not action
 0x1:ScrollUpSlowly
 0x2:ScrollUpQuickly
 0x3:ScrollDownSlowly
 0x4:ScrollDownQuickly
 0x5~0xE:Reserved
 0xF:invalid</t>
  </si>
  <si>
    <t>Fusa_RHFDoorSts</t>
  </si>
  <si>
    <t>Fusa_RHRDoorSts</t>
  </si>
  <si>
    <t>Fusa_TirePressureWarningLampSts</t>
  </si>
  <si>
    <t>CAN矩阵输入信号: 
 描述:胎压报警灯状态，含熄灭、闪烁（快速失压）、常亮（低压）三种状态
 信号值:
 0x0:Lamp Off
 0x1:Lamp Flashing(Reserved)
 0x2:Lamp On
 0x3:Not used</t>
  </si>
  <si>
    <t>Fusa_TirePressureSystemFailSts</t>
  </si>
  <si>
    <t>CAN矩阵输入信号: 
 描述:
 信号值:
 0x0:Fail Not Present
 0x1:Fail Present</t>
  </si>
  <si>
    <t>Fusa_LHRdoorSts</t>
  </si>
  <si>
    <t>Fusa_RRCR_1_SysSt</t>
  </si>
  <si>
    <t>CAN矩阵输入信号: 
 描述:
 信号值:
 0x0:Off
 0x1:On
 0x2:Temporary Error
 0x3:System Error</t>
  </si>
  <si>
    <t>Fusa_RLCR_1_SysSt</t>
  </si>
  <si>
    <t>Fusa_SerDes_MAX96717_1</t>
  </si>
  <si>
    <t>MAX96717 #1 fusa fault
BitMap:
bit[0]-&gt;Fusa_I2C_UART_MSGCNTR_ERR_1
bit[1]-&gt;Fusa_I2C_UART_CRC_ERR_1
bit[2]-&gt;Fusa_MEM_ECC_ERR2_1
bit[3]-&gt;Fusa_MEM_ECC_ERR1_1
bit[4]-&gt;Fusa_REG_CRC_ERR_1
bit[5]-&gt;Fusa_POST_MBIST_ERR_1
bit[6]-&gt;Fusa_POST_LBIST_ERR_1
bit[7]-&gt;Fusa_Reserve</t>
  </si>
  <si>
    <t>Fusa_SerDes_MAX96717_2</t>
  </si>
  <si>
    <t>MAX96717 #2 fusa fault
BitMap:
bit[0]-&gt;Fusa_I2C_UART_MSGCNTR_ERR_2
bit[1]-&gt;Fusa_I2C_UART_CRC_ERR_2
bit[2]-&gt;Fusa_MEM_ECC_ERR2_2
bit[3]-&gt;Fusa_MEM_ECC_ERR1_2
bit[4]-&gt;Fusa_REG_CRC_ERR_2
bit[5]-&gt;Fusa_POST_MBIST_ERR_2
bit[6]-&gt;Fusa_POST_LBIST_ERR_2
bit[7]-&gt;Fusa_Reserve</t>
  </si>
  <si>
    <t>Fusa_SerDes_MAX96716</t>
  </si>
  <si>
    <t>MAX96716 fusa fault
BitMap:
bit[0]-&gt;Fusa_TUN_DATA_CRC_ERR
bit[1]-&gt;Fusa_TUN_ECC_UNCORR_ERR
bit[2]-&gt;Fusa_TUN_ECC_CORR_ERR
bit[3]-&gt;Fusa_VID_OVERFLOW_ERR
bit[4]-&gt;Fusa_FSYNC_ERR
bit[5]-&gt;Fusa_LCRC_ERR
bit[6]-&gt;Fusa_VPRBS_ERR
bit[7]-&gt;Fusa_I2C_UART_MSGCNTR_ERR
bit[8]-&gt;Fusa_I2C_UART_CRC_ERR
bit[9]-&gt;Fusa_96716_MEM_ECC_ERR2
bit[10]-&gt;Fusa_96716_MEM_ECC_ERR1
bit[11]-&gt;Fusa_REG_CRC_ERR
bit[12]-&gt;Fusa_POST_MBIST_ERR
bit[13]-&gt;Fusa_POST_LBIST_ERR
bit[14]-&gt;Fusa_WM_ERR
bit[15]-&gt;Fusa_Reserve</t>
  </si>
  <si>
    <t>Fusa_SerDes_MAX96722</t>
  </si>
  <si>
    <t>MAX96722 fusa fault
BitMap:
bit[0]-&gt;Fusa_96722_MEM_ECC_ERR2
bit[1]-&gt;Fusa_96722_MEM_ECC_ERR1
bit[2]-&gt;Fusa_VID_PXL_CRC_ERR_D
bit[3]-&gt;Fusa_VID_PXL_CRC_ERR_C
bit[4]-&gt;Fusa_VID_PXL_CRC_ERR_B
bit[5]-&gt;Fusa_VID_PXL_CRC_ERR_A
bit[6]-&gt;Fusa_LFLT_INT
bit[7]-&gt;Fusa_WM1_ERR
bit[8]-&gt;Fusa_WM2_ERR
bit[9]-&gt;Fusa_Reserve</t>
  </si>
  <si>
    <t>Fusa_Mcu_U2A16</t>
  </si>
  <si>
    <t>U2A16 fusa fault
BitMap:
bit[0]-&gt;Fusa_U2A16_BIST_ERR
bit[1]-&gt;Fusa_J3_SPI_CRC_ERR
bit[2]-&gt;Fusa_J3_SPI_RC_ERR
bit[3]-&gt;Fusa_Reserve
bit[4]-&gt;Fusa_Reserve
bit[5]-&gt;Fusa_Reserve
bit[6]-&gt;Fusa_Reserve
bit[7]-&gt;Fusa_Reserve</t>
  </si>
  <si>
    <t>Fusa_Sbc_TLF35584</t>
  </si>
  <si>
    <t>TLF35584 fusa fault
BitMap:
bit[0]-&gt;Fusa_TLF35584_BIST_ERR
bit[1]-&gt;Fusa_Reserve
bit[2]-&gt;Fusa_Reserve
bit[3]-&gt;Fusa_Reserve
bit[4]-&gt;Fusa_Reserve
bit[5]-&gt;Fusa_Reserve
bit[6]-&gt;Fusa_Reserve
bit[7]-&gt;Fusa_Reserve</t>
  </si>
  <si>
    <t>Fusa_Cam_1_Module</t>
  </si>
  <si>
    <t>0X8B40 fusa fault
BitMap:
bit[0]-&gt;Fusa_Cam_online_pixel
bit[1]-&gt;Fusa_Cam_row_checker_analog
bit[2]-&gt;Fusa_Cam_ID_checker_col
bit[3]-&gt;Fusa_Cam_ID_checker_row
bit[4]-&gt;Fusa_Cam_SCCB_CRC
bit[5]-&gt;Fusa_Cam_Frame_counter
bit[6]-&gt;Fusa_Cam_row_checker_digital
bit[7]-&gt;Fusa_Cam_BLC_checker
bit[8]-&gt;Fusa_Cam_PLL_CLK_mon
bit[9]-&gt;Fusa_Cam_PLL_CLK
bit[10]-&gt;Fusa_Cam_PEC
bit[11]-&gt;Fusa_Cam_output_FIFO_CRC
bit[12]-&gt;Fusa_Cam_SRAM_CRC
bit[13]-&gt;Fusa_Cam_Sensor_voltage
bit[14]-&gt;Fusa_Cam_internal_register_readback
bit[15]-&gt;Fusa_Cam_SI_default_register_check
bit[16]-&gt;Fusa_Cam_ROM CRC
bit[17]-&gt;Fusa_Cam_SRAM_BIST
bit[18]-&gt;Fusa_Cam_SM_test
bit[19]-&gt;Fusa_Cam_temperature
bit[20]-&gt;Fusa_Reserve
bit[21]-&gt;Fusa_Reserve
bit[22]-&gt;Fusa_Reserve</t>
  </si>
  <si>
    <t>Fusa_Cam_1_Ser</t>
  </si>
  <si>
    <t>MAX96717 fusa fault
BitMap:
bit[0]-&gt;Fusa_Cam_Ser_OV_UV
bit[1]-&gt;Fusa_Cam_Ser_I2C
bit[2]-&gt;Fusa_Cam_Ser_FIFO_Overflow
bit[3]-&gt;Fusa_Cam_Ser_LBIST
bit[4]-&gt;Fusa_Cam_Ser_MBIST
bit[5]-&gt;Fusa_Cam_Ser_ADC_BIST
bit[6]-&gt;Fusa_Cam_Ser_CFG_CRC
bit[7]-&gt;Fusa_Cam_PMIC</t>
  </si>
  <si>
    <t>Fusa_J3_Err1</t>
  </si>
  <si>
    <t xml:space="preserve">J3 fusa fault
BitMap:
bit[0]-&gt;Fusa_kernel_i2c_ctrl0
bit[1]-&gt;Fusa_kernel_mipi_host1
bit[2]-&gt;Fusa_kernel_ipu
bit[3]-&gt;Fusa_kernel_isp_drop
bit[4]-&gt;Fusa_kernel_pym
bit[5]-&gt;Fusa_kernel_sif0
bit[6]-&gt;Fusa_kernel_bpu0Fusa_kernel_bpu0
bit[7]-&gt;Fusa_kernel_bpu1
bit[8]-&gt;Fusa_kernel_ethernet
bit[9]-&gt;Fusa_kernel_spi2
bit[10]-&gt;Fusa_kernel_emmc
bit[11]-&gt;Fusa_kernel_cpu_cal_err
bit[12]-&gt;Fusa_kernel_mpu_vio_m0_err
bit[13]-&gt;Fusa_kernel_mpu_vio_m1_err
bit[14]-&gt;Fusa_camera_init_0
bit[15]-&gt;Fusa_camera_init_4
bit[16]-&gt;Fusa_sensor_temperature_0
bit[17]-&gt;Fusa_sensor_temperature_4
bit[18]-&gt;Fusa_sensor_system_check_0
bit[19]-&gt;Fusa_sensor_system_check_4
bit[20]-&gt;Fusa_sensor_fcnt_test_0
bit[21]-&gt;Fusa_sensor_fcnt_test_4
bit[22]-&gt;Fusa_sensor_i2c_crc_0
bit[23]-&gt;Fusa_sensor_i2c_crc_4
bit[24]-&gt;Fusa_adas_0_diagnose_image_input
bit[25]-&gt;Fusa_adas_0_diagnose_image_order 
bit[26]-&gt;Fusa_adas_0_diagnose_image_freezed 
bit[27]-&gt;Fusa_adas_0_diagnose_image_covered 
bit[28]-&gt;Fusa_adas_0_diagnose_image_blurred 
bit[29]-&gt;Fusa_adas_0_diagnose_image_glare 
bit[30]-&gt;Fusa_adas_0_diagnose_heavy_rain 
bit[31]-&gt;Fusa_adas_0_diagnose_snow </t>
  </si>
  <si>
    <t>Fusa_J3_Err2</t>
  </si>
  <si>
    <t>J3 fusa fault 2
BitMap:
bit[0]-&gt;Fusa_adas_0_diagnose_online_calibration_roll
bit[1]-&gt;Fusa_adas_0_diagnose_online_calibration_yaw 
bit[2]-&gt;Fusa_adas_0_diagnose_online_calibration_pitch 
bit[3]-&gt;Fusa_qa_btwn_acore_check_timeout
bit[4]-&gt;Fusa_qa_btwn_acore_check
bit[5]-&gt;Fusa_nvm_crc_check
bit[6]-&gt;Fusa_soc_temperature_check_timeout
bit[7]-&gt;Fusa_soc_temperature_check
bit[8]-&gt;Fusa_ddr_dataline_check_timeout
bit[9]-&gt;Fusa_ddr_dataline_check
bit[10]-&gt;Fusa_REPORT_ODOM_RES_RESET
bit[11]-&gt;Fusa_REPORT_ODOM_TIMEOUT
bit[12]-&gt;Fusa_REPORT_ODOM_OUTOFRANGE
bit[13]-&gt;Fusa_REPORT_ODOM_ABNORMAL_OBJECT_RESET
bit[14]-&gt;Fusa_REPORT_CAN_SINGAL_YAWRATE_TIMEOUT
bit[15]-&gt;Fusa_REPORT_CAN_SINGAL_SPEED_TIMEOUT
bit[16]-&gt;Fusa_REPORT_CAN_SINGAL_YAWRATE_OUTOFRANGE
bit[17]-&gt;Fusa_REPORT_CAN_SINGAL_SPEED_OUTOFRANGE
bit[18]-&gt;Fusa_adas_0_diagnose_forward_timeout 
bit[19]-&gt;Fusa_adas_0_diagnose_forward_block 
bit[20]-&gt;Fusa_adas_0_diagnose_config 
bit[21]-&gt;Fusa_adas_0_diagnose_bpu_task_timeout 
bit[22]-&gt;Fusa_adas_0_diagnose_bpu_task_abondon 
bit[23]-&gt;Fusa_adas_0_diagnose_bpu_task_fail
bit[24]-&gt;Fusa_adas_0_diagnose_forward_order_error 
bit[25]-&gt;Fusa_adas_0_diagnose_abnormal_detection_result
bit[26]-&gt;Fusa_adas_0_diagnose_abnormal_parsing_result
bit[27]-&gt;Fusa_ADAS_0_DIAGNOSE_CAMERA_CONFIG_INVALID
bit[28]-&gt;Fusa_ADAS_0_DIAGNOSE_CAMERA_SNS_INFO
bit[29]-&gt;Fusa_ADAS_0_DIAGNOSE_AE_INFO
bit[30]-&gt;Fusa_FrontObjectModuleFault</t>
  </si>
  <si>
    <t>Fusa_J3_Err3</t>
  </si>
  <si>
    <t>ADASSettingInfo</t>
  </si>
  <si>
    <t>SomeIP_ADASSetting_BUS</t>
  </si>
  <si>
    <t>座舱ADAS设置项信息</t>
  </si>
  <si>
    <t>ADASSettingInfo_2</t>
  </si>
  <si>
    <t>SomeIP_ADASSetting_2_BUS</t>
  </si>
  <si>
    <t>ICAEnableBtnSts</t>
  </si>
  <si>
    <t>ICA功能使能开关
0x0:None
0x1:ON
0x2:Off
0x3: reserved</t>
  </si>
  <si>
    <t>FSRASpdSetMod</t>
  </si>
  <si>
    <t>巡航速度调整方式设置（无开关）
0x0:Mode1-短按+5
0x1: Mode2-短按+1</t>
  </si>
  <si>
    <t>FSRACruiseSpdMod</t>
  </si>
  <si>
    <t>设定巡航车速模式
0x0:None
0x1:Current speed mode
0x2: ISLI mode
0x3: reserved</t>
  </si>
  <si>
    <t>FSRACruiseSpdOffsetMod</t>
  </si>
  <si>
    <t>设定偏移方式
0x0:fixed
0x1: percent</t>
  </si>
  <si>
    <t>FSRACruiseSpdOffsetSpd</t>
  </si>
  <si>
    <t>固定偏移速度
-10~10kph (res:1kph)</t>
  </si>
  <si>
    <t>FSRACruiseSpdOffsetPercent</t>
  </si>
  <si>
    <t>百分比偏移速度
-20%~20%(res:1%)</t>
  </si>
  <si>
    <t>ISLIWarnMod</t>
  </si>
  <si>
    <t>智能限速提醒方式
0x0: None
0x1: Display warning;
0x2: Sound+display warning
0x3: Off</t>
  </si>
  <si>
    <t>ISLISpdOffsetMod</t>
  </si>
  <si>
    <t>限速设置方式（预留）
0x0:None
0x1:relative limit
0x2: abs limit
0x3: reserved</t>
  </si>
  <si>
    <t>ISLICruiseSpdRelOffset</t>
  </si>
  <si>
    <t>相对限制值（预留）
-20%~20%(res:1%)</t>
  </si>
  <si>
    <t>ISLICruiseSpdAbdOffset</t>
  </si>
  <si>
    <t>绝对限制值（预留）
40~140kph(res: 1kph)</t>
  </si>
  <si>
    <t>FCWWarnDistance</t>
  </si>
  <si>
    <t>FCW报警距离限制
0x0:None
0x1:Close
0x2:Far
0x3:Normal</t>
  </si>
  <si>
    <t>FCWSettingSt</t>
  </si>
  <si>
    <t>FCW功能设置状态
0x0:None
0x1:ON
0x2:Off
0x3: reserved</t>
  </si>
  <si>
    <t>AEBSettingSt</t>
  </si>
  <si>
    <t>AEB功能设置状态
0x0:None
0x1:ON
0x2:Off
0x3: reserved</t>
  </si>
  <si>
    <t>LKSSettingSt</t>
  </si>
  <si>
    <t>LDW/LDP功能设置状态
0x0:None
0x1:Warning
0x2:Warning+intervention
0x3: Off</t>
  </si>
  <si>
    <t>LDWWarnType</t>
  </si>
  <si>
    <t>LDW/LDP报警方式
0x0: None
0x1:warning only
0x2:warning and vibration
0x3: Off</t>
  </si>
  <si>
    <t>ELKSettingSt</t>
  </si>
  <si>
    <t>ELK功能设置状态
0x0:None
0x1:On
0x2:Off
0x3: reserved</t>
  </si>
  <si>
    <t>BSDSettingSt</t>
  </si>
  <si>
    <t>BSD/LCW功能设置状态
0x0:None
0x1:ON
0x2:Off
0x3: reserved</t>
  </si>
  <si>
    <t>DOWSettingSt</t>
  </si>
  <si>
    <t>DOW功能设置状态
0x0:None
0x1:ON
0x2:Off
0x3: reserved</t>
  </si>
  <si>
    <t>HODWarnSettingSt</t>
  </si>
  <si>
    <t>HOD脱手模式状态
0x0：None
0x1：Standard
0x2：Comfort
0x3:   reserved</t>
  </si>
  <si>
    <t>FCTAWarnType</t>
  </si>
  <si>
    <t>FCTA报警方式
0x0: Off
0x1:warning only
0x2:warning and brake
0x3: None</t>
  </si>
  <si>
    <t>RCTAWarnType</t>
  </si>
  <si>
    <t>RCTA报警方式
0x0: Off
0x1:warning only
0x2:warning and brake
0x3: None</t>
  </si>
  <si>
    <t>ESASettingSt</t>
  </si>
  <si>
    <t>ESA功能设置状态
0x0:None
0x1:ON
0x2:Off
0x3: reserved</t>
  </si>
  <si>
    <t>AMAPSettingSt</t>
  </si>
  <si>
    <t>AMAP功能设置状态
0x0:None
0x1:ON
0x2:Off
0x3: reserved</t>
  </si>
  <si>
    <t>NOPEnableBtnSts</t>
  </si>
  <si>
    <t>NOP功能使能开关
0x0:None
0x1:ON
0x2:Off
0x3: reserved</t>
  </si>
  <si>
    <t>VoiceRemindSettingMode</t>
  </si>
  <si>
    <t>语音播报模式
0x0:None
0x1:Detail
0x2:Simple
0x3: reserved</t>
  </si>
  <si>
    <t>NOPLaneChangeStyle</t>
  </si>
  <si>
    <t>NOP超车变道风格
0x0: None
0x1: Basic
0x2: Normal
0x3: Radical
0x4: Close</t>
  </si>
  <si>
    <t>NOPLaneChangeMod</t>
  </si>
  <si>
    <t>NOP变道模式
0x0: None 
0x1: Automatic Lane Change 
0x2: Driver Confirmed lane change</t>
  </si>
  <si>
    <t>NOPLaneChangeWarnType</t>
  </si>
  <si>
    <t>NOP变道提醒模式
0x0: None
0x1: warning only
0x2: warning and vibration
0x3: Off</t>
  </si>
  <si>
    <t>U_NOPEnableBtnSts</t>
  </si>
  <si>
    <t>城区NOP功能使能开关
0x0:None
0x1:ON
0x2:Off
0x3: reserved</t>
  </si>
  <si>
    <t>HPASettingSt</t>
  </si>
  <si>
    <t>HPA功能设置状态
0x0:None
0x1:ON
0x2:Off
0x3: reserved</t>
  </si>
  <si>
    <t>VPASettingSt</t>
  </si>
  <si>
    <t>VPA功能设置状态
0x0:None
0x1:ON
0x2:Off
0x3: reserved</t>
  </si>
  <si>
    <t>APASettingSt</t>
  </si>
  <si>
    <t>APA功能设置状态
0x0:None
0x1:ON
0x2:Off
0x3: reserved</t>
  </si>
  <si>
    <t>VoiceRemindSettingSt</t>
  </si>
  <si>
    <t>语音播报功能设置状态
0x0:None
0x1:ON
0x2:Off
0x3: reserved</t>
  </si>
  <si>
    <t>DrivingVoiceRemindSettingSt</t>
  </si>
  <si>
    <t>行车语音播报功能设置状态
0x0:None
0x1:ON
0x2:Off
0x4: reserved</t>
  </si>
  <si>
    <t>NRASettingSt</t>
  </si>
  <si>
    <t>窄路辅助操作指令
0x0:None
0x1:ON
0x2:Off
0x3: reserved</t>
  </si>
  <si>
    <t>ICAplusSettingSt</t>
  </si>
  <si>
    <t>直行红绿灯启停设置状态
0x0:None
0x1 ON
0x2 Off
0x3: reserved</t>
  </si>
  <si>
    <t>RPASetSettingSt</t>
  </si>
  <si>
    <t>遥控泊车设置状态0x0: None
0x1: ON
0x2: OFF
0x3: Not Used</t>
  </si>
  <si>
    <t>ParkingSpeedSettingSt</t>
  </si>
  <si>
    <t>泊车速度设置状态0x0: None
0x1: SpeedSlow
0x2: SpeedNormal
0x3: SpeedFast
0x4: reserved</t>
  </si>
  <si>
    <t>HPACrusingSpeedSettingSt</t>
  </si>
  <si>
    <t>MEBSwtSet</t>
  </si>
  <si>
    <t>MEB设置项开关0x0: None
0x1: ON
0x2: OFF
0x3: Not Used</t>
  </si>
  <si>
    <t>AMAPSwtSet</t>
  </si>
  <si>
    <t>加速踏板防误踩设置项开关0x0: None
0x1: ON
0x2: OFF
0x3: Not Used</t>
  </si>
  <si>
    <t>MNPEnableBtnSt</t>
  </si>
  <si>
    <t>记忆领航功能使能开关0x0：None
0x1：ON
0x2：Off
0x3：Reserved</t>
  </si>
  <si>
    <t>LccPlusEnableBtnSt</t>
  </si>
  <si>
    <t>巡航增强功能使能开关0x0：None
0x1：ON
0x2：Off
0x3：Reserved</t>
  </si>
  <si>
    <t>LKSWarnSensitivity</t>
  </si>
  <si>
    <t>LKS预警灵敏度0x0：None
0x1：Low
0x2：High
0x3：Reserved</t>
  </si>
  <si>
    <t>DAIEnableBtnSt</t>
  </si>
  <si>
    <t>DAI功能使能开关0x0：None
0x1：ON
0x2：Off
0x3：Reserved</t>
  </si>
  <si>
    <t>IHCEnableBtnSt</t>
  </si>
  <si>
    <t>IHC功能使能开关0x0: None
0x1：ON
0x2：off
0x3：reserved</t>
  </si>
  <si>
    <t>ISLICruiseSpdOffsetAbd</t>
  </si>
  <si>
    <t>固定限速偏移量-10~10kph (res:1kph)</t>
  </si>
  <si>
    <t>MNPNewBtnSt</t>
  </si>
  <si>
    <t>新建路线按钮</t>
  </si>
  <si>
    <t>MNPMemRouteQuitBtnSt</t>
  </si>
  <si>
    <t>退出路线学习按钮0x0：None
0x1：NO
0x2：YES
0x3：Not Reminder</t>
  </si>
  <si>
    <t>MNPUseRouteQuitBtnSt</t>
  </si>
  <si>
    <t>退出路线使用按钮0x0：None
0x1：NO
0x2：YES</t>
  </si>
  <si>
    <t>MNPMemRouteCompleteBtnSt</t>
  </si>
  <si>
    <t>路线记忆结束按钮0x0：None
0x1：NO
0x2：YES</t>
  </si>
  <si>
    <t>MNPMemRouteNewName</t>
  </si>
  <si>
    <t>MNPDelRouteIDBtnSt</t>
  </si>
  <si>
    <t>删除的记忆路线ID</t>
  </si>
  <si>
    <t>MNPUseRouteIDBtnSt</t>
  </si>
  <si>
    <t>选中使用的记忆路线ID</t>
  </si>
  <si>
    <t>ADASSettingInfoReserved</t>
  </si>
  <si>
    <t>DynamicObjectList</t>
  </si>
  <si>
    <t>SomeIP_DynamicObject_BUS</t>
  </si>
  <si>
    <t>动态目标信息</t>
  </si>
  <si>
    <t>StaticObjectList</t>
  </si>
  <si>
    <t>SomeIP_StaticObjects_BUS</t>
  </si>
  <si>
    <t>静态目标信息</t>
  </si>
  <si>
    <t>LaneLineList_2</t>
  </si>
  <si>
    <t>SomeIP_LaneLine_2_BUS</t>
  </si>
  <si>
    <t>车道线信息</t>
  </si>
  <si>
    <t>EgoFusionPose</t>
  </si>
  <si>
    <t>Someip_EgoFusionPose_BUS</t>
  </si>
  <si>
    <t>自车位姿信息</t>
  </si>
  <si>
    <t>objectId</t>
  </si>
  <si>
    <t>目标id，ID为0时，表征目标物无效，ICC不需要处理此目标</t>
  </si>
  <si>
    <t>道路使用者类型
0x0:Unknow（未知）
0x1:Pedestrian（行人）
0x2:Cyclist（骑自行车的人）
0x3:Car（汽车）
0x4:Truck（卡车）
0x5: Bus(公共汽车）
0x6: Motorcycle（摩托车）
0x7: Bicycle（自行车）
0x8: SUV
0x9: large truck (大型货车)
0xA: Tricycle (三轮车）
0xB: Special operation vehicle
0xC: Other vehicle
0xD: Motorcyclist
0xE: Electric bicycle （载人电动自行车，预留）
0xF: No rider electric bicycle （非载人电动自行车，预留）
0x10: No rider motorcycle （非载人摩托车）
0x11: No rider tricycle (非载人三轮车）
0x12: Irregular car（异型车）
0x13: Large animals（静止大中型动物）
0x14: Small animals（静止小型动物）
0x15: Dynamic large animals（动态大中型动物）
0x16: Dynamic small animals（动态小型动物）
0x17: Dynamic pedestrian（动态行人）
0x18: No rider bicycle (非载人自行车）
0x19: small truck(小货车)
0x1A-0xFE:  Reserved</t>
  </si>
  <si>
    <t>目标位姿</t>
  </si>
  <si>
    <t>高亮显示
0x0: None
0x1: Grey
0x2: Green
0x3: Yellow
0x4: Red
0x5: Darkgrey</t>
  </si>
  <si>
    <t>objectVelocityX</t>
  </si>
  <si>
    <t>目标X向速度</t>
  </si>
  <si>
    <t>objectVelocityY</t>
  </si>
  <si>
    <t>目标Y向速度</t>
  </si>
  <si>
    <t>timestampnSec</t>
  </si>
  <si>
    <t>时间戳-纳秒</t>
  </si>
  <si>
    <t>laneID</t>
  </si>
  <si>
    <t>目标所属车道ID   
0代表自车道，1代表右侧相临车道，-1代表左侧相邻车道，依次类推</t>
  </si>
  <si>
    <t>目标类型
值含义:根据需求增加
0x0:Unknow
0x1:锥桶
0x2:水马
0x3:三角牌
0x4:停车杆
0x5:减速带
0x6:地锁
0x7:方柱
0x8:圆柱
0x9:杆Pole</t>
  </si>
  <si>
    <t>目标长度</t>
  </si>
  <si>
    <t xml:space="preserve">目标所属车道ID
0代表自车道，1代表右侧相临车道，-1代表左侧相邻车道，依次类推
 </t>
  </si>
  <si>
    <t>lineIndex</t>
  </si>
  <si>
    <t>车道线索引</t>
  </si>
  <si>
    <t>lineId</t>
  </si>
  <si>
    <t>车道线ID</t>
  </si>
  <si>
    <t>lineColor</t>
  </si>
  <si>
    <t xml:space="preserve">车道线颜色
0x0: None
0x1: gray
0x2: white
0x3: green
0x4: yellow
0x5: red
0x6: blue
0x7:  reserved
 </t>
  </si>
  <si>
    <t>lineType</t>
  </si>
  <si>
    <t xml:space="preserve">车道线类型   
0x0:Unknow（未知）
0x1:SingleSolid（单实线）
0x2:SingleDashed（单虚线)
0x3:DoubleDashedSolid（双_虚线_实线）
0x4:DoubleSolidDashed（双_实线_虚线）
0x5:DoubleDashedDashed（双_虚线_虚线）
0x6:DoubleSolidSolid（双_实线_实线）
0x7:LeftRoadEdge（左侧路沿）
0x8:RightRoadEdge（右侧路沿）
 </t>
  </si>
  <si>
    <t>lineEquation_C0</t>
  </si>
  <si>
    <t>车道线方程C0</t>
  </si>
  <si>
    <t>lineEquation_C1</t>
  </si>
  <si>
    <t>车道线方程C1</t>
  </si>
  <si>
    <t>lineEquation_C2</t>
  </si>
  <si>
    <t>车道线方程C2</t>
  </si>
  <si>
    <t>lineEquation_C3</t>
  </si>
  <si>
    <t>车道线方程C3</t>
  </si>
  <si>
    <t>laneLineWidth</t>
  </si>
  <si>
    <t>车道线宽度</t>
  </si>
  <si>
    <t>lineStart_X</t>
  </si>
  <si>
    <t>车道线起点X坐标</t>
  </si>
  <si>
    <t>lineStart_Y</t>
  </si>
  <si>
    <t>车道线起点Y坐标</t>
  </si>
  <si>
    <t>lineEnd_X</t>
  </si>
  <si>
    <t>车道线终止点X坐标</t>
  </si>
  <si>
    <t>lineEnd_Y</t>
  </si>
  <si>
    <t>车道线终止点Y坐标</t>
  </si>
  <si>
    <t>longitude</t>
  </si>
  <si>
    <t>经度</t>
  </si>
  <si>
    <t>latitude</t>
  </si>
  <si>
    <t>纬度</t>
  </si>
  <si>
    <t>altitude</t>
  </si>
  <si>
    <t>heading</t>
  </si>
  <si>
    <t>vehicleSpeed</t>
  </si>
  <si>
    <t>车辆本身车速，单位:km/h</t>
  </si>
  <si>
    <t>FusionlocalizationSD</t>
  </si>
  <si>
    <t>融合位置标准差</t>
  </si>
  <si>
    <t>altitudeSD</t>
  </si>
  <si>
    <t>高度标准差</t>
  </si>
  <si>
    <t>headingSD</t>
  </si>
  <si>
    <t>航向角标准差</t>
  </si>
  <si>
    <t>vehicleSpeedSD</t>
  </si>
  <si>
    <t>车辆本身车速标准差</t>
  </si>
  <si>
    <t>timestampmSec</t>
  </si>
  <si>
    <t>时间戳-毫秒</t>
  </si>
  <si>
    <t>TrafficSign</t>
  </si>
  <si>
    <t>SomeIP_TrafficSign_BUS</t>
  </si>
  <si>
    <t>自车道交通标志信息</t>
  </si>
  <si>
    <t>ISLIInfo</t>
  </si>
  <si>
    <t>SomeIP_ISLIInfo_BUS</t>
  </si>
  <si>
    <t>ISLI功能输出信息</t>
  </si>
  <si>
    <t>ACCInfo</t>
  </si>
  <si>
    <t>SomeIP_ACCInfo_BUS</t>
  </si>
  <si>
    <t>ACC功能输出信息</t>
  </si>
  <si>
    <t>ICAInfo</t>
  </si>
  <si>
    <t>SomeIP_ICAInfo_BUS</t>
  </si>
  <si>
    <t>ICA 功能输出状态</t>
  </si>
  <si>
    <t>IntelligentEvasionInfo</t>
  </si>
  <si>
    <t>SomeIP_IntelligentEvasionInfo_BUS</t>
  </si>
  <si>
    <t>iLOA智慧避让功能状态</t>
  </si>
  <si>
    <t>HodDmsInfo</t>
  </si>
  <si>
    <t>SomeIP_HodDmsInfo_BUS</t>
  </si>
  <si>
    <t>脱手脱眼报警信号</t>
  </si>
  <si>
    <t>LSSInfo</t>
  </si>
  <si>
    <t>SomeIP_LSSInfo_BUS</t>
  </si>
  <si>
    <t>LSS 功能输出信息</t>
  </si>
  <si>
    <t>ESSInfo</t>
  </si>
  <si>
    <t>SomeIP_ESSInfo_BUS</t>
  </si>
  <si>
    <t>AES/ESS功能输出信息</t>
  </si>
  <si>
    <t>DAIInfo</t>
  </si>
  <si>
    <t>SomeIP_DAIInfo_BUS</t>
  </si>
  <si>
    <t>起步提醒功能输出信息</t>
  </si>
  <si>
    <t>ISLIinfo_2</t>
  </si>
  <si>
    <t>SomeIP_ISLIInfo_2_BUS</t>
  </si>
  <si>
    <t>LSSInfo_2</t>
  </si>
  <si>
    <t>SomeIP_LSSInfo_2_BUS</t>
  </si>
  <si>
    <t>DrivingSoundInfo</t>
  </si>
  <si>
    <t>SomeIP_DrivingSoundInfo_BUS</t>
  </si>
  <si>
    <t>行车chime音报警信息</t>
  </si>
  <si>
    <t>IHCInfo</t>
  </si>
  <si>
    <t>SomeIP_IHCInfo_BUS</t>
  </si>
  <si>
    <t>IHC功能输出信息</t>
  </si>
  <si>
    <t>HNOPfunctionInfo</t>
  </si>
  <si>
    <t>SomeIP_HNOPfunctionInfo_BUS</t>
  </si>
  <si>
    <t>HNOP功能输出信息</t>
  </si>
  <si>
    <t>TSRSt</t>
  </si>
  <si>
    <t>TSR功能状态   
0x0: OFF
0x1: ON
0x2: failure</t>
  </si>
  <si>
    <t>TrafficSignId</t>
  </si>
  <si>
    <t>交通标志ID</t>
  </si>
  <si>
    <t>TrafficSignType</t>
  </si>
  <si>
    <t>交通标志类型
0x0: None
0x1: No overtaking
0x2: End of no overtaking
0x3: Prohibiting turning left 
0x4: Prohibiting turning Right 
0x5: Prohibiting U-turning 
0x6: No Entry
0x7:  No passing
0x8:  Prohibiting motor vehicle entering 
0x9:  Prohibiting Standing and parking
0xA:Prohibiting long parking
0xB: Stop sign 
0xC: Yield sign
0xD: Motorway start
0xE: Motorway end
0xF: reseverd</t>
  </si>
  <si>
    <t>TrafficSignPosX</t>
  </si>
  <si>
    <t>交通标志位置X</t>
  </si>
  <si>
    <t>TrafficSignPosY</t>
  </si>
  <si>
    <t>交通标志位置Y</t>
  </si>
  <si>
    <t>TrafficSignPosZ</t>
  </si>
  <si>
    <t>交通标志位置Z</t>
  </si>
  <si>
    <t>ISLISt</t>
  </si>
  <si>
    <t xml:space="preserve">超速报警功能状态   
0x0: OFF
0x1: ON
0x2: failure
 </t>
  </si>
  <si>
    <t>ISLISpeedLimitSign</t>
  </si>
  <si>
    <t xml:space="preserve">限速标志   
0x0: No display
0x1: Cancellation sign
0x2: 5
0x3: 10
0x4: 15
0x5: 20
0x6: 25
0x7: 30
0x8: 35
0x9: 40
0xA: 45
0xB: 50
0xC: 55
0xD: 60
0xE: 65
0xF: 70
0x10: 75
0x11: 80
0x12: 85
0x13: 90
0x14: 95
0x15: 100
0x16: 105
0x17: 110
0x18: 115
0x19: 120
0x1A: 125
0x1B: 130
0x1C: 135
0x1D: 140
0x1E: 145
0x1F: 150
0x20: 155
0x21: 160
0x22: 165
0x23: 170
0x24: 175
0x25: 180
0x26: 185
0x27: 190
0x28: 195
0x29: 200
 </t>
  </si>
  <si>
    <t>ISLISpeedLimitUnit</t>
  </si>
  <si>
    <t xml:space="preserve">限速标志单位
0x0: Unknown
0x1: km/h
0x2: Miles/h
0x3: Reserved
 </t>
  </si>
  <si>
    <t>ISLIOverSpeedWarn</t>
  </si>
  <si>
    <t xml:space="preserve">超速报警状态   
0x0: No warning
0x1: Waning1
0x2: Waning2
0x3: Waning3
 </t>
  </si>
  <si>
    <t>ISLIWarningModFb</t>
  </si>
  <si>
    <t xml:space="preserve">超速报警模式反馈   
0x0:  OFF
0x1:  Display warning;
0x2:  Sound+display warning
 </t>
  </si>
  <si>
    <t>ISLISpdLimType</t>
  </si>
  <si>
    <t xml:space="preserve">超速限制类型   
0x0:No Conditional
0x1:Conditional Unconfirmed
0x2~0x3: Reserved
 </t>
  </si>
  <si>
    <t>ISLICruiseSpdAbsOffsetFb</t>
  </si>
  <si>
    <t>限速绝对偏差值反馈</t>
  </si>
  <si>
    <t>ISLICruiseSpdRelOffsetFb</t>
  </si>
  <si>
    <t>限速相对偏差值反馈</t>
  </si>
  <si>
    <t>ACC功能状态
0x0: Off
0x1: Passive
0x2: Standby
0x3: Active_Control
0x4: Brake Only
0x5: Override
0x6: Stand Wait
0x7: failure
0X8: Stand Active</t>
  </si>
  <si>
    <t>AutoResumeNotifier</t>
  </si>
  <si>
    <t>巡航自动恢复提示
0x0:None
0x1:Resume Notifier</t>
  </si>
  <si>
    <t>巡航车速</t>
  </si>
  <si>
    <t>SetSpeedUnit</t>
  </si>
  <si>
    <t>巡航车速单位
0x0: Km/h
0x1: Mile/h</t>
  </si>
  <si>
    <t>TimeGapSet</t>
  </si>
  <si>
    <t>跟车时距
0x0:None
0x1:Time Gap1
0x2: Time Gap2
0x3: Time Gap3
0x4: Time Gap4
0x5: Time Gap5</t>
  </si>
  <si>
    <t>LongitudinalTakeOverRequest</t>
  </si>
  <si>
    <t>0x0: No Request
0x1:  Request
0x2:  Request_cone_zone
0x3:  Prewarning_general
0x4:  Prewarning_constrcution_sign
0x5:  Prewarning_ramp_narrow
0x6: Toll Station reminder
0x7: traffic jam reminder
0x8: traffic jam warning
0x9-0xFE: Reserved</t>
  </si>
  <si>
    <t>ACCGoNotifier</t>
  </si>
  <si>
    <t>起步提醒
0x0:None
0x1:Go Notifier
0x2:Go Visual Notifier 
0x3:Handson visual warning
0x4:Handson and DMS warning
0x5:Press gas reminder</t>
  </si>
  <si>
    <t>ACCTextMessage</t>
  </si>
  <si>
    <t>ACC提示信息
0x0: No Display
0x1: ACC Activated
0x2: ACC Cannot Be Activated
0x3: ACC Cancelled
0x4 : ACC failure
0x5 : Weather abnormal
0x6 : Driver Override
0x7 : Active Decelerate
0X8: Cruise speed can not be added
0x9: ACC abort and take over request
0xA: Maximum decelerate to ahead speed sign
0xB: System add timegap to front big vehicle 
0xC: Cut in reminder
0xD: Large curve remider
0xE: Auto drive off reminder
0xF:Traffic jam confirm
0x10:Traffic jam on
0x11:Traffic jam off
0x12:Follow traffic speed
0x13:Request confirm follow TSR speed</t>
  </si>
  <si>
    <t>ACCQuitReason</t>
  </si>
  <si>
    <t>ACC退出原因
0x0 : None
0x1 : Bad Weather
0x2 : Large curve
0x3-0x7: reserved</t>
  </si>
  <si>
    <t>FSRACruiseSpdModFb</t>
  </si>
  <si>
    <t>初始巡航车速模式反馈
0x0:Current speed mode
0x1: ISLI mode</t>
  </si>
  <si>
    <t>FSRACruiseSpdOffsetModFb</t>
  </si>
  <si>
    <t>初始巡航车速偏差模式反馈
0x0:fixed
0x1: percent</t>
  </si>
  <si>
    <t>SetACCSetSpdOffset</t>
  </si>
  <si>
    <t>巡航车速固定值offset值反馈</t>
  </si>
  <si>
    <t>SetACCSetSpdPercOffset</t>
  </si>
  <si>
    <t>巡航车速百分比offcet值反馈</t>
  </si>
  <si>
    <t>ACCholdSts</t>
  </si>
  <si>
    <t>巡航保压状态
0x0: Not active
0x1:Active</t>
  </si>
  <si>
    <t>巡航车速开关调节模式反馈
0x0:Mode1（短按+5）
0x1: Mode2（短按+1）</t>
  </si>
  <si>
    <t>FDMSt</t>
  </si>
  <si>
    <t>前车距离检测功能反馈
0x0:ON
0x1:Off
0x2:failure
0x3: reserved</t>
  </si>
  <si>
    <t>FDMDist</t>
  </si>
  <si>
    <t>前车距离检测距离值反馈</t>
  </si>
  <si>
    <t>CruiseAccelerateSts</t>
  </si>
  <si>
    <t>巡航跟车加减速状态指示
0x0: None
0x1: Accelerating
0x2: Decelerating</t>
  </si>
  <si>
    <t>ICASts</t>
  </si>
  <si>
    <t>ICA 工作状态
0x0: Off
0x1: Passive
0x2: Stanby
0x3: Active
0x4: Failure
0x5: Suspend
0x6: SafeStop</t>
  </si>
  <si>
    <t>ICATextInfo</t>
  </si>
  <si>
    <t>0x0: No dispaly
0x1: TJAICA Activated
0x2: TJAICA Cannot Be Activated
0x3: TJAICA Cancelled
0x4: TJAICA failure
0x5: TJAICA Suspend
0x6: TJAICA resumed
0x7: TJAICA degrade to ACC
0x8: Handsoff  punishment
0x9: uncentered 
0xA: Too Large curve
0xB: Abnormal tire pressure
0xC: Camera block
0xD:Intersection deceleration
0xE:Brake stop
0xF:Traffic light warning
0x10:Green light drive off
0x11:Turn manual driving
0x12: 影响HUD显示,不允许ADCC或者FCM外发
0x13: Bypass fault warning
0x14:Rear vehicle warning
0x15:Unknown turntype warning
0x16: reserved</t>
  </si>
  <si>
    <t>ICAQuitReason</t>
  </si>
  <si>
    <t>ICA 退出原因
0x0 : None
0x1 : Bad Weather
0x2 : Large curve
0x3 : ODD not meet
0x4-0x7: reserved</t>
  </si>
  <si>
    <t>ICASenarioReminder</t>
  </si>
  <si>
    <t>ICA场景提示
0x0: No dispaly
0x1: Accident Vehilce
0x2: Obstacle ahead
0x3: Y type intersection in front</t>
  </si>
  <si>
    <t>iLOASts</t>
  </si>
  <si>
    <t xml:space="preserve">智慧躲闪功能状态   
 0x0: Off
 0x1: Stanby
 0x2: Evasioning
 0x3: Retreat
 0x4: Evasion finished
 </t>
  </si>
  <si>
    <t>iLOAActdirection</t>
  </si>
  <si>
    <t xml:space="preserve">智慧躲闪方向   
 0x0: Not active
 0x1: Left
 0x2: Right
 </t>
  </si>
  <si>
    <t>iLOATextInfo</t>
  </si>
  <si>
    <t xml:space="preserve">智慧躲闪提示信息   
0x0: None
0x1: Evading oversized vehicle
0x2:  Bypass warning
 </t>
  </si>
  <si>
    <t>DriverhandsoffWarning</t>
  </si>
  <si>
    <t xml:space="preserve">脱手报警   
0x0: None
0x1: Warning 1 for stage1
0x2: Warning 2  for stage2
0x3: Warning 3 for stage3(TOR)
0x4: Warning 4 for stage4(Punishment)
0x5: Cannot brake stop
0x6: Lc handsoff warning level1
0x7: Lc handsoff warning level2
 </t>
  </si>
  <si>
    <t>DMSWarning</t>
  </si>
  <si>
    <t xml:space="preserve">脱眼报警   
0x0: None
0x1: Warning 1 for stage1
0x2: Warning 2  for stage2
0x3: TOR  for stage3
 </t>
  </si>
  <si>
    <t>HandsOnReq</t>
  </si>
  <si>
    <t xml:space="preserve">请求驾驶员握住方向盘提示   
0x0: No request 
0x1: request
 </t>
  </si>
  <si>
    <t>HODWarnSettingStFb</t>
  </si>
  <si>
    <t>脱手模式
0x0: Standard（默认值）
0x1: Long
0x2: reserved</t>
  </si>
  <si>
    <t>LKSSts</t>
  </si>
  <si>
    <t>车道辅助系统状态0x0: OFF
0x1: Standby
0x2: Active
0x3: Failure
0x4: Passive
0x5: Reserved
0x6: Inhibited
0x7: Reserved</t>
  </si>
  <si>
    <t>LKSMod</t>
  </si>
  <si>
    <t>车道辅助模式0x0:Off
0x1:Warning
0x2:Warning+intervention
0x3: reserved</t>
  </si>
  <si>
    <t>紧急车道保持状态0x0: OFF
0x1: Standby
0x2: Active
0x3: Failure
0x4: Passive
0x5: Reserved
0x6: Inhibited
0x7: Reserved</t>
  </si>
  <si>
    <t>LKSLeftTrackingSt</t>
  </si>
  <si>
    <t>左侧跟踪状态0x0: Inactive
0x1: Lane Tracking
0x2: Intervention
0x3: warning</t>
  </si>
  <si>
    <t>LKSRightTrackingSt</t>
  </si>
  <si>
    <t>右侧跟踪状态0x0: Inactive
0x1: Lane Tracking
0x2: Intervention
0x3: warning</t>
  </si>
  <si>
    <t>ELKLeftActiveSt</t>
  </si>
  <si>
    <t>ELK 左侧激活状态0x0: no warning
0x1: tracking
0x2: intervention</t>
  </si>
  <si>
    <t>ELKRightActiveSt</t>
  </si>
  <si>
    <t>ELK 右侧激活状态0x0: no warning
0x1: tracking
0x2: intervention</t>
  </si>
  <si>
    <t>LKSwarning</t>
  </si>
  <si>
    <t>LDP声音报警信号0x0: no warning
0x1: warning</t>
  </si>
  <si>
    <t>ESSSts</t>
  </si>
  <si>
    <t xml:space="preserve">ESS 功能状态   
0x0: OFF
0x1: Standby
0x2: Active
0x3: Failure
0x4: Passive
 </t>
  </si>
  <si>
    <t>ESSDirection</t>
  </si>
  <si>
    <t xml:space="preserve">ESS激活方向   
0x0: not active
 0x1: left
 0x2: right
 </t>
  </si>
  <si>
    <t>AESSts</t>
  </si>
  <si>
    <t xml:space="preserve">AES 功能状态   
0x0: OFF
0x1: Standby
0x2: Active
0x3: Failure
0x4: Passive
 </t>
  </si>
  <si>
    <t>AESDirection</t>
  </si>
  <si>
    <t xml:space="preserve">AES激活方向   
0x0: not active
 0x1: left
 0x2: right
 </t>
  </si>
  <si>
    <t>DAISts</t>
  </si>
  <si>
    <t xml:space="preserve">起步提醒功能状态   
0x0: On
0x1: Off
0x2: Failure
 </t>
  </si>
  <si>
    <t>DAIReminder</t>
  </si>
  <si>
    <t xml:space="preserve">起步提醒   
0x0: None
0x1: Drive Off
 </t>
  </si>
  <si>
    <t>0x0: OFF
0x1: ON
0x2: failure</t>
  </si>
  <si>
    <t>0x0: No display
0x1: Cancellation sign
0x2: 5
0x3: 10
0x4: 15
0x5: 20
0x6: 25
0x7: 30
0x8: 35
0x9: 40
0xA: 45
0xB: 50
0xC: 55
0xD: 60
0xE: 65
0xF: 70
0x10: 75
0x11: 80
0x12: 85
0x13: 90
0x14: 95
0x15: 100
0x16: 105
0x17: 110
0x18: 115
0x19: 120
0x1A: 125
0x1B: 130
0x1C: 135
0x1D: 140
0x1E: 145
0x1F: 150
0x20: 155
0x21: 160
0x22: 165
0x23: 170
0x24: 175
0x25: 180
0x26: 185
0x27: 190
0x28: 195
0x29: 200</t>
  </si>
  <si>
    <t>0x0: Unknown
0x1: km/h
0x2: Miles/h
0x3: Reserved</t>
  </si>
  <si>
    <t>0x0: No warning
0x1: Waning1
0x2: Waning2
0x3: Waning3</t>
  </si>
  <si>
    <t>0x0: OFF
0x1: Display warning;
0x2: Sound+display warning</t>
  </si>
  <si>
    <t>0x0:No Conditional
0x1:Conditional Unconfirmed
0x2~0x3: Reserved</t>
  </si>
  <si>
    <t>限速提醒偏移方式
0x0: No action
0x1: Fixed
0x2: Percent</t>
  </si>
  <si>
    <t>ISLICruiseSpdOffsetAbs</t>
  </si>
  <si>
    <t>固定限速偏移量</t>
  </si>
  <si>
    <t>ISLITextInfomation</t>
  </si>
  <si>
    <t>0x0: No Display
0x1: ISLI is in error mode</t>
  </si>
  <si>
    <t>0x0: OFF
0x1: Standby
0x2: Active
0x3: Failure
0x4: Passive
0x5: Reserved
0x6: Inhibited
0x7: Reserved</t>
  </si>
  <si>
    <t>0x0:Off
0x1:Warning
0x2:Warning+intervention
0x3: reserved</t>
  </si>
  <si>
    <t>0x0: Inactive
0x1: Lane Tracking
0x2: Intervention
0x3: warning</t>
  </si>
  <si>
    <t>0x0: no warning
0x1: tracking
0x2: intervention</t>
  </si>
  <si>
    <t>0x0: no warning
0x1: warning
0x2: warning and vibration</t>
  </si>
  <si>
    <t>0x0: No action
0x1: Low
0x2: High</t>
  </si>
  <si>
    <t>LSSTextInfomation</t>
  </si>
  <si>
    <t>0x0: No Display
0x1: LKS is in error mode 
0x2: ELK is in error mode</t>
  </si>
  <si>
    <t>DrivingSoundWarn</t>
  </si>
  <si>
    <t>IHC_Status</t>
  </si>
  <si>
    <t>IHC功能状态
0x0: Off；
0x1: Standby；
0x2: Active；
0x3: Fault；
0x4: Reserved；
0x5: Reserved；
0x6: Reserved；
0x7: Reserved</t>
  </si>
  <si>
    <t>IHCTextInfomation</t>
  </si>
  <si>
    <t>IHC文言提示信息
0x0: No Display
0x1: IHC is in error mode</t>
  </si>
  <si>
    <t>NOPDegradeReminder</t>
  </si>
  <si>
    <t>领航辅助升降级行为提示 
0x0: No
0x1: NOP degrade to ICA Reminder
0x2: NOP  degrade to ACC Reminder
0x3: HNOP To UNOP
0x4: UNOP To HNOP 
0x5:ICA upgrade to HNOP
0x6:ICA upgrade to UNOP
0x7:NOP degrade to ICA Reminder with bad network  
0x8: ACC upgrade to ICA</t>
  </si>
  <si>
    <t>ActiveSafetyFcnInfo</t>
  </si>
  <si>
    <t>SomeIP_ActiveSafetyFcn_BUS</t>
  </si>
  <si>
    <t>AEBTargetObjInfo</t>
  </si>
  <si>
    <t>SomeIP_AEBTargetObj_BUS</t>
  </si>
  <si>
    <t>主动安全功能信息</t>
  </si>
  <si>
    <t>ActiveSafetyFcnInfo_2</t>
  </si>
  <si>
    <t>SomeIP_ActiveSafetyFcnInfo_2_BUS</t>
  </si>
  <si>
    <t>FcwSts</t>
  </si>
  <si>
    <t>FCW功能状态0x0:OFF
0x1:ON
0x2:Failure</t>
  </si>
  <si>
    <t>AebSts</t>
  </si>
  <si>
    <t>AEB功能状态0x0:OFF
0x1:ON
0x2:Failure
0x3: Inhibited</t>
  </si>
  <si>
    <t>FcwWarnDist</t>
  </si>
  <si>
    <t>FCW报警距离0x0:Normal
0x1:Near
0x2:Far</t>
  </si>
  <si>
    <t>FcwAcitveSt</t>
  </si>
  <si>
    <t>FCW执行状态0x0:no request
0x1:level 1(low)
0x2:level 2(middle)
0x3:level 3(high)
0x4:reserved
0x5:reserved
0x6:reserved
0x7:reserved</t>
  </si>
  <si>
    <t>AebAcitveSt</t>
  </si>
  <si>
    <t>AEB执行状态0x0:No_Active
0x1:Pre-fill
0x2:Active</t>
  </si>
  <si>
    <t>TargetObjID</t>
  </si>
  <si>
    <t>目标ID0~255</t>
  </si>
  <si>
    <t>TargetObjColor</t>
  </si>
  <si>
    <t>目标颜色0x0: None
0x1: Reserved
0x2: Reserved
0x3: Yellow
0x4: Red</t>
  </si>
  <si>
    <t>TargetObjType</t>
  </si>
  <si>
    <t>目标类型0x0:Unknow（未知）
0x1:Pedestrian（行人）
0x2:Cyclist（骑自行车的人）
0x3:Car（汽车）
0x4:Truck（卡车）
0x5: Bus(公共汽车）
0x6: Motorcycle（摩托车）
0x7: Bicycle（自行车）
0x8: SUV
0x9: large truck (大型货车)
0xA: Tricycle (三轮车）
0xB: Special operation vehicle
0xC: Other vehicle</t>
  </si>
  <si>
    <t>TargetObjPosX</t>
  </si>
  <si>
    <t>目标X向距离</t>
  </si>
  <si>
    <t>TargetObjPosY</t>
  </si>
  <si>
    <t>目标Y向距离</t>
  </si>
  <si>
    <t>TargetObjSpdX</t>
  </si>
  <si>
    <t>目标纵向速度</t>
  </si>
  <si>
    <t>FCWAEBTextInfomation</t>
  </si>
  <si>
    <t xml:space="preserve">FCW/AEB文言提示信息
0x0: No Display
0x1: FCW is active
0x2: FCW is switched on
0x3: Unable to switched on FCW
0x4: FCW is switched off 
0x5: FCW is in error mode
0x6: AEB is active
0x7: AEB is switched on
0x8: Unable to switched on AEB
0x9: AEB is switched off
0xA: AEB is in error mode 
 </t>
  </si>
  <si>
    <t>ADASSysSts</t>
  </si>
  <si>
    <t>0x0:Normal 
0x1:Blockage 
0x2:failure 
0x3: reserved</t>
  </si>
  <si>
    <t>FLCameraSysSts</t>
  </si>
  <si>
    <t>FLCameraCalSts</t>
  </si>
  <si>
    <t>0x0:not calibration 
0x1:in calibrating 
0x2:calibrated 
0x3: reserved</t>
  </si>
  <si>
    <t>FRCameraSysSts</t>
  </si>
  <si>
    <t>FRCameraCalSts</t>
  </si>
  <si>
    <t>RLCameraSysSts</t>
  </si>
  <si>
    <t>RLCameraCalSts</t>
  </si>
  <si>
    <t>RRCameraSysSts</t>
  </si>
  <si>
    <t>RRCameraCalSts</t>
  </si>
  <si>
    <t>RearCameraSysSts</t>
  </si>
  <si>
    <t>RearCameraCalSts</t>
  </si>
  <si>
    <t>FrontFarCameraSysSts</t>
  </si>
  <si>
    <t>FrontFarCameraCalSts</t>
  </si>
  <si>
    <t>FrontNearCameraSysSts</t>
  </si>
  <si>
    <t>FrontNearCameraCalSts</t>
  </si>
  <si>
    <t>MainLidarSysSts</t>
  </si>
  <si>
    <t>MainLidarCalSts</t>
  </si>
  <si>
    <t>FLLidarSysSts</t>
  </si>
  <si>
    <t>FLLidarCalSts</t>
  </si>
  <si>
    <t>FRLidarSysSts</t>
  </si>
  <si>
    <t>FRLidarCalSts</t>
  </si>
  <si>
    <t>SVSFrontCameraSysSts</t>
  </si>
  <si>
    <t>SVSLeftCameraSysSts</t>
  </si>
  <si>
    <t>SVSRightCameraSysSts</t>
  </si>
  <si>
    <t>SVSRearCameraSysSts</t>
  </si>
  <si>
    <t>SVSFrontCameraCalSts</t>
  </si>
  <si>
    <t>SVSLeftCameraCalSts</t>
  </si>
  <si>
    <t>SVSRightCameraCalSts</t>
  </si>
  <si>
    <t>SVSRearCameraCalSts</t>
  </si>
  <si>
    <t>DVRSts</t>
  </si>
  <si>
    <t>摄像头视频发送状态反馈</t>
  </si>
  <si>
    <t>DVRcameraSts</t>
  </si>
  <si>
    <t>前视摄像头设备良好状态</t>
  </si>
  <si>
    <t>CameraInterParm</t>
  </si>
  <si>
    <t>通知FCM摄像头的内参</t>
  </si>
  <si>
    <t>VehUUIDCode</t>
  </si>
  <si>
    <t>车辆用户唯一识别码</t>
  </si>
  <si>
    <t>NtfSDmapNaviStatusInfo</t>
  </si>
  <si>
    <t>SomeIP_NtfSDmapNaviStatusInfo_BUS</t>
  </si>
  <si>
    <t>NtfSDmapNaviRoadInfo</t>
  </si>
  <si>
    <t>SomeIP_NtfSDmapNaviRoadInfo_BUS</t>
  </si>
  <si>
    <t>NaviMode</t>
  </si>
  <si>
    <t>导航模式</t>
  </si>
  <si>
    <t>NaviStatus</t>
  </si>
  <si>
    <t>导航状态</t>
  </si>
  <si>
    <t>NaviRoadClass</t>
  </si>
  <si>
    <t xml:space="preserve">当前自车所在道路等级
'-1: FORMMAY_NULL（无效）
0x0: ROAD_CLASS_Freeway（高速公路）
0x1: ROAD_CLASS_NationalRoad（国道）
0x2: ROAD_CLASS_ProvinceRoad（省道）
0x3: ROAD_CLASS_CountyRoad（县道 ）
0x4: ROAD_CLASS_RuralRoad（乡公路）
0x5: ROAD_CLASS_InCountyRoad（县乡村内部道路）  
0x6: ROAD_CLASS_CitySpeedway（主要大街、城市快速道）
0x7: ROAD_CLASS_MainRoad（主要道路）
0x8: ROAD_CLASS_SecondaryRoad（次要道路）
0x9: ROAD_CLASS_CommonRoad（普通道路）
0xA: ROAD_CLASS_NonNaviRoad（非导航道路）
0xB: ROAD_CLASS_Count（RoadClass的个数）  </t>
  </si>
  <si>
    <t>Navicurrentroadspd</t>
  </si>
  <si>
    <t>道路限速  km/h</t>
  </si>
  <si>
    <t>NaviFormWay</t>
  </si>
  <si>
    <t>道路属性
'-1: FORMMAY_NULL（无效）
0x0: Reserved（预留）
0x1: FORMMAY_DivisedLink（主路，上下线分离）
0x2: FORMMAY_CrossLink（复杂节点内部道路）
0x3: FORMMAY_JCT（JCT：连接不同道路道路或连接同一高速道路不同方向的匝道）
0x4: FORMMAY_RoundCircle（环岛）
0x5: FORMMAY_ServiceRoad（服务区：表示高速公路服务区的道路）
0x6: FORMMAY_SlipRoad（引路：连接高速道路与一般道路、连接一般道路与一般道路的道路）
0x7: FORMMAY_SideRoad（辅路）
0x8: FORMMAY_SlipJCT（引路+JCT：引路与JCT重合部分的道路）
0x9: FORMMAY_ExitLink（出口）
0xA: FORMMAY_EntranceLink（入口）
0xB: FORMMAY_TurnRightLineA（右转专用道）
0xC: FORMMAY_TurnRightLineB（右转专用道）
0xD: FORMMAY_TurnLeftLineA（左转专用道）
0xE: FORMMAY_TurnLeftLineB（左转专用道）
0xF: FORMMAY_CommonLink（普通道路）
x10: FORMMAY_TurnLeftRightLine（左右转专用道：以不同道路为入口，既供车辆右转也供车辆左转使用的车道）
0x11-0x34: Reserved（预留）
0x35:  FORMMAY_ServiceJCTRoad（服务区+JCT：既是服务区内部道路也是连接高速道路与高速道路的JCT的道路）
0x36-0x37: Reserved（预留）
0x38: FORMMAY_ServiceSlipRoad（服务区+引路：既是服务区内部道路也是连接高速道路与一般道路的引路的道路）
0x39: Reserved（预留）
0x3A: FORMMAY_ServiceSlipJCTRoad（服务区+引路+JCT：同时是服务区内部道路、引路、JCT的道路）</t>
  </si>
  <si>
    <t>CR_OBJ_ELEM_BUS</t>
  </si>
  <si>
    <t>ObjBoxLen</t>
  </si>
  <si>
    <t>ObjBoxWidth</t>
  </si>
  <si>
    <t>HdTo</t>
  </si>
  <si>
    <t>ObjID</t>
  </si>
  <si>
    <t>ObjCoordY</t>
  </si>
  <si>
    <t>ObjCoordX</t>
  </si>
  <si>
    <t>ObjXDirAV</t>
  </si>
  <si>
    <t>ObjYDirV</t>
  </si>
  <si>
    <t>ObjXDirV</t>
  </si>
  <si>
    <t>ObjMtnChartc</t>
  </si>
  <si>
    <t>ObjTyp</t>
  </si>
  <si>
    <t>ObjConf</t>
  </si>
  <si>
    <t>ObjNrOffocst</t>
  </si>
  <si>
    <t>ObjTrackSt</t>
  </si>
  <si>
    <t>ObjCoordXDstStdDe</t>
  </si>
  <si>
    <t>ObjCoordYDstStdDe</t>
  </si>
  <si>
    <t>ObjXDirVStdDe</t>
  </si>
  <si>
    <t>ObjYDirVStdDe</t>
  </si>
  <si>
    <t>CR_OBJ_HDR_BUS</t>
  </si>
  <si>
    <t>SysSt</t>
  </si>
  <si>
    <t>BlkSts</t>
  </si>
  <si>
    <t>MsgCntr</t>
  </si>
  <si>
    <t>FrameTimestampMs</t>
  </si>
  <si>
    <t>目标“曝光“时间，底软接收雷达信息时的系统时间-TiStampLaten（注意防止溢出）</t>
  </si>
  <si>
    <t>CANTimestampMs</t>
  </si>
  <si>
    <t>底软接收雷达信息时的系统时间</t>
  </si>
  <si>
    <t>CR_OBJ_HDR</t>
  </si>
  <si>
    <t>CR_OBJ_ELEM</t>
  </si>
  <si>
    <t>int64</t>
  </si>
  <si>
    <t>Runnable</t>
  </si>
  <si>
    <t>EventType</t>
  </si>
  <si>
    <t>TimingPeriod(s)</t>
  </si>
  <si>
    <t>Target</t>
  </si>
  <si>
    <t>Port</t>
  </si>
  <si>
    <t>autosar_swc_vme_Step</t>
  </si>
  <si>
    <t>TimingEvent</t>
  </si>
  <si>
    <t>autosar_swc_vme_Init</t>
  </si>
  <si>
    <t>InitEvent</t>
  </si>
  <si>
    <t>autosar_swc_rlgs_Step</t>
  </si>
  <si>
    <t>autosar_swc_rlgs_Init</t>
  </si>
  <si>
    <t>autosar_swc_tos_Step</t>
  </si>
  <si>
    <t>autosar_swc_tos_Init</t>
  </si>
  <si>
    <t>autosar_swc_vmp_Step</t>
  </si>
  <si>
    <t>autosar_swc_vmp_Init</t>
  </si>
  <si>
    <t>autosar_swc_las_Step</t>
  </si>
  <si>
    <t>autosar_swc_las_Init</t>
  </si>
  <si>
    <t>autosar_swc_icas_Step</t>
  </si>
  <si>
    <t>autosar_swc_icas_Init</t>
  </si>
  <si>
    <t>autosar_swc_vmc_Step</t>
  </si>
  <si>
    <t>autosar_swc_vmc_Init</t>
  </si>
  <si>
    <t>autosar_swc_hmi_Step</t>
  </si>
  <si>
    <t>autosar_swc_hmi_Init</t>
  </si>
  <si>
    <t>autosar_swc_val_Step</t>
  </si>
  <si>
    <t>autosar_swc_val_Init</t>
  </si>
  <si>
    <t>autosar_swc_aeb_Step</t>
  </si>
  <si>
    <t>autosar_swc_aeb_Init</t>
  </si>
  <si>
    <t>autosar_swc_sm_Init</t>
  </si>
  <si>
    <t>autosar_swc_sm_Step</t>
  </si>
  <si>
    <t>autosar_swc_mapengine_Step</t>
  </si>
  <si>
    <t>autosar_swc_lanetrack_Step</t>
  </si>
  <si>
    <t>autosar_swc_dr_Step</t>
  </si>
  <si>
    <t>autosar_swc_fusion_Step</t>
  </si>
  <si>
    <t>加锁</t>
  </si>
  <si>
    <t>autosar_swc_fusion_data_cache_Step</t>
  </si>
  <si>
    <t>autosar_swc_fusion_Init</t>
  </si>
  <si>
    <t>autosar_swc_dfim_Init</t>
  </si>
  <si>
    <t>autosar_swc_dfim_Step</t>
  </si>
  <si>
    <t>autosar_swc_dataclct_Step</t>
  </si>
  <si>
    <t>autosar_swc_fusamon_Init</t>
  </si>
  <si>
    <t>autosar_swc_fusamon_Step</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</si>
</sst>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_-* #,##0.00\ [$€-1]_-;\-* #,##0.00\ [$€-1]_-;_-* \-??\ [$€-1]_-"/>
    <numFmt numFmtId="177" formatCode="0_);[Red]\(0\)"/>
    <numFmt numFmtId="178" formatCode="0.00_);[Red]\(0.00\)"/>
  </numFmts>
  <fonts count="22" x14ac:knownFonts="1">
    <font>
      <sz val="10"/>
      <color theme="1"/>
      <name val="等线"/>
      <family val="2"/>
      <scheme val="minor"/>
    </font>
    <font>
      <sz val="13.5"/>
      <color rgb="FF000000"/>
      <name val="等线"/>
      <family val="2"/>
      <scheme val="minor"/>
    </font>
    <font>
      <sz val="9.75"/>
      <color rgb="FF000000"/>
      <name val="等线"/>
      <family val="2"/>
      <scheme val="minor"/>
    </font>
    <font>
      <sz val="10.5"/>
      <color rgb="FF000000"/>
      <name val="等线"/>
      <family val="2"/>
      <scheme val="minor"/>
    </font>
    <font>
      <sz val="10.5"/>
      <color rgb="FF000000"/>
      <name val="等线"/>
      <family val="2"/>
      <scheme val="minor"/>
    </font>
    <font>
      <sz val="10.5"/>
      <color rgb="FF1F2329"/>
      <name val="等线"/>
      <family val="2"/>
      <scheme val="minor"/>
    </font>
    <font>
      <sz val="10.5"/>
      <color rgb="FF333F50"/>
      <name val="等线"/>
      <family val="2"/>
      <scheme val="minor"/>
    </font>
    <font>
      <sz val="9.75"/>
      <color rgb="FF000000"/>
      <name val="等线"/>
      <family val="2"/>
      <scheme val="minor"/>
    </font>
    <font>
      <b/>
      <sz val="9.75"/>
      <color rgb="FF000000"/>
      <name val="等线"/>
      <family val="2"/>
      <scheme val="minor"/>
    </font>
    <font>
      <sz val="10.5"/>
      <color rgb="FF006100"/>
      <name val="等线"/>
      <family val="2"/>
      <scheme val="minor"/>
    </font>
    <font>
      <b/>
      <sz val="10.5"/>
      <color rgb="FF000000"/>
      <name val="等线"/>
      <family val="2"/>
      <scheme val="minor"/>
    </font>
    <font>
      <sz val="10.5"/>
      <color rgb="FFF54A45"/>
      <name val="等线"/>
      <family val="2"/>
      <scheme val="minor"/>
    </font>
    <font>
      <b/>
      <sz val="10.5"/>
      <color rgb="FF000000"/>
      <name val="等线"/>
      <family val="2"/>
      <scheme val="minor"/>
    </font>
    <font>
      <sz val="10.5"/>
      <color rgb="FF373C43"/>
      <name val="等线"/>
      <family val="2"/>
      <scheme val="minor"/>
    </font>
    <font>
      <b/>
      <sz val="9.75"/>
      <color rgb="FF000000"/>
      <name val="等线"/>
      <family val="2"/>
      <scheme val="minor"/>
    </font>
    <font>
      <sz val="9.75"/>
      <color rgb="FF006100"/>
      <name val="等线"/>
      <family val="2"/>
      <scheme val="minor"/>
    </font>
    <font>
      <sz val="10.5"/>
      <color rgb="FF000000"/>
      <name val="Calibri"/>
      <family val="2"/>
    </font>
    <font>
      <b/>
      <sz val="30"/>
      <color rgb="FFF54A45"/>
      <name val="Calibri"/>
      <family val="2"/>
    </font>
    <font>
      <b/>
      <sz val="10.5"/>
      <color rgb="FF000000"/>
      <name val="Calibri"/>
      <family val="2"/>
    </font>
    <font>
      <strike/>
      <sz val="10.5"/>
      <color rgb="FF000000"/>
      <name val="Calibri"/>
      <family val="2"/>
    </font>
    <font>
      <u/>
      <sz val="10.5"/>
      <color theme="10"/>
      <name val="Calibri"/>
      <family val="2"/>
    </font>
    <font>
      <sz val="9"/>
      <name val="等线"/>
      <family val="3"/>
      <charset val="134"/>
      <scheme val="minor"/>
    </font>
  </fonts>
  <fills count="142">
    <fill>
      <patternFill patternType="none"/>
    </fill>
    <fill>
      <patternFill patternType="gray125"/>
    </fill>
    <fill>
      <patternFill patternType="solid">
        <fgColor rgb="FFFAD355"/>
      </patternFill>
    </fill>
    <fill>
      <patternFill patternType="solid">
        <fgColor rgb="FFF8F9FA"/>
      </patternFill>
    </fill>
    <fill>
      <patternFill patternType="solid">
        <fgColor rgb="FFFAF1D1"/>
      </patternFill>
    </fill>
    <fill>
      <patternFill patternType="solid">
        <fgColor rgb="FFFAD355"/>
      </patternFill>
    </fill>
    <fill>
      <patternFill patternType="solid">
        <fgColor rgb="FFF14BA9"/>
      </patternFill>
    </fill>
    <fill>
      <patternFill patternType="solid">
        <fgColor rgb="FF9DC3E6"/>
      </patternFill>
    </fill>
    <fill>
      <patternFill patternType="solid">
        <fgColor rgb="FFF2F2F2"/>
      </patternFill>
    </fill>
    <fill>
      <patternFill patternType="solid">
        <fgColor rgb="FFD9F5D6"/>
      </patternFill>
    </fill>
    <fill>
      <patternFill patternType="solid">
        <fgColor rgb="FFD9F5D6"/>
      </patternFill>
    </fill>
    <fill>
      <patternFill patternType="solid">
        <fgColor rgb="FFFFF258"/>
      </patternFill>
    </fill>
    <fill>
      <patternFill patternType="solid">
        <fgColor rgb="FFD9F5D6"/>
      </patternFill>
    </fill>
    <fill>
      <patternFill patternType="solid">
        <fgColor rgb="FFF2F2F2"/>
      </patternFill>
    </fill>
    <fill>
      <patternFill patternType="solid">
        <fgColor rgb="FFFBE5D6"/>
      </patternFill>
    </fill>
    <fill>
      <patternFill patternType="solid">
        <fgColor rgb="FFF2F2F2"/>
      </patternFill>
    </fill>
    <fill>
      <patternFill patternType="solid">
        <fgColor rgb="FFFDDDEF"/>
      </patternFill>
    </fill>
    <fill>
      <patternFill patternType="solid">
        <fgColor rgb="FFFFF2CC"/>
      </patternFill>
    </fill>
    <fill>
      <patternFill patternType="solid">
        <fgColor rgb="FFF2F2F2"/>
      </patternFill>
    </fill>
    <fill>
      <patternFill patternType="solid">
        <fgColor rgb="FFDAE3F3"/>
      </patternFill>
    </fill>
    <fill>
      <patternFill patternType="solid">
        <fgColor rgb="FF7EDAFB"/>
      </patternFill>
    </fill>
    <fill>
      <patternFill patternType="solid">
        <fgColor rgb="FFEDEDED"/>
      </patternFill>
    </fill>
    <fill>
      <patternFill patternType="solid">
        <fgColor rgb="FFDAE3F3"/>
      </patternFill>
    </fill>
    <fill>
      <patternFill patternType="solid">
        <fgColor rgb="FFAFABAB"/>
      </patternFill>
    </fill>
    <fill>
      <patternFill patternType="solid">
        <fgColor rgb="FFFFF2CC"/>
      </patternFill>
    </fill>
    <fill>
      <patternFill patternType="solid">
        <fgColor rgb="FF9DC3E6"/>
      </patternFill>
    </fill>
    <fill>
      <patternFill patternType="solid">
        <fgColor rgb="FFF2F2F2"/>
      </patternFill>
    </fill>
    <fill>
      <patternFill patternType="solid">
        <fgColor rgb="FFDAE3F3"/>
      </patternFill>
    </fill>
    <fill>
      <patternFill patternType="solid">
        <fgColor rgb="FFDEEBF7"/>
      </patternFill>
    </fill>
    <fill>
      <patternFill patternType="solid">
        <fgColor rgb="FFD9F5D6"/>
      </patternFill>
    </fill>
    <fill>
      <patternFill patternType="solid">
        <fgColor rgb="FFFFF258"/>
      </patternFill>
    </fill>
    <fill>
      <patternFill patternType="solid">
        <fgColor rgb="FFFFF258"/>
      </patternFill>
    </fill>
    <fill>
      <patternFill patternType="solid">
        <fgColor rgb="FFD5F6F2"/>
      </patternFill>
    </fill>
    <fill>
      <patternFill patternType="solid">
        <fgColor rgb="FFFBBFBC"/>
      </patternFill>
    </fill>
    <fill>
      <patternFill patternType="solid">
        <fgColor rgb="FFDEEBF7"/>
      </patternFill>
    </fill>
    <fill>
      <patternFill patternType="solid">
        <fgColor rgb="FF9DC3E6"/>
      </patternFill>
    </fill>
    <fill>
      <patternFill patternType="solid">
        <fgColor rgb="FFFBBFBC"/>
      </patternFill>
    </fill>
    <fill>
      <patternFill patternType="solid">
        <fgColor rgb="FFFAF1D1"/>
      </patternFill>
    </fill>
    <fill>
      <patternFill patternType="solid">
        <fgColor rgb="FFFAF1D1"/>
      </patternFill>
    </fill>
    <fill>
      <patternFill patternType="solid">
        <fgColor rgb="FFD9F5D6"/>
      </patternFill>
    </fill>
    <fill>
      <patternFill patternType="solid">
        <fgColor rgb="FFFAF1D1"/>
      </patternFill>
    </fill>
    <fill>
      <patternFill patternType="solid">
        <fgColor rgb="FF9DC3E6"/>
      </patternFill>
    </fill>
    <fill>
      <patternFill patternType="solid">
        <fgColor rgb="FFFFF2CC"/>
      </patternFill>
    </fill>
    <fill>
      <patternFill patternType="solid">
        <fgColor rgb="FFFFF258"/>
      </patternFill>
    </fill>
    <fill>
      <patternFill patternType="solid">
        <fgColor rgb="FFAFABAB"/>
      </patternFill>
    </fill>
    <fill>
      <patternFill patternType="solid">
        <fgColor rgb="FFDAE3F3"/>
      </patternFill>
    </fill>
    <fill>
      <patternFill patternType="solid">
        <fgColor rgb="FFFFF258"/>
      </patternFill>
    </fill>
    <fill>
      <patternFill patternType="solid">
        <fgColor rgb="FFF2F2F2"/>
      </patternFill>
    </fill>
    <fill>
      <patternFill patternType="solid">
        <fgColor rgb="FFFED4A4"/>
      </patternFill>
    </fill>
    <fill>
      <patternFill patternType="solid">
        <fgColor rgb="FFAFABAB"/>
      </patternFill>
    </fill>
    <fill>
      <patternFill patternType="solid">
        <fgColor rgb="FFDEEBF7"/>
      </patternFill>
    </fill>
    <fill>
      <patternFill patternType="solid">
        <fgColor rgb="FFD9F5D6"/>
      </patternFill>
    </fill>
    <fill>
      <patternFill patternType="solid">
        <fgColor rgb="FF7EDAFB"/>
      </patternFill>
    </fill>
    <fill>
      <patternFill patternType="solid">
        <fgColor rgb="FFFAF1D1"/>
      </patternFill>
    </fill>
    <fill>
      <patternFill patternType="solid">
        <fgColor rgb="FFFAF1D1"/>
      </patternFill>
    </fill>
    <fill>
      <patternFill patternType="solid">
        <fgColor rgb="FFAFABAB"/>
      </patternFill>
    </fill>
    <fill>
      <patternFill patternType="solid">
        <fgColor rgb="FF9DC3E6"/>
      </patternFill>
    </fill>
    <fill>
      <patternFill patternType="solid">
        <fgColor rgb="FFE7E6E6"/>
      </patternFill>
    </fill>
    <fill>
      <patternFill patternType="solid">
        <fgColor rgb="FFE7E6E6"/>
      </patternFill>
    </fill>
    <fill>
      <patternFill patternType="solid">
        <fgColor rgb="FFE7E6E6"/>
      </patternFill>
    </fill>
    <fill>
      <patternFill patternType="solid">
        <fgColor rgb="FFF2F2F2"/>
      </patternFill>
    </fill>
    <fill>
      <patternFill patternType="solid">
        <fgColor rgb="FFE7E6E6"/>
      </patternFill>
    </fill>
    <fill>
      <patternFill patternType="solid">
        <fgColor rgb="FFF2F2F2"/>
      </patternFill>
    </fill>
    <fill>
      <patternFill patternType="solid">
        <fgColor rgb="FFC6EFCE"/>
      </patternFill>
    </fill>
    <fill>
      <patternFill patternType="solid">
        <fgColor rgb="FFF2F2F2"/>
      </patternFill>
    </fill>
    <fill>
      <patternFill patternType="solid">
        <fgColor rgb="FFFFF258"/>
      </patternFill>
    </fill>
    <fill>
      <patternFill patternType="solid">
        <fgColor rgb="FFC6EFCE"/>
      </patternFill>
    </fill>
    <fill>
      <patternFill patternType="solid">
        <fgColor rgb="FFD9F5D6"/>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0000"/>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C6EFCE"/>
      </patternFill>
    </fill>
    <fill>
      <patternFill patternType="solid">
        <fgColor rgb="FFFFF258"/>
      </patternFill>
    </fill>
    <fill>
      <patternFill patternType="solid">
        <fgColor rgb="FFFFF258"/>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E7E6E6"/>
      </patternFill>
    </fill>
    <fill>
      <patternFill patternType="solid">
        <fgColor rgb="FFF2F2F2"/>
      </patternFill>
    </fill>
    <fill>
      <patternFill patternType="solid">
        <fgColor rgb="FFE7E6E6"/>
      </patternFill>
    </fill>
    <fill>
      <patternFill patternType="solid">
        <fgColor rgb="FFE7E6E6"/>
      </patternFill>
    </fill>
    <fill>
      <patternFill patternType="solid">
        <fgColor rgb="FFFFF258"/>
      </patternFill>
    </fill>
    <fill>
      <patternFill patternType="solid">
        <fgColor rgb="FFFFF258"/>
      </patternFill>
    </fill>
    <fill>
      <patternFill patternType="solid">
        <fgColor rgb="FFC6EFCE"/>
      </patternFill>
    </fill>
    <fill>
      <patternFill patternType="solid">
        <fgColor rgb="FFE7E6E6"/>
      </patternFill>
    </fill>
    <fill>
      <patternFill patternType="solid">
        <fgColor rgb="FFF2F2F2"/>
      </patternFill>
    </fill>
    <fill>
      <patternFill patternType="solid">
        <fgColor rgb="FFE7E6E6"/>
      </patternFill>
    </fill>
    <fill>
      <patternFill patternType="solid">
        <fgColor rgb="FFE7E6E6"/>
      </patternFill>
    </fill>
    <fill>
      <patternFill patternType="solid">
        <fgColor rgb="FFE7E6E6"/>
      </patternFill>
    </fill>
    <fill>
      <patternFill patternType="solid">
        <fgColor rgb="FFFFF258"/>
      </patternFill>
    </fill>
    <fill>
      <patternFill patternType="solid">
        <fgColor rgb="FFDEEBF7"/>
      </patternFill>
    </fill>
    <fill>
      <patternFill patternType="solid">
        <fgColor rgb="FFE7E6E6"/>
      </patternFill>
    </fill>
    <fill>
      <patternFill patternType="solid">
        <fgColor rgb="FFE7E6E6"/>
      </patternFill>
    </fill>
    <fill>
      <patternFill patternType="solid">
        <fgColor rgb="FFF2F2F2"/>
      </patternFill>
    </fill>
    <fill>
      <patternFill patternType="solid">
        <fgColor rgb="FFE7E6E6"/>
      </patternFill>
    </fill>
    <fill>
      <patternFill patternType="solid">
        <fgColor rgb="FFFAF1D1"/>
      </patternFill>
    </fill>
    <fill>
      <patternFill patternType="solid">
        <fgColor rgb="FFFAF1D1"/>
      </patternFill>
    </fill>
    <fill>
      <patternFill patternType="solid">
        <fgColor rgb="FFC6EFCE"/>
      </patternFill>
    </fill>
    <fill>
      <patternFill patternType="solid">
        <fgColor rgb="FFFFF258"/>
      </patternFill>
    </fill>
    <fill>
      <patternFill patternType="solid">
        <fgColor rgb="FFFFFF00"/>
      </patternFill>
    </fill>
    <fill>
      <patternFill patternType="solid">
        <fgColor rgb="FFFFF258"/>
      </patternFill>
    </fill>
    <fill>
      <patternFill patternType="solid">
        <fgColor rgb="FFFFF258"/>
      </patternFill>
    </fill>
    <fill>
      <patternFill patternType="solid">
        <fgColor rgb="FFC6EFCE"/>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E7E6E6"/>
      </patternFill>
    </fill>
    <fill>
      <patternFill patternType="solid">
        <fgColor rgb="FFFED4A4"/>
      </patternFill>
    </fill>
    <fill>
      <patternFill patternType="solid">
        <fgColor rgb="FFFBE5D6"/>
      </patternFill>
    </fill>
    <fill>
      <patternFill patternType="solid">
        <fgColor rgb="FFE2F0D9"/>
      </patternFill>
    </fill>
    <fill>
      <patternFill patternType="solid">
        <fgColor rgb="FFFED4A4"/>
      </patternFill>
    </fill>
    <fill>
      <patternFill patternType="solid">
        <fgColor rgb="FFECE2FE"/>
      </patternFill>
    </fill>
    <fill>
      <patternFill patternType="solid">
        <fgColor rgb="FFD5F6F2"/>
      </patternFill>
    </fill>
    <fill>
      <patternFill patternType="solid">
        <fgColor rgb="FFD6DCE5"/>
      </patternFill>
    </fill>
    <fill>
      <patternFill patternType="solid">
        <fgColor rgb="FFE1EAFF"/>
      </patternFill>
    </fill>
    <fill>
      <patternFill patternType="solid">
        <fgColor rgb="FFE7E6E6"/>
      </patternFill>
    </fill>
    <fill>
      <patternFill patternType="solid">
        <fgColor rgb="FFFAD355"/>
      </patternFill>
    </fill>
    <fill>
      <patternFill patternType="solid">
        <fgColor rgb="FFD9F3FD"/>
      </patternFill>
    </fill>
    <fill>
      <patternFill patternType="solid">
        <fgColor rgb="FFEDEDED"/>
      </patternFill>
    </fill>
    <fill>
      <patternFill patternType="solid">
        <fgColor rgb="FFFBBFBC"/>
      </patternFill>
    </fill>
    <fill>
      <patternFill patternType="solid">
        <fgColor rgb="FFD9F5D6"/>
      </patternFill>
    </fill>
    <fill>
      <patternFill patternType="solid">
        <fgColor rgb="FFF14BA9"/>
      </patternFill>
    </fill>
    <fill>
      <patternFill patternType="solid">
        <fgColor rgb="FF7EDAFB"/>
      </patternFill>
    </fill>
  </fills>
  <borders count="309">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9C0006"/>
      </left>
      <right style="thin">
        <color rgb="FF9C0006"/>
      </right>
      <top style="thin">
        <color rgb="FF9C000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9C0006"/>
      </left>
      <right style="thin">
        <color rgb="FF9C0006"/>
      </right>
      <top style="thin">
        <color rgb="FF9C0006"/>
      </top>
      <bottom/>
      <diagonal/>
    </border>
    <border>
      <left style="thin">
        <color rgb="FF9C0006"/>
      </left>
      <right style="thin">
        <color rgb="FF9C0006"/>
      </right>
      <top style="thin">
        <color rgb="FF9C0006"/>
      </top>
      <bottom style="thin">
        <color rgb="FF9C0006"/>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9C0006"/>
      </left>
      <right style="thin">
        <color rgb="FF9C0006"/>
      </right>
      <top style="thin">
        <color rgb="FF9C000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9C0006"/>
      </left>
      <right/>
      <top style="thin">
        <color rgb="FF9C0006"/>
      </top>
      <bottom/>
      <diagonal/>
    </border>
    <border>
      <left style="thin">
        <color rgb="FF000000"/>
      </left>
      <right/>
      <top style="thin">
        <color rgb="FF000000"/>
      </top>
      <bottom style="thin">
        <color rgb="FF000000"/>
      </bottom>
      <diagonal/>
    </border>
    <border>
      <left style="thin">
        <color rgb="FF9C0006"/>
      </left>
      <right style="thin">
        <color rgb="FF9C0006"/>
      </right>
      <top/>
      <bottom style="thin">
        <color rgb="FF9C0006"/>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9C0006"/>
      </left>
      <right style="thin">
        <color rgb="FF9C0006"/>
      </right>
      <top style="thin">
        <color rgb="FF9C0006"/>
      </top>
      <bottom style="thin">
        <color rgb="FF9C0006"/>
      </bottom>
      <diagonal/>
    </border>
    <border>
      <left style="thin">
        <color rgb="FF9C0006"/>
      </left>
      <right/>
      <top style="thin">
        <color rgb="FF9C0006"/>
      </top>
      <bottom style="thin">
        <color rgb="FF9C0006"/>
      </bottom>
      <diagonal/>
    </border>
    <border>
      <left style="thin">
        <color rgb="FF9C0006"/>
      </left>
      <right style="thin">
        <color rgb="FF9C0006"/>
      </right>
      <top style="thin">
        <color rgb="FF9C0006"/>
      </top>
      <bottom style="thin">
        <color rgb="FF9C0006"/>
      </bottom>
      <diagonal/>
    </border>
    <border>
      <left style="thin">
        <color rgb="FF9C0006"/>
      </left>
      <right style="thin">
        <color rgb="FF9C0006"/>
      </right>
      <top style="thin">
        <color rgb="FF9C0006"/>
      </top>
      <bottom style="thin">
        <color rgb="FF9C0006"/>
      </bottom>
      <diagonal/>
    </border>
    <border>
      <left style="thin">
        <color rgb="FF9C0006"/>
      </left>
      <right style="thin">
        <color rgb="FF9C0006"/>
      </right>
      <top style="thin">
        <color rgb="FF9C0006"/>
      </top>
      <bottom style="thin">
        <color rgb="FF9C0006"/>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9C0006"/>
      </left>
      <right style="thin">
        <color rgb="FF9C0006"/>
      </right>
      <top style="thin">
        <color rgb="FF9C0006"/>
      </top>
      <bottom/>
      <diagonal/>
    </border>
    <border>
      <left style="thin">
        <color rgb="FF9C0006"/>
      </left>
      <right style="thin">
        <color rgb="FF9C0006"/>
      </right>
      <top style="thin">
        <color rgb="FF9C0006"/>
      </top>
      <bottom/>
      <diagonal/>
    </border>
    <border>
      <left style="thin">
        <color rgb="FF9C0006"/>
      </left>
      <right/>
      <top style="thin">
        <color rgb="FF9C0006"/>
      </top>
      <bottom/>
      <diagonal/>
    </border>
    <border>
      <left style="thin">
        <color rgb="FF9C0006"/>
      </left>
      <right style="thin">
        <color rgb="FF9C0006"/>
      </right>
      <top style="thin">
        <color rgb="FF9C0006"/>
      </top>
      <bottom style="thin">
        <color rgb="FF9C0006"/>
      </bottom>
      <diagonal/>
    </border>
    <border>
      <left style="thin">
        <color rgb="FF9C0006"/>
      </left>
      <right/>
      <top style="thin">
        <color rgb="FF9C0006"/>
      </top>
      <bottom style="thin">
        <color rgb="FF9C0006"/>
      </bottom>
      <diagonal/>
    </border>
    <border>
      <left style="thin">
        <color rgb="FF9C0006"/>
      </left>
      <right style="thin">
        <color rgb="FF9C0006"/>
      </right>
      <top style="thin">
        <color rgb="FF9C0006"/>
      </top>
      <bottom style="thin">
        <color rgb="FF9C0006"/>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3D3D3D"/>
      </left>
      <right style="thin">
        <color rgb="FF3D3D3D"/>
      </right>
      <top style="thin">
        <color rgb="FF3D3D3D"/>
      </top>
      <bottom style="thin">
        <color rgb="FF3D3D3D"/>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s>
  <cellStyleXfs count="1">
    <xf numFmtId="0" fontId="0" fillId="0" borderId="0" applyNumberFormat="0" applyFont="0" applyFill="0" applyBorder="0" applyProtection="0"/>
  </cellStyleXfs>
  <cellXfs count="310">
    <xf numFmtId="0" fontId="0" fillId="0" borderId="0" xfId="0" applyAlignment="1">
      <alignment vertical="center"/>
    </xf>
    <xf numFmtId="0" fontId="2" fillId="0" borderId="2" xfId="0" applyFont="1" applyBorder="1" applyAlignment="1">
      <alignment vertical="center"/>
    </xf>
    <xf numFmtId="49" fontId="3" fillId="0" borderId="3" xfId="0" applyNumberFormat="1"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left"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left" vertical="center" wrapText="1"/>
    </xf>
    <xf numFmtId="0" fontId="3" fillId="0" borderId="9" xfId="0" applyFont="1" applyBorder="1" applyAlignment="1">
      <alignment horizontal="center" vertical="center"/>
    </xf>
    <xf numFmtId="0" fontId="4" fillId="0" borderId="10" xfId="0" applyFont="1" applyBorder="1" applyAlignment="1">
      <alignment horizontal="center"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49" fontId="3" fillId="0" borderId="13" xfId="0" applyNumberFormat="1" applyFont="1" applyBorder="1" applyAlignment="1">
      <alignment horizontal="center" vertical="top" wrapText="1"/>
    </xf>
    <xf numFmtId="0" fontId="3"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center" vertical="top" wrapText="1"/>
    </xf>
    <xf numFmtId="0" fontId="3" fillId="0" borderId="17" xfId="0" applyFont="1" applyBorder="1" applyAlignment="1">
      <alignment horizontal="center" vertical="center" wrapText="1"/>
    </xf>
    <xf numFmtId="0" fontId="3" fillId="3" borderId="18" xfId="0" applyFont="1" applyFill="1" applyBorder="1" applyAlignment="1">
      <alignment horizontal="left"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4" borderId="23" xfId="0" applyFont="1" applyFill="1" applyBorder="1" applyAlignment="1">
      <alignment horizontal="left" vertical="center" wrapText="1"/>
    </xf>
    <xf numFmtId="0" fontId="3" fillId="0" borderId="24" xfId="0" applyFont="1" applyBorder="1" applyAlignment="1">
      <alignment horizontal="center" vertical="top" wrapText="1"/>
    </xf>
    <xf numFmtId="0" fontId="3" fillId="0" borderId="25" xfId="0" applyFont="1" applyBorder="1" applyAlignment="1">
      <alignment horizontal="left" vertical="top" wrapText="1"/>
    </xf>
    <xf numFmtId="49" fontId="3" fillId="0" borderId="26" xfId="0" applyNumberFormat="1" applyFont="1" applyBorder="1" applyAlignment="1">
      <alignment horizontal="center" vertical="top" wrapText="1"/>
    </xf>
    <xf numFmtId="0" fontId="3" fillId="0" borderId="27" xfId="0" applyFont="1" applyBorder="1" applyAlignment="1">
      <alignment horizontal="left" vertical="top" wrapText="1"/>
    </xf>
    <xf numFmtId="0" fontId="4" fillId="0" borderId="28" xfId="0" applyFont="1" applyBorder="1" applyAlignment="1">
      <alignment horizontal="center" vertical="center" wrapText="1"/>
    </xf>
    <xf numFmtId="49" fontId="3" fillId="0" borderId="30" xfId="0" applyNumberFormat="1" applyFont="1" applyBorder="1" applyAlignment="1">
      <alignment horizontal="center" vertical="center"/>
    </xf>
    <xf numFmtId="0" fontId="3" fillId="0" borderId="31" xfId="0" applyFont="1" applyBorder="1" applyAlignment="1">
      <alignment horizontal="center" vertical="top" wrapText="1"/>
    </xf>
    <xf numFmtId="0" fontId="3" fillId="0" borderId="32" xfId="0" applyFont="1" applyBorder="1" applyAlignment="1">
      <alignment horizontal="left" vertical="top" wrapText="1"/>
    </xf>
    <xf numFmtId="0" fontId="3" fillId="0" borderId="33" xfId="0" applyFont="1" applyBorder="1" applyAlignment="1">
      <alignment horizontal="left" vertical="top" wrapText="1"/>
    </xf>
    <xf numFmtId="49" fontId="3" fillId="0" borderId="34" xfId="0" applyNumberFormat="1" applyFont="1" applyBorder="1" applyAlignment="1">
      <alignment horizontal="center" vertical="center" wrapText="1"/>
    </xf>
    <xf numFmtId="0" fontId="3" fillId="0" borderId="35" xfId="0" applyFont="1" applyBorder="1" applyAlignment="1">
      <alignment horizontal="left" vertical="center" wrapText="1"/>
    </xf>
    <xf numFmtId="0" fontId="3" fillId="0" borderId="36" xfId="0" applyFont="1" applyBorder="1" applyAlignment="1">
      <alignment horizontal="left" vertical="center" wrapText="1"/>
    </xf>
    <xf numFmtId="0" fontId="2" fillId="0" borderId="37" xfId="0" applyFont="1" applyBorder="1" applyAlignment="1">
      <alignment vertical="center"/>
    </xf>
    <xf numFmtId="0" fontId="3" fillId="0" borderId="38" xfId="0" applyFont="1" applyBorder="1" applyAlignment="1">
      <alignment horizontal="left" vertical="center"/>
    </xf>
    <xf numFmtId="0" fontId="3" fillId="5" borderId="39" xfId="0" applyFont="1" applyFill="1" applyBorder="1" applyAlignment="1">
      <alignment horizontal="left" vertical="center" wrapText="1"/>
    </xf>
    <xf numFmtId="0" fontId="5" fillId="6" borderId="40" xfId="0" applyFont="1" applyFill="1" applyBorder="1" applyAlignment="1">
      <alignment horizontal="left" vertical="center" wrapText="1"/>
    </xf>
    <xf numFmtId="0" fontId="6" fillId="7" borderId="41" xfId="0" applyFont="1" applyFill="1" applyBorder="1" applyAlignment="1">
      <alignment horizontal="left" vertical="center"/>
    </xf>
    <xf numFmtId="0" fontId="3" fillId="0" borderId="42" xfId="0" applyFont="1" applyBorder="1" applyAlignment="1">
      <alignment horizontal="center" vertical="center" wrapText="1"/>
    </xf>
    <xf numFmtId="0" fontId="4" fillId="8" borderId="43" xfId="0" applyFont="1" applyFill="1" applyBorder="1" applyAlignment="1">
      <alignment horizontal="center" vertical="center" wrapText="1"/>
    </xf>
    <xf numFmtId="0" fontId="4" fillId="0" borderId="44" xfId="0" applyFont="1" applyBorder="1" applyAlignment="1">
      <alignment vertical="center" wrapText="1"/>
    </xf>
    <xf numFmtId="0" fontId="6" fillId="9" borderId="45" xfId="0" applyFont="1" applyFill="1" applyBorder="1" applyAlignment="1">
      <alignment horizontal="left" vertical="center"/>
    </xf>
    <xf numFmtId="0" fontId="4" fillId="10" borderId="46" xfId="0" applyFont="1" applyFill="1" applyBorder="1" applyAlignment="1">
      <alignment horizontal="left" vertical="center" wrapText="1"/>
    </xf>
    <xf numFmtId="176" fontId="4" fillId="0" borderId="47" xfId="0" applyNumberFormat="1" applyFont="1" applyBorder="1" applyAlignment="1">
      <alignment horizontal="left" vertical="center" wrapText="1"/>
    </xf>
    <xf numFmtId="0" fontId="4" fillId="0" borderId="48" xfId="0" applyFont="1" applyBorder="1" applyAlignment="1">
      <alignment horizontal="center" vertical="center" wrapText="1"/>
    </xf>
    <xf numFmtId="0" fontId="4" fillId="11" borderId="49" xfId="0" applyFont="1" applyFill="1" applyBorder="1" applyAlignment="1">
      <alignment vertical="center" wrapText="1"/>
    </xf>
    <xf numFmtId="0" fontId="4" fillId="0" borderId="50" xfId="0" applyFont="1" applyBorder="1" applyAlignment="1">
      <alignment horizontal="left" vertical="center" wrapText="1"/>
    </xf>
    <xf numFmtId="176" fontId="4" fillId="12" borderId="51" xfId="0" applyNumberFormat="1" applyFont="1" applyFill="1" applyBorder="1" applyAlignment="1">
      <alignment vertical="center" wrapText="1"/>
    </xf>
    <xf numFmtId="0" fontId="4" fillId="0" borderId="52" xfId="0" applyFont="1" applyBorder="1" applyAlignment="1">
      <alignment horizontal="left" vertical="center"/>
    </xf>
    <xf numFmtId="0" fontId="3" fillId="0" borderId="53" xfId="0" applyFont="1" applyBorder="1" applyAlignment="1">
      <alignment vertical="center"/>
    </xf>
    <xf numFmtId="0" fontId="3" fillId="13" borderId="54" xfId="0" applyFont="1" applyFill="1" applyBorder="1" applyAlignment="1">
      <alignment horizontal="center" vertical="center"/>
    </xf>
    <xf numFmtId="0" fontId="3" fillId="0" borderId="55" xfId="0" applyFont="1" applyBorder="1" applyAlignment="1">
      <alignment vertical="center"/>
    </xf>
    <xf numFmtId="0" fontId="3" fillId="0" borderId="56" xfId="0" applyFont="1" applyBorder="1" applyAlignment="1">
      <alignment vertical="center"/>
    </xf>
    <xf numFmtId="0" fontId="3" fillId="14" borderId="57" xfId="0" applyFont="1" applyFill="1" applyBorder="1" applyAlignment="1">
      <alignment horizontal="left" vertical="center"/>
    </xf>
    <xf numFmtId="0" fontId="4" fillId="0" borderId="58" xfId="0" applyFont="1" applyBorder="1" applyAlignment="1">
      <alignment horizontal="center" vertical="center" wrapText="1"/>
    </xf>
    <xf numFmtId="0" fontId="3" fillId="0" borderId="59" xfId="0" applyFont="1" applyBorder="1" applyAlignment="1">
      <alignment horizontal="center" vertical="center" wrapText="1"/>
    </xf>
    <xf numFmtId="0" fontId="3" fillId="15" borderId="60" xfId="0" applyFont="1" applyFill="1" applyBorder="1" applyAlignment="1">
      <alignment horizontal="center" vertical="center" wrapText="1"/>
    </xf>
    <xf numFmtId="176" fontId="3" fillId="0" borderId="61" xfId="0" applyNumberFormat="1" applyFont="1" applyBorder="1" applyAlignment="1">
      <alignment vertical="center"/>
    </xf>
    <xf numFmtId="176" fontId="3" fillId="0" borderId="62" xfId="0" applyNumberFormat="1" applyFont="1" applyBorder="1" applyAlignment="1">
      <alignment vertical="center"/>
    </xf>
    <xf numFmtId="176" fontId="3" fillId="16" borderId="63" xfId="0" applyNumberFormat="1" applyFont="1" applyFill="1" applyBorder="1" applyAlignment="1">
      <alignment vertical="center"/>
    </xf>
    <xf numFmtId="0" fontId="4" fillId="17" borderId="64" xfId="0" applyFont="1" applyFill="1" applyBorder="1" applyAlignment="1">
      <alignment horizontal="left" vertical="center"/>
    </xf>
    <xf numFmtId="0" fontId="4" fillId="0" borderId="65" xfId="0" applyFont="1" applyBorder="1" applyAlignment="1">
      <alignment vertical="center"/>
    </xf>
    <xf numFmtId="176" fontId="4" fillId="0" borderId="66" xfId="0" applyNumberFormat="1" applyFont="1" applyBorder="1" applyAlignment="1">
      <alignment vertical="center" wrapText="1"/>
    </xf>
    <xf numFmtId="0" fontId="4" fillId="18" borderId="67" xfId="0" applyFont="1" applyFill="1" applyBorder="1" applyAlignment="1">
      <alignment horizontal="center" vertical="center" wrapText="1"/>
    </xf>
    <xf numFmtId="0" fontId="4" fillId="0" borderId="68" xfId="0" applyFont="1" applyBorder="1" applyAlignment="1">
      <alignment vertical="center" wrapText="1"/>
    </xf>
    <xf numFmtId="0" fontId="3" fillId="0" borderId="69" xfId="0" applyFont="1" applyBorder="1" applyAlignment="1">
      <alignment horizontal="left" vertical="center"/>
    </xf>
    <xf numFmtId="0" fontId="4" fillId="0" borderId="70" xfId="0" applyFont="1" applyBorder="1" applyAlignment="1">
      <alignment vertical="center"/>
    </xf>
    <xf numFmtId="0" fontId="3" fillId="19" borderId="71" xfId="0" applyFont="1" applyFill="1" applyBorder="1" applyAlignment="1">
      <alignment horizontal="left" vertical="center"/>
    </xf>
    <xf numFmtId="0" fontId="3" fillId="20" borderId="72" xfId="0" applyFont="1" applyFill="1" applyBorder="1" applyAlignment="1">
      <alignment horizontal="left" vertical="center"/>
    </xf>
    <xf numFmtId="0" fontId="3" fillId="21" borderId="73" xfId="0" applyFont="1" applyFill="1" applyBorder="1" applyAlignment="1">
      <alignment horizontal="left" vertical="center"/>
    </xf>
    <xf numFmtId="0" fontId="3" fillId="22" borderId="74" xfId="0" applyFont="1" applyFill="1" applyBorder="1" applyAlignment="1">
      <alignment horizontal="left" vertical="center"/>
    </xf>
    <xf numFmtId="176" fontId="3" fillId="23" borderId="75" xfId="0" applyNumberFormat="1" applyFont="1" applyFill="1" applyBorder="1" applyAlignment="1">
      <alignment vertical="center"/>
    </xf>
    <xf numFmtId="0" fontId="3" fillId="24" borderId="76" xfId="0" applyFont="1" applyFill="1" applyBorder="1" applyAlignment="1">
      <alignment horizontal="left" vertical="center"/>
    </xf>
    <xf numFmtId="0" fontId="3" fillId="0" borderId="77" xfId="0" applyFont="1" applyBorder="1" applyAlignment="1">
      <alignment horizontal="left" vertical="center" wrapText="1"/>
    </xf>
    <xf numFmtId="0" fontId="3" fillId="0" borderId="78" xfId="0" applyFont="1" applyBorder="1" applyAlignment="1">
      <alignment vertical="center"/>
    </xf>
    <xf numFmtId="0" fontId="3" fillId="0" borderId="79" xfId="0" applyFont="1" applyBorder="1" applyAlignment="1">
      <alignment horizontal="left" vertical="center"/>
    </xf>
    <xf numFmtId="176" fontId="3" fillId="0" borderId="80" xfId="0" applyNumberFormat="1" applyFont="1" applyBorder="1" applyAlignment="1">
      <alignment horizontal="left" vertical="center"/>
    </xf>
    <xf numFmtId="0" fontId="6" fillId="25" borderId="81" xfId="0" applyFont="1" applyFill="1" applyBorder="1" applyAlignment="1">
      <alignment horizontal="left" vertical="center"/>
    </xf>
    <xf numFmtId="0" fontId="4" fillId="0" borderId="82" xfId="0" applyFont="1" applyBorder="1" applyAlignment="1">
      <alignment vertical="center"/>
    </xf>
    <xf numFmtId="0" fontId="4" fillId="26" borderId="83" xfId="0" applyFont="1" applyFill="1" applyBorder="1" applyAlignment="1">
      <alignment horizontal="center" vertical="center"/>
    </xf>
    <xf numFmtId="0" fontId="4" fillId="27" borderId="84" xfId="0" applyFont="1" applyFill="1" applyBorder="1" applyAlignment="1">
      <alignment horizontal="left" vertical="center"/>
    </xf>
    <xf numFmtId="0" fontId="3" fillId="28" borderId="85" xfId="0" applyFont="1" applyFill="1" applyBorder="1" applyAlignment="1">
      <alignment horizontal="left" vertical="center" wrapText="1"/>
    </xf>
    <xf numFmtId="176" fontId="4" fillId="29" borderId="86" xfId="0" applyNumberFormat="1" applyFont="1" applyFill="1" applyBorder="1" applyAlignment="1">
      <alignment vertical="center"/>
    </xf>
    <xf numFmtId="176" fontId="4" fillId="0" borderId="87" xfId="0" applyNumberFormat="1" applyFont="1" applyBorder="1" applyAlignment="1">
      <alignment horizontal="left" vertical="center"/>
    </xf>
    <xf numFmtId="176" fontId="4" fillId="0" borderId="88" xfId="0" applyNumberFormat="1" applyFont="1" applyBorder="1" applyAlignment="1">
      <alignment vertical="center"/>
    </xf>
    <xf numFmtId="0" fontId="3" fillId="30" borderId="89" xfId="0" applyFont="1" applyFill="1" applyBorder="1" applyAlignment="1">
      <alignment vertical="center"/>
    </xf>
    <xf numFmtId="176" fontId="4" fillId="31" borderId="90" xfId="0" applyNumberFormat="1" applyFont="1" applyFill="1" applyBorder="1" applyAlignment="1">
      <alignment vertical="center"/>
    </xf>
    <xf numFmtId="176" fontId="4" fillId="0" borderId="91" xfId="0" applyNumberFormat="1" applyFont="1" applyBorder="1" applyAlignment="1">
      <alignment vertical="center"/>
    </xf>
    <xf numFmtId="0" fontId="3" fillId="32" borderId="92" xfId="0" applyFont="1" applyFill="1" applyBorder="1" applyAlignment="1">
      <alignment horizontal="left" vertical="center"/>
    </xf>
    <xf numFmtId="0" fontId="4" fillId="0" borderId="93" xfId="0" applyFont="1" applyBorder="1" applyAlignment="1">
      <alignment vertical="center" wrapText="1"/>
    </xf>
    <xf numFmtId="0" fontId="3" fillId="0" borderId="94" xfId="0" applyFont="1" applyBorder="1" applyAlignment="1">
      <alignment vertical="center"/>
    </xf>
    <xf numFmtId="0" fontId="3" fillId="33" borderId="95" xfId="0" applyFont="1" applyFill="1" applyBorder="1" applyAlignment="1">
      <alignment horizontal="left" vertical="center"/>
    </xf>
    <xf numFmtId="0" fontId="4" fillId="34" borderId="96" xfId="0" applyFont="1" applyFill="1" applyBorder="1" applyAlignment="1">
      <alignment horizontal="left" vertical="center" wrapText="1"/>
    </xf>
    <xf numFmtId="0" fontId="4" fillId="0" borderId="97" xfId="0" applyFont="1" applyBorder="1" applyAlignment="1">
      <alignment horizontal="center" vertical="center"/>
    </xf>
    <xf numFmtId="0" fontId="6" fillId="35" borderId="98" xfId="0" applyFont="1" applyFill="1" applyBorder="1" applyAlignment="1">
      <alignment horizontal="left" vertical="center" wrapText="1"/>
    </xf>
    <xf numFmtId="176" fontId="5" fillId="36" borderId="99" xfId="0" applyNumberFormat="1" applyFont="1" applyFill="1" applyBorder="1" applyAlignment="1">
      <alignment vertical="center"/>
    </xf>
    <xf numFmtId="0" fontId="7" fillId="0" borderId="100" xfId="0" applyFont="1" applyBorder="1" applyAlignment="1">
      <alignment vertical="center"/>
    </xf>
    <xf numFmtId="0" fontId="3" fillId="37" borderId="101" xfId="0" applyFont="1" applyFill="1" applyBorder="1" applyAlignment="1">
      <alignment horizontal="center" vertical="center" wrapText="1"/>
    </xf>
    <xf numFmtId="0" fontId="4" fillId="38" borderId="102" xfId="0" applyFont="1" applyFill="1" applyBorder="1" applyAlignment="1">
      <alignment horizontal="center" vertical="center" wrapText="1"/>
    </xf>
    <xf numFmtId="176" fontId="4" fillId="39" borderId="103" xfId="0" applyNumberFormat="1" applyFont="1" applyFill="1" applyBorder="1" applyAlignment="1">
      <alignment vertical="center" wrapText="1"/>
    </xf>
    <xf numFmtId="176" fontId="5" fillId="0" borderId="104" xfId="0" applyNumberFormat="1" applyFont="1" applyBorder="1" applyAlignment="1">
      <alignment horizontal="left" vertical="center"/>
    </xf>
    <xf numFmtId="176" fontId="4" fillId="0" borderId="105" xfId="0" applyNumberFormat="1" applyFont="1" applyBorder="1" applyAlignment="1">
      <alignment vertical="center"/>
    </xf>
    <xf numFmtId="0" fontId="3" fillId="40" borderId="106" xfId="0" applyFont="1" applyFill="1" applyBorder="1" applyAlignment="1">
      <alignment horizontal="left" vertical="center"/>
    </xf>
    <xf numFmtId="0" fontId="3" fillId="0" borderId="107" xfId="0" applyFont="1" applyBorder="1" applyAlignment="1">
      <alignment horizontal="left" vertical="center"/>
    </xf>
    <xf numFmtId="176" fontId="6" fillId="41" borderId="108" xfId="0" applyNumberFormat="1" applyFont="1" applyFill="1" applyBorder="1" applyAlignment="1">
      <alignment vertical="center"/>
    </xf>
    <xf numFmtId="0" fontId="3" fillId="0" borderId="109" xfId="0" applyFont="1" applyBorder="1" applyAlignment="1">
      <alignment horizontal="left" vertical="center"/>
    </xf>
    <xf numFmtId="0" fontId="5" fillId="0" borderId="110" xfId="0" applyFont="1" applyBorder="1" applyAlignment="1">
      <alignment vertical="center"/>
    </xf>
    <xf numFmtId="0" fontId="3" fillId="42" borderId="111" xfId="0" applyFont="1" applyFill="1" applyBorder="1" applyAlignment="1">
      <alignment horizontal="left" vertical="center"/>
    </xf>
    <xf numFmtId="0" fontId="4" fillId="43" borderId="112" xfId="0" applyFont="1" applyFill="1" applyBorder="1" applyAlignment="1">
      <alignment vertical="center" wrapText="1"/>
    </xf>
    <xf numFmtId="0" fontId="3" fillId="0" borderId="113" xfId="0" applyFont="1" applyBorder="1" applyAlignment="1">
      <alignment vertical="center"/>
    </xf>
    <xf numFmtId="0" fontId="3" fillId="0" borderId="114" xfId="0" applyFont="1" applyBorder="1" applyAlignment="1">
      <alignment horizontal="left" vertical="center"/>
    </xf>
    <xf numFmtId="176" fontId="3" fillId="44" borderId="115" xfId="0" applyNumberFormat="1" applyFont="1" applyFill="1" applyBorder="1" applyAlignment="1">
      <alignment vertical="center"/>
    </xf>
    <xf numFmtId="0" fontId="3" fillId="45" borderId="116" xfId="0" applyFont="1" applyFill="1" applyBorder="1" applyAlignment="1">
      <alignment horizontal="left" vertical="center"/>
    </xf>
    <xf numFmtId="0" fontId="3" fillId="0" borderId="117" xfId="0" applyFont="1" applyBorder="1" applyAlignment="1">
      <alignment vertical="center"/>
    </xf>
    <xf numFmtId="0" fontId="4" fillId="0" borderId="118" xfId="0" applyFont="1" applyBorder="1" applyAlignment="1">
      <alignment horizontal="left" vertical="center" wrapText="1"/>
    </xf>
    <xf numFmtId="0" fontId="4" fillId="46" borderId="119" xfId="0" applyFont="1" applyFill="1" applyBorder="1" applyAlignment="1">
      <alignment horizontal="left" vertical="center"/>
    </xf>
    <xf numFmtId="0" fontId="3" fillId="47" borderId="120" xfId="0" applyFont="1" applyFill="1" applyBorder="1" applyAlignment="1">
      <alignment horizontal="center" vertical="center" wrapText="1"/>
    </xf>
    <xf numFmtId="0" fontId="4" fillId="0" borderId="121" xfId="0" applyFont="1" applyBorder="1" applyAlignment="1">
      <alignment horizontal="left" vertical="center"/>
    </xf>
    <xf numFmtId="0" fontId="3" fillId="48" borderId="122" xfId="0" applyFont="1" applyFill="1" applyBorder="1" applyAlignment="1">
      <alignment horizontal="left" vertical="center" wrapText="1"/>
    </xf>
    <xf numFmtId="176" fontId="3" fillId="0" borderId="123" xfId="0" applyNumberFormat="1" applyFont="1" applyBorder="1" applyAlignment="1">
      <alignment vertical="center" wrapText="1"/>
    </xf>
    <xf numFmtId="176" fontId="3" fillId="49" borderId="124" xfId="0" applyNumberFormat="1" applyFont="1" applyFill="1" applyBorder="1" applyAlignment="1">
      <alignment vertical="center"/>
    </xf>
    <xf numFmtId="0" fontId="5" fillId="0" borderId="125" xfId="0" applyFont="1" applyBorder="1" applyAlignment="1">
      <alignment vertical="center" wrapText="1"/>
    </xf>
    <xf numFmtId="0" fontId="4" fillId="50" borderId="126" xfId="0" applyFont="1" applyFill="1" applyBorder="1" applyAlignment="1">
      <alignment horizontal="left" vertical="center" wrapText="1"/>
    </xf>
    <xf numFmtId="0" fontId="4" fillId="0" borderId="127" xfId="0" applyFont="1" applyBorder="1" applyAlignment="1">
      <alignment horizontal="center" vertical="center"/>
    </xf>
    <xf numFmtId="0" fontId="4" fillId="51" borderId="128" xfId="0" applyFont="1" applyFill="1" applyBorder="1" applyAlignment="1">
      <alignment horizontal="left" vertical="center"/>
    </xf>
    <xf numFmtId="0" fontId="4" fillId="0" borderId="129" xfId="0" applyFont="1" applyBorder="1" applyAlignment="1">
      <alignment horizontal="left" vertical="center"/>
    </xf>
    <xf numFmtId="0" fontId="4" fillId="52" borderId="130" xfId="0" applyFont="1" applyFill="1" applyBorder="1" applyAlignment="1">
      <alignment horizontal="left" vertical="center"/>
    </xf>
    <xf numFmtId="0" fontId="4" fillId="53" borderId="131" xfId="0" applyFont="1" applyFill="1" applyBorder="1" applyAlignment="1">
      <alignment vertical="center"/>
    </xf>
    <xf numFmtId="0" fontId="4" fillId="54" borderId="132" xfId="0" applyFont="1" applyFill="1" applyBorder="1" applyAlignment="1">
      <alignment horizontal="left" vertical="center"/>
    </xf>
    <xf numFmtId="176" fontId="4" fillId="55" borderId="133" xfId="0" applyNumberFormat="1" applyFont="1" applyFill="1" applyBorder="1" applyAlignment="1">
      <alignment vertical="center" wrapText="1"/>
    </xf>
    <xf numFmtId="0" fontId="6" fillId="56" borderId="134" xfId="0" applyFont="1" applyFill="1" applyBorder="1" applyAlignment="1">
      <alignment horizontal="left" vertical="center" wrapText="1"/>
    </xf>
    <xf numFmtId="0" fontId="4" fillId="0" borderId="135" xfId="0" applyFont="1" applyBorder="1" applyAlignment="1">
      <alignment vertical="center"/>
    </xf>
    <xf numFmtId="0" fontId="8" fillId="57" borderId="136" xfId="0" applyFont="1" applyFill="1" applyBorder="1" applyAlignment="1">
      <alignment horizontal="left" vertical="center" wrapText="1"/>
    </xf>
    <xf numFmtId="0" fontId="8" fillId="58" borderId="137" xfId="0" applyFont="1" applyFill="1" applyBorder="1" applyAlignment="1">
      <alignment horizontal="center" vertical="center" wrapText="1"/>
    </xf>
    <xf numFmtId="0" fontId="8" fillId="59" borderId="138" xfId="0" applyFont="1" applyFill="1" applyBorder="1" applyAlignment="1">
      <alignment horizontal="center" vertical="center" wrapText="1"/>
    </xf>
    <xf numFmtId="0" fontId="8" fillId="60" borderId="139" xfId="0" applyFont="1" applyFill="1" applyBorder="1" applyAlignment="1">
      <alignment horizontal="center" vertical="center" wrapText="1"/>
    </xf>
    <xf numFmtId="0" fontId="8" fillId="61" borderId="140" xfId="0" applyFont="1" applyFill="1" applyBorder="1" applyAlignment="1">
      <alignment vertical="center" wrapText="1"/>
    </xf>
    <xf numFmtId="0" fontId="3" fillId="62" borderId="141" xfId="0" applyFont="1" applyFill="1" applyBorder="1" applyAlignment="1">
      <alignment horizontal="left" vertical="center" wrapText="1"/>
    </xf>
    <xf numFmtId="0" fontId="3" fillId="0" borderId="142" xfId="0" applyFont="1" applyBorder="1" applyAlignment="1">
      <alignment vertical="center" wrapText="1"/>
    </xf>
    <xf numFmtId="0" fontId="3" fillId="0" borderId="143" xfId="0" applyFont="1" applyBorder="1" applyAlignment="1">
      <alignment vertical="center" wrapText="1"/>
    </xf>
    <xf numFmtId="177" fontId="3" fillId="0" borderId="144" xfId="0" applyNumberFormat="1" applyFont="1" applyBorder="1" applyAlignment="1">
      <alignment horizontal="center" vertical="center" wrapText="1"/>
    </xf>
    <xf numFmtId="177" fontId="3" fillId="0" borderId="145" xfId="0" applyNumberFormat="1" applyFont="1" applyBorder="1" applyAlignment="1">
      <alignment horizontal="left" vertical="center" wrapText="1"/>
    </xf>
    <xf numFmtId="177" fontId="9" fillId="63" borderId="146" xfId="0" applyNumberFormat="1" applyFont="1" applyFill="1" applyBorder="1" applyAlignment="1">
      <alignment horizontal="left" vertical="center" wrapText="1"/>
    </xf>
    <xf numFmtId="0" fontId="3" fillId="0" borderId="147" xfId="0" applyFont="1" applyBorder="1" applyAlignment="1">
      <alignment vertical="top" wrapText="1"/>
    </xf>
    <xf numFmtId="177" fontId="3" fillId="0" borderId="148" xfId="0" applyNumberFormat="1" applyFont="1" applyBorder="1" applyAlignment="1">
      <alignment horizontal="left" vertical="top" wrapText="1"/>
    </xf>
    <xf numFmtId="177" fontId="4" fillId="0" borderId="149" xfId="0" applyNumberFormat="1" applyFont="1" applyBorder="1" applyAlignment="1">
      <alignment vertical="top" wrapText="1"/>
    </xf>
    <xf numFmtId="177" fontId="4" fillId="0" borderId="150" xfId="0" applyNumberFormat="1" applyFont="1" applyBorder="1" applyAlignment="1">
      <alignment horizontal="left" vertical="center" wrapText="1"/>
    </xf>
    <xf numFmtId="177" fontId="4" fillId="0" borderId="151" xfId="0" applyNumberFormat="1" applyFont="1" applyBorder="1" applyAlignment="1">
      <alignment vertical="center" wrapText="1"/>
    </xf>
    <xf numFmtId="177" fontId="4" fillId="0" borderId="152" xfId="0" applyNumberFormat="1" applyFont="1" applyBorder="1" applyAlignment="1">
      <alignment horizontal="left" vertical="top" wrapText="1"/>
    </xf>
    <xf numFmtId="0" fontId="4" fillId="0" borderId="153" xfId="0" applyFont="1" applyBorder="1" applyAlignment="1">
      <alignment horizontal="left" vertical="top" wrapText="1"/>
    </xf>
    <xf numFmtId="0" fontId="4" fillId="64" borderId="154" xfId="0" applyFont="1" applyFill="1" applyBorder="1" applyAlignment="1">
      <alignment horizontal="left" vertical="center" wrapText="1"/>
    </xf>
    <xf numFmtId="0" fontId="4" fillId="0" borderId="155" xfId="0" applyFont="1" applyBorder="1" applyAlignment="1">
      <alignment vertical="top" wrapText="1"/>
    </xf>
    <xf numFmtId="177" fontId="4" fillId="0" borderId="156" xfId="0" applyNumberFormat="1" applyFont="1" applyBorder="1" applyAlignment="1">
      <alignment horizontal="center" vertical="center" wrapText="1"/>
    </xf>
    <xf numFmtId="0" fontId="2" fillId="0" borderId="157" xfId="0" applyFont="1" applyBorder="1" applyAlignment="1">
      <alignment vertical="center" wrapText="1"/>
    </xf>
    <xf numFmtId="177" fontId="7" fillId="0" borderId="158" xfId="0" applyNumberFormat="1" applyFont="1" applyBorder="1" applyAlignment="1">
      <alignment horizontal="left" vertical="center" wrapText="1"/>
    </xf>
    <xf numFmtId="0" fontId="7" fillId="0" borderId="159" xfId="0" applyFont="1" applyBorder="1" applyAlignment="1">
      <alignment vertical="center" wrapText="1"/>
    </xf>
    <xf numFmtId="177" fontId="9" fillId="0" borderId="160" xfId="0" applyNumberFormat="1" applyFont="1" applyBorder="1" applyAlignment="1">
      <alignment horizontal="left" vertical="center" wrapText="1"/>
    </xf>
    <xf numFmtId="177" fontId="4" fillId="0" borderId="161" xfId="0" applyNumberFormat="1" applyFont="1" applyBorder="1" applyAlignment="1">
      <alignment vertical="center"/>
    </xf>
    <xf numFmtId="177" fontId="4" fillId="0" borderId="162" xfId="0" applyNumberFormat="1" applyFont="1" applyBorder="1" applyAlignment="1">
      <alignment horizontal="left" vertical="center" wrapText="1"/>
    </xf>
    <xf numFmtId="0" fontId="3" fillId="65" borderId="163" xfId="0" applyFont="1" applyFill="1" applyBorder="1" applyAlignment="1">
      <alignment horizontal="left" vertical="center" wrapText="1"/>
    </xf>
    <xf numFmtId="0" fontId="4" fillId="0" borderId="164" xfId="0" applyFont="1" applyBorder="1" applyAlignment="1">
      <alignment horizontal="left" vertical="center" wrapText="1"/>
    </xf>
    <xf numFmtId="177" fontId="4" fillId="0" borderId="165" xfId="0" applyNumberFormat="1" applyFont="1" applyBorder="1" applyAlignment="1">
      <alignment vertical="center"/>
    </xf>
    <xf numFmtId="0" fontId="10" fillId="0" borderId="166" xfId="0" applyFont="1" applyBorder="1" applyAlignment="1">
      <alignment horizontal="left" vertical="center" wrapText="1"/>
    </xf>
    <xf numFmtId="177" fontId="4" fillId="0" borderId="167" xfId="0" applyNumberFormat="1" applyFont="1" applyBorder="1" applyAlignment="1">
      <alignment vertical="center"/>
    </xf>
    <xf numFmtId="177" fontId="3" fillId="0" borderId="168" xfId="0" applyNumberFormat="1" applyFont="1" applyBorder="1" applyAlignment="1">
      <alignment horizontal="left" vertical="center" wrapText="1"/>
    </xf>
    <xf numFmtId="177" fontId="9" fillId="66" borderId="169" xfId="0" applyNumberFormat="1" applyFont="1" applyFill="1" applyBorder="1" applyAlignment="1">
      <alignment horizontal="left" vertical="center" wrapText="1"/>
    </xf>
    <xf numFmtId="177" fontId="4" fillId="0" borderId="170" xfId="0" applyNumberFormat="1" applyFont="1" applyBorder="1" applyAlignment="1">
      <alignment horizontal="left" vertical="center" wrapText="1"/>
    </xf>
    <xf numFmtId="177" fontId="10" fillId="0" borderId="171" xfId="0" applyNumberFormat="1" applyFont="1" applyBorder="1" applyAlignment="1">
      <alignment horizontal="left" vertical="center" wrapText="1"/>
    </xf>
    <xf numFmtId="0" fontId="11" fillId="0" borderId="172" xfId="0" applyFont="1" applyBorder="1" applyAlignment="1">
      <alignment vertical="center" wrapText="1"/>
    </xf>
    <xf numFmtId="0" fontId="3" fillId="0" borderId="173" xfId="0" applyFont="1" applyBorder="1" applyAlignment="1">
      <alignment horizontal="center" vertical="center"/>
    </xf>
    <xf numFmtId="0" fontId="3" fillId="0" borderId="174" xfId="0" applyFont="1" applyBorder="1" applyAlignment="1">
      <alignment vertical="top"/>
    </xf>
    <xf numFmtId="0" fontId="10" fillId="0" borderId="175" xfId="0" applyFont="1" applyBorder="1" applyAlignment="1">
      <alignment vertical="center" wrapText="1"/>
    </xf>
    <xf numFmtId="0" fontId="12" fillId="0" borderId="176" xfId="0" applyFont="1" applyBorder="1" applyAlignment="1">
      <alignment vertical="center" wrapText="1"/>
    </xf>
    <xf numFmtId="0" fontId="4" fillId="0" borderId="177" xfId="0" applyFont="1" applyBorder="1" applyAlignment="1">
      <alignment vertical="top" wrapText="1"/>
    </xf>
    <xf numFmtId="0" fontId="3" fillId="0" borderId="178" xfId="0" applyFont="1" applyBorder="1" applyAlignment="1">
      <alignment vertical="center" wrapText="1"/>
    </xf>
    <xf numFmtId="0" fontId="4" fillId="0" borderId="179" xfId="0" applyFont="1" applyBorder="1" applyAlignment="1">
      <alignment vertical="center" wrapText="1"/>
    </xf>
    <xf numFmtId="0" fontId="4" fillId="0" borderId="180" xfId="0" applyFont="1" applyBorder="1" applyAlignment="1">
      <alignment horizontal="center" vertical="center" wrapText="1"/>
    </xf>
    <xf numFmtId="177" fontId="4" fillId="67" borderId="181" xfId="0" applyNumberFormat="1" applyFont="1" applyFill="1" applyBorder="1" applyAlignment="1">
      <alignment vertical="center" wrapText="1"/>
    </xf>
    <xf numFmtId="177" fontId="3" fillId="68" borderId="182" xfId="0" applyNumberFormat="1" applyFont="1" applyFill="1" applyBorder="1" applyAlignment="1">
      <alignment horizontal="left" vertical="center" wrapText="1"/>
    </xf>
    <xf numFmtId="177" fontId="4" fillId="69" borderId="183" xfId="0" applyNumberFormat="1" applyFont="1" applyFill="1" applyBorder="1" applyAlignment="1">
      <alignment horizontal="left" vertical="center" wrapText="1"/>
    </xf>
    <xf numFmtId="176" fontId="3" fillId="0" borderId="184" xfId="0" applyNumberFormat="1" applyFont="1" applyBorder="1" applyAlignment="1">
      <alignment horizontal="left" vertical="center" wrapText="1"/>
    </xf>
    <xf numFmtId="177" fontId="7" fillId="0" borderId="185" xfId="0" applyNumberFormat="1" applyFont="1" applyBorder="1" applyAlignment="1">
      <alignment vertical="top" wrapText="1"/>
    </xf>
    <xf numFmtId="177" fontId="3" fillId="70" borderId="186" xfId="0" applyNumberFormat="1" applyFont="1" applyFill="1" applyBorder="1" applyAlignment="1">
      <alignment horizontal="left" vertical="top" wrapText="1"/>
    </xf>
    <xf numFmtId="177" fontId="4" fillId="71" borderId="187" xfId="0" applyNumberFormat="1" applyFont="1" applyFill="1" applyBorder="1" applyAlignment="1">
      <alignment vertical="top" wrapText="1"/>
    </xf>
    <xf numFmtId="177" fontId="4" fillId="0" borderId="188" xfId="0" applyNumberFormat="1" applyFont="1" applyBorder="1" applyAlignment="1">
      <alignment horizontal="left" vertical="center" wrapText="1"/>
    </xf>
    <xf numFmtId="177" fontId="9" fillId="72" borderId="189" xfId="0" applyNumberFormat="1" applyFont="1" applyFill="1" applyBorder="1" applyAlignment="1">
      <alignment horizontal="left" vertical="center" wrapText="1"/>
    </xf>
    <xf numFmtId="177" fontId="3" fillId="73" borderId="190" xfId="0" applyNumberFormat="1" applyFont="1" applyFill="1" applyBorder="1" applyAlignment="1">
      <alignment horizontal="center" vertical="center" wrapText="1"/>
    </xf>
    <xf numFmtId="0" fontId="13" fillId="0" borderId="191" xfId="0" applyFont="1" applyBorder="1" applyAlignment="1">
      <alignment horizontal="left" vertical="center" wrapText="1"/>
    </xf>
    <xf numFmtId="0" fontId="13" fillId="0" borderId="192" xfId="0" applyFont="1" applyBorder="1" applyAlignment="1">
      <alignment horizontal="center" vertical="center" wrapText="1"/>
    </xf>
    <xf numFmtId="0" fontId="4" fillId="74" borderId="193" xfId="0" applyFont="1" applyFill="1" applyBorder="1" applyAlignment="1">
      <alignment vertical="top" wrapText="1"/>
    </xf>
    <xf numFmtId="0" fontId="3" fillId="0" borderId="194" xfId="0" applyFont="1" applyBorder="1" applyAlignment="1">
      <alignment vertical="center"/>
    </xf>
    <xf numFmtId="177" fontId="4" fillId="0" borderId="195" xfId="0" applyNumberFormat="1" applyFont="1" applyBorder="1" applyAlignment="1">
      <alignment vertical="center"/>
    </xf>
    <xf numFmtId="0" fontId="4" fillId="75" borderId="196" xfId="0" applyFont="1" applyFill="1" applyBorder="1" applyAlignment="1">
      <alignment horizontal="left" vertical="center" wrapText="1"/>
    </xf>
    <xf numFmtId="0" fontId="3" fillId="76" borderId="197" xfId="0" applyFont="1" applyFill="1" applyBorder="1" applyAlignment="1">
      <alignment vertical="top" wrapText="1"/>
    </xf>
    <xf numFmtId="177" fontId="7" fillId="0" borderId="198" xfId="0" applyNumberFormat="1" applyFont="1" applyBorder="1" applyAlignment="1">
      <alignment vertical="center"/>
    </xf>
    <xf numFmtId="177" fontId="10" fillId="0" borderId="199" xfId="0" applyNumberFormat="1" applyFont="1" applyBorder="1" applyAlignment="1">
      <alignment vertical="center" wrapText="1"/>
    </xf>
    <xf numFmtId="177" fontId="3" fillId="77" borderId="200" xfId="0" applyNumberFormat="1" applyFont="1" applyFill="1" applyBorder="1" applyAlignment="1">
      <alignment horizontal="left" vertical="center" wrapText="1"/>
    </xf>
    <xf numFmtId="177" fontId="11" fillId="0" borderId="201" xfId="0" applyNumberFormat="1" applyFont="1" applyBorder="1" applyAlignment="1">
      <alignment vertical="top" wrapText="1"/>
    </xf>
    <xf numFmtId="177" fontId="12" fillId="0" borderId="202" xfId="0" applyNumberFormat="1" applyFont="1" applyBorder="1" applyAlignment="1">
      <alignment horizontal="left" vertical="center" wrapText="1"/>
    </xf>
    <xf numFmtId="176" fontId="3" fillId="78" borderId="203" xfId="0" applyNumberFormat="1" applyFont="1" applyFill="1" applyBorder="1" applyAlignment="1">
      <alignment horizontal="left" vertical="center" wrapText="1"/>
    </xf>
    <xf numFmtId="0" fontId="4" fillId="79" borderId="204" xfId="0" applyFont="1" applyFill="1" applyBorder="1" applyAlignment="1">
      <alignment horizontal="center" vertical="center" wrapText="1"/>
    </xf>
    <xf numFmtId="176" fontId="3" fillId="80" borderId="205" xfId="0" applyNumberFormat="1" applyFont="1" applyFill="1" applyBorder="1" applyAlignment="1">
      <alignment horizontal="left" vertical="center"/>
    </xf>
    <xf numFmtId="177" fontId="4" fillId="81" borderId="206" xfId="0" applyNumberFormat="1" applyFont="1" applyFill="1" applyBorder="1" applyAlignment="1">
      <alignment vertical="center"/>
    </xf>
    <xf numFmtId="177" fontId="4" fillId="82" borderId="207" xfId="0" applyNumberFormat="1" applyFont="1" applyFill="1" applyBorder="1" applyAlignment="1">
      <alignment horizontal="center" vertical="center" wrapText="1"/>
    </xf>
    <xf numFmtId="0" fontId="2" fillId="0" borderId="208" xfId="0" applyFont="1" applyBorder="1" applyAlignment="1">
      <alignment vertical="center" wrapText="1"/>
    </xf>
    <xf numFmtId="0" fontId="4" fillId="0" borderId="209" xfId="0" applyFont="1" applyBorder="1" applyAlignment="1">
      <alignment vertical="top" wrapText="1"/>
    </xf>
    <xf numFmtId="0" fontId="4" fillId="0" borderId="210" xfId="0" applyFont="1" applyBorder="1" applyAlignment="1">
      <alignment vertical="center" wrapText="1"/>
    </xf>
    <xf numFmtId="177" fontId="9" fillId="83" borderId="211" xfId="0" applyNumberFormat="1" applyFont="1" applyFill="1" applyBorder="1" applyAlignment="1">
      <alignment horizontal="left" vertical="center" wrapText="1"/>
    </xf>
    <xf numFmtId="177" fontId="9" fillId="0" borderId="212" xfId="0" applyNumberFormat="1" applyFont="1" applyBorder="1" applyAlignment="1">
      <alignment horizontal="left" vertical="center" wrapText="1"/>
    </xf>
    <xf numFmtId="177" fontId="4" fillId="0" borderId="213" xfId="0" applyNumberFormat="1" applyFont="1" applyBorder="1" applyAlignment="1">
      <alignment horizontal="left" vertical="center" wrapText="1"/>
    </xf>
    <xf numFmtId="0" fontId="4" fillId="0" borderId="214" xfId="0" applyFont="1" applyBorder="1" applyAlignment="1">
      <alignment horizontal="center" vertical="center" wrapText="1"/>
    </xf>
    <xf numFmtId="0" fontId="3" fillId="84" borderId="215" xfId="0" applyFont="1" applyFill="1" applyBorder="1" applyAlignment="1">
      <alignment horizontal="center" vertical="center" wrapText="1"/>
    </xf>
    <xf numFmtId="177" fontId="4" fillId="0" borderId="216" xfId="0" applyNumberFormat="1" applyFont="1" applyBorder="1" applyAlignment="1">
      <alignment vertical="center" wrapText="1"/>
    </xf>
    <xf numFmtId="177" fontId="4" fillId="85" borderId="217" xfId="0" applyNumberFormat="1" applyFont="1" applyFill="1" applyBorder="1" applyAlignment="1">
      <alignment horizontal="left" wrapText="1"/>
    </xf>
    <xf numFmtId="177" fontId="3" fillId="0" borderId="218" xfId="0" applyNumberFormat="1" applyFont="1" applyBorder="1" applyAlignment="1">
      <alignment horizontal="left" vertical="center" wrapText="1"/>
    </xf>
    <xf numFmtId="177" fontId="3" fillId="86" borderId="219" xfId="0" applyNumberFormat="1" applyFont="1" applyFill="1" applyBorder="1" applyAlignment="1">
      <alignment horizontal="left" vertical="center" wrapText="1"/>
    </xf>
    <xf numFmtId="177" fontId="12" fillId="87" borderId="220" xfId="0" applyNumberFormat="1" applyFont="1" applyFill="1" applyBorder="1" applyAlignment="1">
      <alignment horizontal="left" vertical="center" wrapText="1"/>
    </xf>
    <xf numFmtId="177" fontId="12" fillId="88" borderId="221" xfId="0" applyNumberFormat="1" applyFont="1" applyFill="1" applyBorder="1" applyAlignment="1">
      <alignment horizontal="center" vertical="center" wrapText="1"/>
    </xf>
    <xf numFmtId="177" fontId="12" fillId="89" borderId="222" xfId="0" applyNumberFormat="1" applyFont="1" applyFill="1" applyBorder="1" applyAlignment="1">
      <alignment horizontal="left" vertical="top" wrapText="1"/>
    </xf>
    <xf numFmtId="177" fontId="10" fillId="90" borderId="223" xfId="0" applyNumberFormat="1" applyFont="1" applyFill="1" applyBorder="1" applyAlignment="1">
      <alignment vertical="center" wrapText="1"/>
    </xf>
    <xf numFmtId="0" fontId="12" fillId="91" borderId="224" xfId="0" applyFont="1" applyFill="1" applyBorder="1" applyAlignment="1">
      <alignment horizontal="left" vertical="center" wrapText="1"/>
    </xf>
    <xf numFmtId="177" fontId="4" fillId="0" borderId="225" xfId="0" applyNumberFormat="1" applyFont="1" applyBorder="1" applyAlignment="1">
      <alignment vertical="center" wrapText="1"/>
    </xf>
    <xf numFmtId="0" fontId="3" fillId="0" borderId="226" xfId="0" applyFont="1" applyBorder="1" applyAlignment="1">
      <alignment vertical="top"/>
    </xf>
    <xf numFmtId="0" fontId="3" fillId="0" borderId="227" xfId="0" applyFont="1" applyBorder="1" applyAlignment="1">
      <alignment horizontal="center" vertical="center"/>
    </xf>
    <xf numFmtId="0" fontId="4" fillId="0" borderId="228" xfId="0" applyFont="1" applyBorder="1" applyAlignment="1">
      <alignment vertical="center"/>
    </xf>
    <xf numFmtId="0" fontId="7" fillId="0" borderId="229" xfId="0" applyFont="1" applyBorder="1" applyAlignment="1">
      <alignment vertical="center"/>
    </xf>
    <xf numFmtId="0" fontId="9" fillId="0" borderId="230" xfId="0" applyFont="1" applyBorder="1" applyAlignment="1">
      <alignment horizontal="left" vertical="center" wrapText="1"/>
    </xf>
    <xf numFmtId="176" fontId="7" fillId="0" borderId="231" xfId="0" applyNumberFormat="1" applyFont="1" applyBorder="1" applyAlignment="1">
      <alignment vertical="center" wrapText="1"/>
    </xf>
    <xf numFmtId="0" fontId="12" fillId="92" borderId="232" xfId="0" applyFont="1" applyFill="1" applyBorder="1" applyAlignment="1">
      <alignment horizontal="center" vertical="center" wrapText="1"/>
    </xf>
    <xf numFmtId="0" fontId="12" fillId="93" borderId="233" xfId="0" applyFont="1" applyFill="1" applyBorder="1" applyAlignment="1">
      <alignment horizontal="center" vertical="center" wrapText="1"/>
    </xf>
    <xf numFmtId="0" fontId="12" fillId="94" borderId="234" xfId="0" applyFont="1" applyFill="1" applyBorder="1" applyAlignment="1">
      <alignment horizontal="left" vertical="center" wrapText="1"/>
    </xf>
    <xf numFmtId="0" fontId="12" fillId="95" borderId="235" xfId="0" applyFont="1" applyFill="1" applyBorder="1" applyAlignment="1">
      <alignment horizontal="center" vertical="center" wrapText="1"/>
    </xf>
    <xf numFmtId="176" fontId="4" fillId="0" borderId="236" xfId="0" applyNumberFormat="1" applyFont="1" applyBorder="1" applyAlignment="1">
      <alignment horizontal="left" vertical="center" wrapText="1"/>
    </xf>
    <xf numFmtId="177" fontId="7" fillId="0" borderId="237" xfId="0" applyNumberFormat="1" applyFont="1" applyBorder="1" applyAlignment="1">
      <alignment vertical="center" wrapText="1"/>
    </xf>
    <xf numFmtId="0" fontId="7" fillId="0" borderId="238" xfId="0" applyFont="1" applyBorder="1" applyAlignment="1">
      <alignment vertical="center" wrapText="1"/>
    </xf>
    <xf numFmtId="177" fontId="14" fillId="0" borderId="239" xfId="0" applyNumberFormat="1" applyFont="1" applyBorder="1" applyAlignment="1">
      <alignment vertical="center" wrapText="1"/>
    </xf>
    <xf numFmtId="176" fontId="7" fillId="0" borderId="240" xfId="0" applyNumberFormat="1" applyFont="1" applyBorder="1" applyAlignment="1">
      <alignment vertical="center"/>
    </xf>
    <xf numFmtId="177" fontId="7" fillId="96" borderId="241" xfId="0" applyNumberFormat="1" applyFont="1" applyFill="1" applyBorder="1" applyAlignment="1">
      <alignment vertical="top" wrapText="1"/>
    </xf>
    <xf numFmtId="0" fontId="7" fillId="97" borderId="242" xfId="0" applyFont="1" applyFill="1" applyBorder="1" applyAlignment="1">
      <alignment vertical="center" wrapText="1"/>
    </xf>
    <xf numFmtId="177" fontId="7" fillId="0" borderId="243" xfId="0" applyNumberFormat="1" applyFont="1" applyBorder="1" applyAlignment="1">
      <alignment vertical="center" wrapText="1"/>
    </xf>
    <xf numFmtId="177" fontId="15" fillId="98" borderId="244" xfId="0" applyNumberFormat="1" applyFont="1" applyFill="1" applyBorder="1" applyAlignment="1">
      <alignment vertical="center" wrapText="1"/>
    </xf>
    <xf numFmtId="177" fontId="12" fillId="99" borderId="245" xfId="0" applyNumberFormat="1" applyFont="1" applyFill="1" applyBorder="1" applyAlignment="1">
      <alignment horizontal="left" vertical="center" wrapText="1"/>
    </xf>
    <xf numFmtId="0" fontId="12" fillId="100" borderId="246" xfId="0" applyFont="1" applyFill="1" applyBorder="1" applyAlignment="1">
      <alignment horizontal="left" vertical="center" wrapText="1"/>
    </xf>
    <xf numFmtId="177" fontId="12" fillId="101" borderId="247" xfId="0" applyNumberFormat="1" applyFont="1" applyFill="1" applyBorder="1" applyAlignment="1">
      <alignment horizontal="left" vertical="center"/>
    </xf>
    <xf numFmtId="177" fontId="12" fillId="102" borderId="248" xfId="0" applyNumberFormat="1" applyFont="1" applyFill="1" applyBorder="1" applyAlignment="1">
      <alignment horizontal="left" vertical="top" wrapText="1"/>
    </xf>
    <xf numFmtId="177" fontId="12" fillId="103" borderId="249" xfId="0" applyNumberFormat="1" applyFont="1" applyFill="1" applyBorder="1" applyAlignment="1">
      <alignment horizontal="center" vertical="center" wrapText="1"/>
    </xf>
    <xf numFmtId="177" fontId="7" fillId="104" borderId="250" xfId="0" applyNumberFormat="1" applyFont="1" applyFill="1" applyBorder="1" applyAlignment="1">
      <alignment vertical="center" wrapText="1"/>
    </xf>
    <xf numFmtId="0" fontId="3" fillId="105" borderId="251" xfId="0" applyFont="1" applyFill="1" applyBorder="1" applyAlignment="1">
      <alignment horizontal="left" vertical="center" wrapText="1"/>
    </xf>
    <xf numFmtId="0" fontId="8" fillId="106" borderId="252" xfId="0" applyFont="1" applyFill="1" applyBorder="1" applyAlignment="1">
      <alignment horizontal="center" vertical="center" wrapText="1"/>
    </xf>
    <xf numFmtId="0" fontId="8" fillId="107" borderId="253" xfId="0" applyFont="1" applyFill="1" applyBorder="1" applyAlignment="1">
      <alignment horizontal="left" vertical="center" wrapText="1"/>
    </xf>
    <xf numFmtId="0" fontId="8" fillId="108" borderId="254" xfId="0" applyFont="1" applyFill="1" applyBorder="1" applyAlignment="1">
      <alignment horizontal="center" vertical="center" wrapText="1"/>
    </xf>
    <xf numFmtId="0" fontId="8" fillId="109" borderId="255" xfId="0" applyFont="1" applyFill="1" applyBorder="1" applyAlignment="1">
      <alignment vertical="center" wrapText="1"/>
    </xf>
    <xf numFmtId="0" fontId="4" fillId="110" borderId="256" xfId="0" applyFont="1" applyFill="1" applyBorder="1" applyAlignment="1">
      <alignment horizontal="center" vertical="center" wrapText="1"/>
    </xf>
    <xf numFmtId="0" fontId="3" fillId="111" borderId="257" xfId="0" applyFont="1" applyFill="1" applyBorder="1" applyAlignment="1">
      <alignment horizontal="center" vertical="center" wrapText="1"/>
    </xf>
    <xf numFmtId="0" fontId="4" fillId="0" borderId="258" xfId="0" applyFont="1" applyBorder="1" applyAlignment="1"/>
    <xf numFmtId="0" fontId="7" fillId="0" borderId="259" xfId="0" applyFont="1" applyBorder="1" applyAlignment="1">
      <alignment horizontal="left" vertical="center"/>
    </xf>
    <xf numFmtId="0" fontId="7" fillId="0" borderId="260" xfId="0" applyFont="1" applyBorder="1" applyAlignment="1">
      <alignment horizontal="left" vertical="center" wrapText="1"/>
    </xf>
    <xf numFmtId="177" fontId="7" fillId="0" borderId="261" xfId="0" applyNumberFormat="1" applyFont="1" applyBorder="1" applyAlignment="1">
      <alignment horizontal="left" vertical="center"/>
    </xf>
    <xf numFmtId="176" fontId="4" fillId="0" borderId="262" xfId="0" applyNumberFormat="1" applyFont="1" applyBorder="1" applyAlignment="1">
      <alignment horizontal="left" vertical="center"/>
    </xf>
    <xf numFmtId="177" fontId="4" fillId="0" borderId="263" xfId="0" applyNumberFormat="1" applyFont="1" applyBorder="1" applyAlignment="1">
      <alignment horizontal="left" vertical="center"/>
    </xf>
    <xf numFmtId="177" fontId="7" fillId="0" borderId="264" xfId="0" applyNumberFormat="1" applyFont="1" applyBorder="1" applyAlignment="1">
      <alignment horizontal="center" vertical="center"/>
    </xf>
    <xf numFmtId="177" fontId="9" fillId="112" borderId="265" xfId="0" applyNumberFormat="1" applyFont="1" applyFill="1" applyBorder="1" applyAlignment="1">
      <alignment horizontal="left" vertical="center" wrapText="1"/>
    </xf>
    <xf numFmtId="0" fontId="7" fillId="0" borderId="266" xfId="0" applyFont="1" applyBorder="1" applyAlignment="1">
      <alignment vertical="top" wrapText="1"/>
    </xf>
    <xf numFmtId="177" fontId="10" fillId="113" borderId="267" xfId="0" applyNumberFormat="1" applyFont="1" applyFill="1" applyBorder="1" applyAlignment="1">
      <alignment horizontal="left" vertical="center"/>
    </xf>
    <xf numFmtId="0" fontId="7" fillId="114" borderId="268" xfId="0" applyFont="1" applyFill="1" applyBorder="1" applyAlignment="1">
      <alignment horizontal="left" vertical="center"/>
    </xf>
    <xf numFmtId="176" fontId="4" fillId="115" borderId="269" xfId="0" applyNumberFormat="1" applyFont="1" applyFill="1" applyBorder="1" applyAlignment="1">
      <alignment horizontal="left" vertical="center"/>
    </xf>
    <xf numFmtId="0" fontId="7" fillId="116" borderId="270" xfId="0" applyFont="1" applyFill="1" applyBorder="1" applyAlignment="1">
      <alignment horizontal="left" vertical="center"/>
    </xf>
    <xf numFmtId="177" fontId="5" fillId="0" borderId="271" xfId="0" applyNumberFormat="1" applyFont="1" applyBorder="1" applyAlignment="1">
      <alignment horizontal="left" vertical="center" wrapText="1"/>
    </xf>
    <xf numFmtId="177" fontId="9" fillId="117" borderId="272" xfId="0" applyNumberFormat="1" applyFont="1" applyFill="1" applyBorder="1" applyAlignment="1">
      <alignment horizontal="left" vertical="center"/>
    </xf>
    <xf numFmtId="177" fontId="10" fillId="0" borderId="273" xfId="0" applyNumberFormat="1" applyFont="1" applyBorder="1" applyAlignment="1">
      <alignment horizontal="left" vertical="center"/>
    </xf>
    <xf numFmtId="177" fontId="7" fillId="118" borderId="274" xfId="0" applyNumberFormat="1" applyFont="1" applyFill="1" applyBorder="1" applyAlignment="1">
      <alignment horizontal="left" vertical="center" wrapText="1"/>
    </xf>
    <xf numFmtId="0" fontId="2" fillId="0" borderId="275" xfId="0" applyFont="1" applyBorder="1" applyAlignment="1">
      <alignment horizontal="left" vertical="center"/>
    </xf>
    <xf numFmtId="0" fontId="10" fillId="0" borderId="276" xfId="0" applyFont="1" applyBorder="1" applyAlignment="1">
      <alignment vertical="center"/>
    </xf>
    <xf numFmtId="177" fontId="7" fillId="119" borderId="277" xfId="0" applyNumberFormat="1" applyFont="1" applyFill="1" applyBorder="1" applyAlignment="1">
      <alignment horizontal="left" vertical="center"/>
    </xf>
    <xf numFmtId="0" fontId="4" fillId="0" borderId="278" xfId="0" applyFont="1" applyBorder="1" applyAlignment="1">
      <alignment vertical="top" wrapText="1"/>
    </xf>
    <xf numFmtId="0" fontId="7" fillId="120" borderId="279" xfId="0" applyFont="1" applyFill="1" applyBorder="1" applyAlignment="1">
      <alignment vertical="center"/>
    </xf>
    <xf numFmtId="0" fontId="7" fillId="121" borderId="280" xfId="0" applyFont="1" applyFill="1" applyBorder="1" applyAlignment="1">
      <alignment vertical="center"/>
    </xf>
    <xf numFmtId="177" fontId="7" fillId="122" borderId="281" xfId="0" applyNumberFormat="1" applyFont="1" applyFill="1" applyBorder="1" applyAlignment="1">
      <alignment vertical="center"/>
    </xf>
    <xf numFmtId="0" fontId="7" fillId="0" borderId="282" xfId="0" applyFont="1" applyBorder="1" applyAlignment="1">
      <alignment vertical="center"/>
    </xf>
    <xf numFmtId="0" fontId="4" fillId="0" borderId="283" xfId="0" applyFont="1" applyBorder="1" applyAlignment="1">
      <alignment horizontal="left" vertical="center"/>
    </xf>
    <xf numFmtId="177" fontId="4" fillId="0" borderId="284" xfId="0" applyNumberFormat="1" applyFont="1" applyBorder="1" applyAlignment="1">
      <alignment horizontal="left" vertical="center"/>
    </xf>
    <xf numFmtId="177" fontId="7" fillId="0" borderId="285" xfId="0" applyNumberFormat="1" applyFont="1" applyBorder="1" applyAlignment="1">
      <alignment horizontal="center" vertical="center"/>
    </xf>
    <xf numFmtId="0" fontId="2" fillId="123" borderId="286" xfId="0" applyFont="1" applyFill="1" applyBorder="1" applyAlignment="1">
      <alignment horizontal="left" vertical="center"/>
    </xf>
    <xf numFmtId="0" fontId="7" fillId="0" borderId="287" xfId="0" applyFont="1" applyBorder="1" applyAlignment="1">
      <alignment vertical="center"/>
    </xf>
    <xf numFmtId="0" fontId="7" fillId="124" borderId="288" xfId="0" applyFont="1" applyFill="1" applyBorder="1" applyAlignment="1">
      <alignment horizontal="left" vertical="center"/>
    </xf>
    <xf numFmtId="177" fontId="3" fillId="0" borderId="289" xfId="0" applyNumberFormat="1" applyFont="1" applyBorder="1" applyAlignment="1">
      <alignment horizontal="left" vertical="center"/>
    </xf>
    <xf numFmtId="177" fontId="12" fillId="125" borderId="290" xfId="0" applyNumberFormat="1" applyFont="1" applyFill="1" applyBorder="1" applyAlignment="1">
      <alignment horizontal="left" vertical="center"/>
    </xf>
    <xf numFmtId="178" fontId="3" fillId="0" borderId="291" xfId="0" applyNumberFormat="1" applyFont="1" applyBorder="1" applyAlignment="1">
      <alignment vertical="center"/>
    </xf>
    <xf numFmtId="176" fontId="4" fillId="126" borderId="292" xfId="0" applyNumberFormat="1" applyFont="1" applyFill="1" applyBorder="1" applyAlignment="1">
      <alignment vertical="center"/>
    </xf>
    <xf numFmtId="0" fontId="3" fillId="127" borderId="293" xfId="0" applyFont="1" applyFill="1" applyBorder="1" applyAlignment="1">
      <alignment horizontal="left" vertical="center"/>
    </xf>
    <xf numFmtId="0" fontId="3" fillId="128" borderId="294" xfId="0" applyFont="1" applyFill="1" applyBorder="1" applyAlignment="1">
      <alignment horizontal="left" vertical="center"/>
    </xf>
    <xf numFmtId="176" fontId="3" fillId="129" borderId="295" xfId="0" applyNumberFormat="1" applyFont="1" applyFill="1" applyBorder="1" applyAlignment="1">
      <alignment vertical="center"/>
    </xf>
    <xf numFmtId="176" fontId="3" fillId="130" borderId="296" xfId="0" applyNumberFormat="1" applyFont="1" applyFill="1" applyBorder="1" applyAlignment="1">
      <alignment vertical="center"/>
    </xf>
    <xf numFmtId="176" fontId="3" fillId="131" borderId="297" xfId="0" applyNumberFormat="1" applyFont="1" applyFill="1" applyBorder="1" applyAlignment="1">
      <alignment vertical="center"/>
    </xf>
    <xf numFmtId="0" fontId="3" fillId="132" borderId="298" xfId="0" applyFont="1" applyFill="1" applyBorder="1" applyAlignment="1">
      <alignment horizontal="left" vertical="center"/>
    </xf>
    <xf numFmtId="176" fontId="4" fillId="133" borderId="299" xfId="0" applyNumberFormat="1" applyFont="1" applyFill="1" applyBorder="1" applyAlignment="1">
      <alignment vertical="center"/>
    </xf>
    <xf numFmtId="178" fontId="4" fillId="0" borderId="300" xfId="0" applyNumberFormat="1" applyFont="1" applyBorder="1" applyAlignment="1">
      <alignment vertical="center"/>
    </xf>
    <xf numFmtId="0" fontId="12" fillId="134" borderId="301" xfId="0" applyFont="1" applyFill="1" applyBorder="1" applyAlignment="1">
      <alignment horizontal="left" vertical="center" wrapText="1"/>
    </xf>
    <xf numFmtId="0" fontId="3" fillId="135" borderId="302" xfId="0" applyFont="1" applyFill="1" applyBorder="1" applyAlignment="1">
      <alignment horizontal="left" vertical="center"/>
    </xf>
    <xf numFmtId="176" fontId="3" fillId="136" borderId="303" xfId="0" applyNumberFormat="1" applyFont="1" applyFill="1" applyBorder="1" applyAlignment="1">
      <alignment vertical="center"/>
    </xf>
    <xf numFmtId="0" fontId="3" fillId="137" borderId="304" xfId="0" applyFont="1" applyFill="1" applyBorder="1" applyAlignment="1">
      <alignment horizontal="left" vertical="center"/>
    </xf>
    <xf numFmtId="176" fontId="3" fillId="138" borderId="305" xfId="0" applyNumberFormat="1" applyFont="1" applyFill="1" applyBorder="1" applyAlignment="1">
      <alignment vertical="center"/>
    </xf>
    <xf numFmtId="0" fontId="3" fillId="139" borderId="306" xfId="0" applyFont="1" applyFill="1" applyBorder="1" applyAlignment="1">
      <alignment horizontal="left" vertical="center"/>
    </xf>
    <xf numFmtId="176" fontId="4" fillId="140" borderId="307" xfId="0" applyNumberFormat="1" applyFont="1" applyFill="1" applyBorder="1" applyAlignment="1">
      <alignment vertical="center"/>
    </xf>
    <xf numFmtId="176" fontId="4" fillId="141" borderId="308" xfId="0" applyNumberFormat="1" applyFont="1" applyFill="1" applyBorder="1" applyAlignment="1">
      <alignment vertical="center"/>
    </xf>
    <xf numFmtId="0" fontId="1" fillId="2" borderId="1" xfId="0" applyFont="1" applyFill="1" applyBorder="1" applyAlignment="1">
      <alignment horizontal="center" vertical="center"/>
    </xf>
    <xf numFmtId="0" fontId="2" fillId="0" borderId="2" xfId="0" applyFont="1" applyBorder="1" applyAlignment="1">
      <alignment vertical="center"/>
    </xf>
    <xf numFmtId="0" fontId="3" fillId="0" borderId="29" xfId="0" applyFont="1" applyBorder="1" applyAlignment="1">
      <alignment horizontal="center" vertical="center"/>
    </xf>
  </cellXfs>
  <cellStyles count="1">
    <cellStyle name="常规" xfId="0" builtinId="0"/>
  </cellStyles>
  <dxfs count="54">
    <dxf>
      <font>
        <sz val="11"/>
        <color rgb="FF333F50"/>
        <name val="Calibri"/>
        <scheme val="minor"/>
      </font>
      <fill>
        <patternFill patternType="solid">
          <fgColor indexed="64"/>
          <bgColor rgb="FF9DC3E6"/>
        </patternFill>
      </fill>
    </dxf>
    <dxf>
      <font>
        <sz val="11"/>
        <color rgb="FF4F2270"/>
        <name val="Calibri"/>
        <scheme val="minor"/>
      </font>
      <fill>
        <patternFill patternType="solid">
          <fgColor indexed="64"/>
          <bgColor rgb="FFDDD0FC"/>
        </patternFill>
      </fill>
    </dxf>
    <dxf>
      <fill>
        <patternFill patternType="solid">
          <fgColor indexed="64"/>
          <bgColor rgb="FF333333"/>
        </patternFill>
      </fill>
    </dxf>
    <dxf>
      <font>
        <b/>
        <sz val="11"/>
        <color rgb="FF000000"/>
        <name val="Calibri"/>
        <scheme val="minor"/>
      </font>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006100"/>
        <name val="Calibri"/>
        <scheme val="minor"/>
      </font>
      <fill>
        <patternFill patternType="solid">
          <fgColor indexed="64"/>
          <bgColor rgb="FFC6EFCE"/>
        </patternFill>
      </fill>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006100"/>
        <name val="Calibri"/>
        <scheme val="minor"/>
      </font>
      <fill>
        <patternFill patternType="solid">
          <fgColor indexed="64"/>
          <bgColor rgb="FFC6EFCE"/>
        </patternFill>
      </fill>
    </dxf>
    <dxf>
      <font>
        <b/>
        <sz val="11"/>
        <color rgb="FF000000"/>
        <name val="Calibri"/>
        <scheme val="minor"/>
      </font>
    </dxf>
    <dxf>
      <font>
        <sz val="11"/>
        <color rgb="FF006100"/>
        <name val="Calibri"/>
        <scheme val="minor"/>
      </font>
      <fill>
        <patternFill patternType="solid">
          <fgColor indexed="64"/>
          <bgColor rgb="FFC6EFCE"/>
        </patternFill>
      </fill>
    </dxf>
    <dxf>
      <font>
        <sz val="11"/>
        <color rgb="FF9C0006"/>
        <name val="Calibri"/>
        <scheme val="minor"/>
      </font>
      <fill>
        <patternFill patternType="solid">
          <fgColor indexed="64"/>
          <bgColor rgb="FFFFC7CE"/>
        </patternFill>
      </fill>
    </dxf>
    <dxf>
      <font>
        <sz val="11"/>
        <color rgb="FF333F50"/>
        <name val="Calibri"/>
        <scheme val="minor"/>
      </font>
      <fill>
        <patternFill patternType="solid">
          <fgColor indexed="64"/>
          <bgColor rgb="FF9DC3E6"/>
        </patternFill>
      </fill>
    </dxf>
    <dxf>
      <fill>
        <patternFill patternType="solid">
          <fgColor indexed="64"/>
          <bgColor rgb="FFD9F5D6"/>
        </patternFill>
      </fill>
    </dxf>
    <dxf>
      <fill>
        <patternFill patternType="solid">
          <fgColor indexed="64"/>
          <bgColor rgb="FFD9F5D6"/>
        </patternFill>
      </fill>
    </dxf>
    <dxf>
      <font>
        <sz val="11"/>
        <color rgb="FF812520"/>
        <name val="Calibri"/>
        <scheme val="minor"/>
      </font>
      <fill>
        <patternFill patternType="solid">
          <fgColor indexed="64"/>
          <bgColor rgb="FFFBBFBC"/>
        </patternFill>
      </fill>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b/>
        <sz val="11"/>
        <color rgb="FF000000"/>
        <name val="Calibri"/>
        <scheme val="minor"/>
      </font>
    </dxf>
    <dxf>
      <font>
        <b/>
        <sz val="11"/>
        <color rgb="FF000000"/>
        <name val="Calibri"/>
        <scheme val="minor"/>
      </font>
    </dxf>
    <dxf>
      <font>
        <b/>
        <sz val="11"/>
        <color rgb="FF000000"/>
        <name val="Calibri"/>
        <scheme val="minor"/>
      </font>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b/>
        <sz val="11"/>
        <color rgb="FF000000"/>
        <name val="Calibri"/>
        <scheme val="minor"/>
      </font>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006100"/>
        <name val="Calibri"/>
        <scheme val="minor"/>
      </font>
      <fill>
        <patternFill patternType="solid">
          <fgColor indexed="64"/>
          <bgColor rgb="FFC6EFCE"/>
        </patternFill>
      </fill>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9C0006"/>
        <name val="Calibri"/>
        <scheme val="minor"/>
      </font>
      <fill>
        <patternFill patternType="solid">
          <fgColor indexed="64"/>
          <bgColor rgb="FFFFC7CE"/>
        </patternFill>
      </fill>
    </dxf>
    <dxf>
      <font>
        <sz val="11"/>
        <color rgb="FF006100"/>
        <name val="Calibri"/>
        <scheme val="minor"/>
      </font>
      <fill>
        <patternFill patternType="solid">
          <fgColor indexed="64"/>
          <bgColor rgb="FFC6EFCE"/>
        </patternFill>
      </fill>
    </dxf>
    <dxf>
      <font>
        <b/>
        <sz val="11"/>
        <color rgb="FF000000"/>
        <name val="Calibri"/>
        <scheme val="minor"/>
      </font>
    </dxf>
    <dxf>
      <font>
        <sz val="11"/>
        <color rgb="FF006100"/>
        <name val="Calibri"/>
        <scheme val="minor"/>
      </font>
      <fill>
        <patternFill patternType="solid">
          <fgColor indexed="64"/>
          <bgColor rgb="FFC6EFCE"/>
        </patternFill>
      </fill>
    </dxf>
    <dxf>
      <font>
        <sz val="11"/>
        <color rgb="FF9C0006"/>
        <name val="Calibri"/>
        <scheme val="minor"/>
      </font>
      <fill>
        <patternFill patternType="solid">
          <fgColor indexed="64"/>
          <bgColor rgb="FFFFC7CE"/>
        </patternFill>
      </fill>
    </dxf>
    <dxf>
      <font>
        <sz val="11"/>
        <color rgb="FF333F50"/>
        <name val="Calibri"/>
        <scheme val="minor"/>
      </font>
      <fill>
        <patternFill patternType="solid">
          <fgColor indexed="64"/>
          <bgColor rgb="FF9DC3E6"/>
        </patternFill>
      </fill>
    </dxf>
    <dxf>
      <fill>
        <patternFill patternType="solid">
          <fgColor indexed="64"/>
          <bgColor rgb="FFD9F5D6"/>
        </patternFill>
      </fill>
    </dxf>
    <dxf>
      <fill>
        <patternFill patternType="solid">
          <fgColor indexed="64"/>
          <bgColor rgb="FFD9F5D6"/>
        </patternFill>
      </fill>
    </dxf>
    <dxf>
      <font>
        <sz val="11"/>
        <color rgb="FF812520"/>
        <name val="Calibri"/>
        <scheme val="minor"/>
      </font>
      <fill>
        <patternFill patternType="solid">
          <fgColor indexed="64"/>
          <bgColor rgb="FFFBBFBC"/>
        </patternFill>
      </fill>
    </dxf>
    <dxf>
      <fill>
        <patternFill patternType="solid">
          <fgColor indexed="64"/>
          <bgColor rgb="FFD9F5D6"/>
        </patternFill>
      </fill>
    </dxf>
    <dxf>
      <fill>
        <patternFill patternType="solid">
          <fgColor indexed="64"/>
          <bgColor rgb="FFD5F6F2"/>
        </patternFill>
      </fill>
    </dxf>
    <dxf>
      <fill>
        <patternFill patternType="solid">
          <fgColor indexed="64"/>
          <bgColor rgb="FFFAF1D1"/>
        </patternFill>
      </fill>
    </dxf>
    <dxf>
      <fill>
        <patternFill patternType="solid">
          <fgColor indexed="64"/>
          <bgColor rgb="FFF8F9F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6</xdr:col>
      <xdr:colOff>38100</xdr:colOff>
      <xdr:row>1103</xdr:row>
      <xdr:rowOff>38100</xdr:rowOff>
    </xdr:from>
    <xdr:to>
      <xdr:col>7</xdr:col>
      <xdr:colOff>-38100</xdr:colOff>
      <xdr:row>1104</xdr:row>
      <xdr:rowOff>-38100</xdr:rowOff>
    </xdr:to>
    <xdr:pic>
      <xdr:nvPicPr>
        <xdr:cNvPr id="2" name="Picture 2" descr="LBhTUw"/>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https://wx6lpdt35j.feishu.cn/wiki/CG9nwaG4Uiyj2lkFJdSc8FqJnHb" TargetMode="External"/><Relationship Id="rId7" Type="http://schemas.openxmlformats.org/officeDocument/2006/relationships/drawing" Target="../drawings/drawing1.xml"/><Relationship Id="rId2" Type="http://schemas.openxmlformats.org/officeDocument/2006/relationships/hyperlink" Target="https://my-ichery.feishu.cn/docx/JkcjdvXifo17CLxtIpPcwqXtnnd" TargetMode="External"/><Relationship Id="rId1" Type="http://schemas.openxmlformats.org/officeDocument/2006/relationships/hyperlink" Target="https://my-ichery.feishu.cn/docx/JkcjdvXifo17CLxtIpPcwqXtnnd" TargetMode="External"/><Relationship Id="rId6" Type="http://schemas.openxmlformats.org/officeDocument/2006/relationships/hyperlink" Target="https://my-ichery.feishu.cn/docx/JkcjdvXifo17CLxtIpPcwqXtnnd" TargetMode="External"/><Relationship Id="rId5" Type="http://schemas.openxmlformats.org/officeDocument/2006/relationships/hyperlink" Target="https://my-ichery.feishu.cn/docx/JkcjdvXifo17CLxtIpPcwqXtnnd" TargetMode="External"/><Relationship Id="rId4" Type="http://schemas.openxmlformats.org/officeDocument/2006/relationships/hyperlink" Target="https://my-ichery.feishu.cn/docx/JkcjdvXifo17CLxtIpPcwqXtnnd" TargetMode="External"/></Relationships>
</file>

<file path=xl/worksheets/_rels/sheet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image" Target="../media/image1.png"/></Relationships>
</file>

<file path=xl/worksheets/_rels/sheet7.xml.rels><?xml version="1.0" encoding="UTF-8" standalone="yes"?>
<Relationships xmlns="http://schemas.openxmlformats.org/package/2006/relationships"><Relationship Id="rId1" Type="http://schemas.openxmlformats.org/officeDocument/2006/relationships/image" Target="../media/image1.png"/></Relationships>
</file>

<file path=xl/worksheets/_rels/sheet8.xml.rels><?xml version="1.0" encoding="UTF-8" standalone="yes"?>
<Relationships xmlns="http://schemas.openxmlformats.org/package/2006/relationships"><Relationship Id="rId1" Type="http://schemas.openxmlformats.org/officeDocument/2006/relationships/image" Target="../media/image1.png"/></Relationships>
</file>

<file path=xl/worksheets/_rels/sheet9.xml.rels><?xml version="1.0" encoding="UTF-8" standalone="yes"?>
<Relationships xmlns="http://schemas.openxmlformats.org/package/2006/relationships"><Relationship Id="rId1" Type="http://schemas.openxmlformats.org/officeDocument/2006/relationships/image" Target="../media/image1.png"/></Relationships>
</file>

<file path=xl/worksheets/_rels/sheet10.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
  <sheetViews>
    <sheetView workbookViewId="0">
      <selection sqref="A1:M1"/>
    </sheetView>
  </sheetViews>
  <sheetFormatPr defaultColWidth="14" defaultRowHeight="12.75" x14ac:dyDescent="0.2"/>
  <cols>
    <col min="1" max="1" width="43" customWidth="1"/>
  </cols>
  <sheetData>
    <row r="1" spans="1:13" ht="17.25" x14ac:dyDescent="0.2">
      <c r="A1" s="307" t="s">
        <v>12</v>
      </c>
      <c r="B1" s="307"/>
      <c r="C1" s="307"/>
      <c r="D1" s="307"/>
      <c r="E1" s="307"/>
      <c r="F1" s="307"/>
      <c r="G1" s="307"/>
      <c r="H1" s="307"/>
      <c r="I1" s="307"/>
      <c r="J1" s="307"/>
      <c r="K1" s="307"/>
      <c r="L1" s="307"/>
      <c r="M1" s="307"/>
    </row>
    <row r="2" spans="1:13" x14ac:dyDescent="0.2">
      <c r="A2" s="308" t="s">
        <v>13</v>
      </c>
      <c r="B2" s="308"/>
      <c r="C2" s="308"/>
      <c r="D2" s="308"/>
      <c r="E2" s="308"/>
      <c r="F2" s="308"/>
      <c r="G2" s="308"/>
      <c r="H2" s="308"/>
      <c r="I2" s="308"/>
      <c r="J2" s="308"/>
      <c r="K2" s="308"/>
      <c r="L2" s="308"/>
      <c r="M2" s="308"/>
    </row>
  </sheetData>
  <mergeCells count="2">
    <mergeCell ref="A1:M1"/>
    <mergeCell ref="A2:M2"/>
  </mergeCells>
  <phoneticPr fontId="21" type="noConversion"/>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43"/>
  <sheetViews>
    <sheetView workbookViewId="0">
      <pane ySplit="2" topLeftCell="A3" activePane="bottomLeft" state="frozen"/>
      <selection pane="bottomLeft" sqref="A1:I1"/>
    </sheetView>
  </sheetViews>
  <sheetFormatPr defaultColWidth="14" defaultRowHeight="12.75" x14ac:dyDescent="0.2"/>
  <cols>
    <col min="1" max="1" width="12" customWidth="1"/>
    <col min="2" max="2" width="14" customWidth="1"/>
    <col min="3" max="3" width="13" customWidth="1"/>
    <col min="4" max="4" width="16" customWidth="1"/>
    <col min="5" max="5" width="13" customWidth="1"/>
    <col min="6" max="6" width="17" customWidth="1"/>
    <col min="7" max="7" width="95" customWidth="1"/>
    <col min="8" max="9" width="10" customWidth="1"/>
    <col min="10" max="11" width="7" customWidth="1"/>
    <col min="12" max="21" width="9" customWidth="1"/>
  </cols>
  <sheetData>
    <row r="1" spans="1:11" ht="51.95" customHeight="1" x14ac:dyDescent="0.2">
      <c r="A1" s="309" t="s">
        <v>0</v>
      </c>
      <c r="B1" s="309"/>
      <c r="C1" s="309"/>
      <c r="D1" s="309"/>
      <c r="E1" s="309"/>
      <c r="F1" s="309"/>
      <c r="G1" s="309"/>
      <c r="H1" s="309"/>
      <c r="I1" s="309"/>
    </row>
    <row r="2" spans="1:11" ht="51.95" customHeight="1" x14ac:dyDescent="0.2">
      <c r="A2" s="32" t="s">
        <v>14</v>
      </c>
      <c r="B2" s="6" t="s">
        <v>15</v>
      </c>
      <c r="C2" s="6" t="s">
        <v>16</v>
      </c>
      <c r="D2" s="6" t="s">
        <v>17</v>
      </c>
      <c r="E2" s="6" t="s">
        <v>18</v>
      </c>
      <c r="F2" s="34" t="s">
        <v>19</v>
      </c>
      <c r="G2" s="33" t="s">
        <v>2</v>
      </c>
      <c r="H2" s="8" t="s">
        <v>20</v>
      </c>
      <c r="I2" s="8" t="s">
        <v>21</v>
      </c>
      <c r="J2" s="35"/>
      <c r="K2" s="35"/>
    </row>
    <row r="3" spans="1:11" ht="15.95" customHeight="1" x14ac:dyDescent="0.2">
      <c r="A3" s="32" t="s">
        <v>22</v>
      </c>
      <c r="B3" s="23" t="s">
        <v>23</v>
      </c>
      <c r="C3" s="6" t="s">
        <v>24</v>
      </c>
      <c r="D3" s="23">
        <v>20240522</v>
      </c>
      <c r="E3" s="6"/>
      <c r="F3" s="26"/>
      <c r="G3" s="33" t="s">
        <v>25</v>
      </c>
      <c r="H3" s="8" t="s">
        <v>26</v>
      </c>
      <c r="I3" s="8" t="s">
        <v>26</v>
      </c>
    </row>
    <row r="4" spans="1:11" ht="15.95" customHeight="1" x14ac:dyDescent="0.2">
      <c r="A4" s="32"/>
      <c r="B4" s="23"/>
      <c r="C4" s="6" t="s">
        <v>27</v>
      </c>
      <c r="D4" s="23">
        <v>20240522</v>
      </c>
      <c r="E4" s="6"/>
      <c r="F4" s="26"/>
      <c r="G4" s="33" t="s">
        <v>28</v>
      </c>
      <c r="H4" s="8" t="s">
        <v>26</v>
      </c>
      <c r="I4" s="8" t="s">
        <v>26</v>
      </c>
    </row>
    <row r="5" spans="1:11" ht="15.95" customHeight="1" x14ac:dyDescent="0.2">
      <c r="A5" s="28"/>
      <c r="B5" s="3"/>
      <c r="C5" s="3" t="s">
        <v>29</v>
      </c>
      <c r="D5" s="23">
        <v>20240522</v>
      </c>
      <c r="E5" s="8"/>
      <c r="F5" s="36"/>
      <c r="G5" s="36" t="s">
        <v>30</v>
      </c>
      <c r="H5" s="8" t="s">
        <v>26</v>
      </c>
      <c r="I5" s="8" t="s">
        <v>26</v>
      </c>
    </row>
    <row r="6" spans="1:11" ht="15.95" customHeight="1" x14ac:dyDescent="0.2">
      <c r="A6" s="28"/>
      <c r="B6" s="3"/>
      <c r="C6" s="3" t="s">
        <v>24</v>
      </c>
      <c r="D6" s="3">
        <v>20240523</v>
      </c>
      <c r="E6" s="6"/>
      <c r="F6" s="6"/>
      <c r="G6" s="24" t="s">
        <v>31</v>
      </c>
      <c r="H6" s="8" t="s">
        <v>26</v>
      </c>
      <c r="I6" s="8" t="s">
        <v>26</v>
      </c>
    </row>
    <row r="7" spans="1:11" ht="198" customHeight="1" x14ac:dyDescent="0.2">
      <c r="A7" s="25"/>
      <c r="B7" s="23"/>
      <c r="C7" s="6" t="s">
        <v>32</v>
      </c>
      <c r="D7" s="6">
        <v>20240523</v>
      </c>
      <c r="E7" s="23"/>
      <c r="F7" s="26"/>
      <c r="G7" s="24" t="s">
        <v>33</v>
      </c>
      <c r="H7" s="8" t="s">
        <v>26</v>
      </c>
      <c r="I7" s="8" t="s">
        <v>26</v>
      </c>
    </row>
    <row r="8" spans="1:11" ht="33" customHeight="1" x14ac:dyDescent="0.2">
      <c r="A8" s="28"/>
      <c r="B8" s="3"/>
      <c r="C8" s="3" t="s">
        <v>34</v>
      </c>
      <c r="D8" s="3">
        <v>20240523</v>
      </c>
      <c r="E8" s="8"/>
      <c r="F8" s="36"/>
      <c r="G8" s="7" t="s">
        <v>35</v>
      </c>
      <c r="H8" s="8" t="s">
        <v>26</v>
      </c>
      <c r="I8" s="8" t="s">
        <v>26</v>
      </c>
    </row>
    <row r="9" spans="1:11" ht="33.950000000000003" customHeight="1" x14ac:dyDescent="0.2">
      <c r="A9" s="25"/>
      <c r="B9" s="3"/>
      <c r="C9" s="6" t="s">
        <v>36</v>
      </c>
      <c r="D9" s="6">
        <v>20240523</v>
      </c>
      <c r="E9" s="23"/>
      <c r="F9" s="26"/>
      <c r="G9" s="24" t="s">
        <v>37</v>
      </c>
      <c r="H9" s="8" t="s">
        <v>26</v>
      </c>
      <c r="I9" s="8" t="s">
        <v>26</v>
      </c>
    </row>
    <row r="10" spans="1:11" ht="87.95" customHeight="1" x14ac:dyDescent="0.2">
      <c r="A10" s="28"/>
      <c r="B10" s="3"/>
      <c r="C10" s="3" t="s">
        <v>27</v>
      </c>
      <c r="D10" s="3">
        <v>20240524</v>
      </c>
      <c r="E10" s="23"/>
      <c r="F10" s="26"/>
      <c r="G10" s="24" t="s">
        <v>38</v>
      </c>
      <c r="H10" s="8" t="s">
        <v>26</v>
      </c>
      <c r="I10" s="8" t="s">
        <v>26</v>
      </c>
    </row>
    <row r="11" spans="1:11" ht="33.950000000000003" customHeight="1" x14ac:dyDescent="0.2">
      <c r="A11" s="12"/>
      <c r="B11" s="3"/>
      <c r="C11" s="6" t="s">
        <v>39</v>
      </c>
      <c r="D11" s="5">
        <v>20240524</v>
      </c>
      <c r="E11" s="29"/>
      <c r="F11" s="30"/>
      <c r="G11" s="31" t="s">
        <v>40</v>
      </c>
      <c r="H11" s="8" t="s">
        <v>26</v>
      </c>
      <c r="I11" s="8" t="s">
        <v>26</v>
      </c>
    </row>
    <row r="12" spans="1:11" ht="15.95" customHeight="1" x14ac:dyDescent="0.2">
      <c r="A12" s="28"/>
      <c r="B12" s="3"/>
      <c r="C12" s="3" t="s">
        <v>32</v>
      </c>
      <c r="D12" s="3">
        <v>20240527</v>
      </c>
      <c r="E12" s="29"/>
      <c r="F12" s="30"/>
      <c r="G12" s="31" t="s">
        <v>41</v>
      </c>
      <c r="H12" s="8" t="s">
        <v>26</v>
      </c>
      <c r="I12" s="8" t="s">
        <v>26</v>
      </c>
    </row>
    <row r="13" spans="1:11" ht="17.100000000000001" customHeight="1" x14ac:dyDescent="0.2">
      <c r="A13" s="12"/>
      <c r="B13" s="29"/>
      <c r="C13" s="3" t="s">
        <v>34</v>
      </c>
      <c r="D13" s="3">
        <v>20240527</v>
      </c>
      <c r="E13" s="15"/>
      <c r="F13" s="13"/>
      <c r="G13" s="14" t="s">
        <v>42</v>
      </c>
      <c r="H13" s="8" t="s">
        <v>26</v>
      </c>
      <c r="I13" s="8" t="s">
        <v>26</v>
      </c>
    </row>
    <row r="14" spans="1:11" ht="38.1" customHeight="1" x14ac:dyDescent="0.2">
      <c r="A14" s="2"/>
      <c r="B14" s="5"/>
      <c r="C14" s="3" t="s">
        <v>39</v>
      </c>
      <c r="D14" s="3">
        <v>20240527</v>
      </c>
      <c r="E14" s="15"/>
      <c r="F14" s="13"/>
      <c r="G14" s="14" t="s">
        <v>43</v>
      </c>
      <c r="H14" s="8" t="s">
        <v>26</v>
      </c>
      <c r="I14" s="8" t="s">
        <v>26</v>
      </c>
    </row>
    <row r="15" spans="1:11" ht="15.95" customHeight="1" x14ac:dyDescent="0.2">
      <c r="A15" s="12"/>
      <c r="B15" s="5"/>
      <c r="C15" s="3" t="s">
        <v>32</v>
      </c>
      <c r="D15" s="3">
        <v>20240529</v>
      </c>
      <c r="E15" s="15"/>
      <c r="F15" s="13"/>
      <c r="G15" s="14" t="s">
        <v>44</v>
      </c>
      <c r="H15" s="8" t="s">
        <v>26</v>
      </c>
      <c r="I15" s="8" t="s">
        <v>26</v>
      </c>
    </row>
    <row r="16" spans="1:11" ht="15.95" customHeight="1" x14ac:dyDescent="0.2">
      <c r="A16" s="2"/>
      <c r="B16" s="5"/>
      <c r="C16" s="3" t="s">
        <v>32</v>
      </c>
      <c r="D16" s="3">
        <v>20240531</v>
      </c>
      <c r="E16" s="15"/>
      <c r="F16" s="13"/>
      <c r="G16" s="14" t="s">
        <v>45</v>
      </c>
      <c r="H16" s="8" t="s">
        <v>26</v>
      </c>
      <c r="I16" s="8" t="s">
        <v>26</v>
      </c>
    </row>
    <row r="17" spans="1:9" ht="102" customHeight="1" x14ac:dyDescent="0.2">
      <c r="A17" s="12"/>
      <c r="B17" s="5"/>
      <c r="C17" s="3" t="s">
        <v>34</v>
      </c>
      <c r="D17" s="3">
        <v>20240614</v>
      </c>
      <c r="E17" s="15"/>
      <c r="F17" s="13"/>
      <c r="G17" s="14" t="s">
        <v>46</v>
      </c>
      <c r="H17" s="8" t="s">
        <v>26</v>
      </c>
      <c r="I17" s="8" t="s">
        <v>26</v>
      </c>
    </row>
    <row r="18" spans="1:9" ht="21" customHeight="1" x14ac:dyDescent="0.2">
      <c r="A18" s="12"/>
      <c r="B18" s="5"/>
      <c r="C18" s="6" t="s">
        <v>34</v>
      </c>
      <c r="D18" s="3">
        <v>20240617</v>
      </c>
      <c r="E18" s="15"/>
      <c r="F18" s="13"/>
      <c r="G18" s="14" t="s">
        <v>47</v>
      </c>
      <c r="H18" s="8" t="s">
        <v>26</v>
      </c>
      <c r="I18" s="8" t="s">
        <v>26</v>
      </c>
    </row>
    <row r="19" spans="1:9" ht="39.950000000000003" customHeight="1" x14ac:dyDescent="0.2">
      <c r="A19" s="12"/>
      <c r="B19" s="5"/>
      <c r="C19" s="3" t="s">
        <v>34</v>
      </c>
      <c r="D19" s="3">
        <v>20240618</v>
      </c>
      <c r="E19" s="15"/>
      <c r="F19" s="13"/>
      <c r="G19" s="14" t="s">
        <v>48</v>
      </c>
      <c r="H19" s="8" t="s">
        <v>26</v>
      </c>
      <c r="I19" s="8" t="s">
        <v>26</v>
      </c>
    </row>
    <row r="20" spans="1:9" ht="15.95" customHeight="1" x14ac:dyDescent="0.2">
      <c r="A20" s="12"/>
      <c r="B20" s="5"/>
      <c r="C20" s="3" t="s">
        <v>27</v>
      </c>
      <c r="D20" s="3">
        <v>20240626</v>
      </c>
      <c r="E20" s="15"/>
      <c r="F20" s="13"/>
      <c r="G20" s="14" t="s">
        <v>49</v>
      </c>
      <c r="H20" s="8" t="s">
        <v>26</v>
      </c>
      <c r="I20" s="8" t="s">
        <v>26</v>
      </c>
    </row>
    <row r="21" spans="1:9" ht="15.95" customHeight="1" x14ac:dyDescent="0.2">
      <c r="A21" s="2"/>
      <c r="B21" s="5"/>
      <c r="C21" s="6"/>
      <c r="D21" s="3">
        <v>20240629</v>
      </c>
      <c r="E21" s="3"/>
      <c r="F21" s="7"/>
      <c r="G21" s="4" t="s">
        <v>50</v>
      </c>
      <c r="H21" s="8" t="s">
        <v>26</v>
      </c>
      <c r="I21" s="8" t="s">
        <v>26</v>
      </c>
    </row>
    <row r="22" spans="1:9" ht="18.95" customHeight="1" x14ac:dyDescent="0.2">
      <c r="A22" s="2"/>
      <c r="B22" s="5"/>
      <c r="C22" s="6" t="s">
        <v>34</v>
      </c>
      <c r="D22" s="3">
        <v>20240701</v>
      </c>
      <c r="E22" s="3"/>
      <c r="F22" s="7"/>
      <c r="G22" s="4" t="s">
        <v>51</v>
      </c>
      <c r="H22" s="8" t="s">
        <v>26</v>
      </c>
      <c r="I22" s="8" t="s">
        <v>26</v>
      </c>
    </row>
    <row r="23" spans="1:9" ht="18.95" customHeight="1" x14ac:dyDescent="0.2">
      <c r="A23" s="2"/>
      <c r="B23" s="5"/>
      <c r="C23" s="6" t="s">
        <v>34</v>
      </c>
      <c r="D23" s="3">
        <v>20240703</v>
      </c>
      <c r="E23" s="3"/>
      <c r="F23" s="7"/>
      <c r="G23" s="4" t="s">
        <v>52</v>
      </c>
      <c r="H23" s="8" t="s">
        <v>26</v>
      </c>
      <c r="I23" s="8" t="s">
        <v>26</v>
      </c>
    </row>
    <row r="24" spans="1:9" ht="18.95" customHeight="1" x14ac:dyDescent="0.2">
      <c r="A24" s="2"/>
      <c r="B24" s="5"/>
      <c r="C24" s="6" t="s">
        <v>34</v>
      </c>
      <c r="D24" s="3">
        <v>20240704</v>
      </c>
      <c r="E24" s="3"/>
      <c r="F24" s="7"/>
      <c r="G24" s="4" t="s">
        <v>53</v>
      </c>
      <c r="H24" s="8" t="s">
        <v>26</v>
      </c>
      <c r="I24" s="8" t="s">
        <v>26</v>
      </c>
    </row>
    <row r="25" spans="1:9" ht="18.95" customHeight="1" x14ac:dyDescent="0.2">
      <c r="A25" s="2"/>
      <c r="B25" s="5"/>
      <c r="C25" s="6" t="s">
        <v>32</v>
      </c>
      <c r="D25" s="3">
        <v>2024071</v>
      </c>
      <c r="E25" s="3"/>
      <c r="F25" s="7"/>
      <c r="G25" s="4" t="s">
        <v>54</v>
      </c>
      <c r="H25" s="8" t="s">
        <v>26</v>
      </c>
      <c r="I25" s="8" t="s">
        <v>26</v>
      </c>
    </row>
    <row r="26" spans="1:9" ht="18.95" customHeight="1" x14ac:dyDescent="0.2">
      <c r="A26" s="2"/>
      <c r="B26" s="5"/>
      <c r="C26" s="6" t="s">
        <v>24</v>
      </c>
      <c r="D26" s="3">
        <v>20240711</v>
      </c>
      <c r="E26" s="3"/>
      <c r="F26" s="7"/>
      <c r="G26" s="4" t="s">
        <v>55</v>
      </c>
      <c r="H26" s="8" t="s">
        <v>26</v>
      </c>
      <c r="I26" s="8" t="s">
        <v>26</v>
      </c>
    </row>
    <row r="27" spans="1:9" ht="18.95" customHeight="1" x14ac:dyDescent="0.2">
      <c r="A27" s="2"/>
      <c r="B27" s="5"/>
      <c r="C27" s="6" t="s">
        <v>56</v>
      </c>
      <c r="D27" s="3">
        <v>20240801</v>
      </c>
      <c r="E27" s="3"/>
      <c r="F27" s="7"/>
      <c r="G27" s="4" t="s">
        <v>57</v>
      </c>
      <c r="H27" s="8" t="s">
        <v>26</v>
      </c>
      <c r="I27" s="8" t="s">
        <v>26</v>
      </c>
    </row>
    <row r="28" spans="1:9" ht="18.95" customHeight="1" x14ac:dyDescent="0.2">
      <c r="A28" s="2"/>
      <c r="B28" s="5"/>
      <c r="C28" s="6" t="s">
        <v>58</v>
      </c>
      <c r="D28" s="3">
        <v>20240802</v>
      </c>
      <c r="E28" s="3"/>
      <c r="F28" s="7"/>
      <c r="G28" s="37" t="s">
        <v>59</v>
      </c>
      <c r="H28" s="8" t="s">
        <v>26</v>
      </c>
      <c r="I28" s="8" t="s">
        <v>26</v>
      </c>
    </row>
    <row r="29" spans="1:9" ht="18.95" customHeight="1" x14ac:dyDescent="0.2">
      <c r="A29" s="2"/>
      <c r="B29" s="5"/>
      <c r="C29" s="6" t="s">
        <v>60</v>
      </c>
      <c r="D29" s="3">
        <v>20240805</v>
      </c>
      <c r="E29" s="3"/>
      <c r="F29" s="7"/>
      <c r="G29" s="4" t="s">
        <v>61</v>
      </c>
      <c r="H29" s="8" t="s">
        <v>26</v>
      </c>
      <c r="I29" s="8" t="s">
        <v>26</v>
      </c>
    </row>
    <row r="30" spans="1:9" ht="18.95" customHeight="1" x14ac:dyDescent="0.2">
      <c r="A30" s="2"/>
      <c r="B30" s="5"/>
      <c r="C30" s="6" t="s">
        <v>56</v>
      </c>
      <c r="D30" s="3">
        <v>20240806</v>
      </c>
      <c r="E30" s="3"/>
      <c r="F30" s="7"/>
      <c r="G30" s="4" t="s">
        <v>62</v>
      </c>
      <c r="H30" s="8" t="s">
        <v>26</v>
      </c>
      <c r="I30" s="8" t="s">
        <v>26</v>
      </c>
    </row>
    <row r="31" spans="1:9" ht="18.95" customHeight="1" x14ac:dyDescent="0.2">
      <c r="A31" s="2"/>
      <c r="B31" s="5"/>
      <c r="C31" s="6" t="s">
        <v>56</v>
      </c>
      <c r="D31" s="3">
        <v>20240812</v>
      </c>
      <c r="E31" s="3"/>
      <c r="F31" s="7"/>
      <c r="G31" s="4" t="s">
        <v>63</v>
      </c>
      <c r="H31" s="8" t="s">
        <v>26</v>
      </c>
      <c r="I31" s="8" t="s">
        <v>26</v>
      </c>
    </row>
    <row r="32" spans="1:9" ht="18.95" customHeight="1" x14ac:dyDescent="0.2">
      <c r="A32" s="2"/>
      <c r="B32" s="5"/>
      <c r="C32" s="6" t="s">
        <v>39</v>
      </c>
      <c r="D32" s="3">
        <v>20240813</v>
      </c>
      <c r="E32" s="3"/>
      <c r="F32" s="7"/>
      <c r="G32" s="4" t="s">
        <v>64</v>
      </c>
      <c r="H32" s="8" t="s">
        <v>26</v>
      </c>
      <c r="I32" s="8" t="s">
        <v>26</v>
      </c>
    </row>
    <row r="33" spans="1:9" ht="18.95" customHeight="1" x14ac:dyDescent="0.2">
      <c r="A33" s="2"/>
      <c r="B33" s="5"/>
      <c r="C33" s="6" t="s">
        <v>27</v>
      </c>
      <c r="D33" s="3">
        <v>20240813</v>
      </c>
      <c r="E33" s="3"/>
      <c r="F33" s="7"/>
      <c r="G33" s="4" t="s">
        <v>65</v>
      </c>
      <c r="H33" s="8" t="s">
        <v>26</v>
      </c>
      <c r="I33" s="8" t="s">
        <v>26</v>
      </c>
    </row>
    <row r="34" spans="1:9" ht="18.95" customHeight="1" x14ac:dyDescent="0.2">
      <c r="A34" s="2"/>
      <c r="B34" s="5"/>
      <c r="C34" s="6" t="s">
        <v>34</v>
      </c>
      <c r="D34" s="3">
        <v>20240813</v>
      </c>
      <c r="E34" s="3"/>
      <c r="F34" s="7"/>
      <c r="G34" s="4" t="s">
        <v>66</v>
      </c>
      <c r="H34" s="8" t="s">
        <v>26</v>
      </c>
      <c r="I34" s="8" t="s">
        <v>26</v>
      </c>
    </row>
    <row r="35" spans="1:9" ht="18.95" customHeight="1" x14ac:dyDescent="0.2">
      <c r="A35" s="2"/>
      <c r="B35" s="5"/>
      <c r="C35" s="6" t="s">
        <v>56</v>
      </c>
      <c r="D35" s="3">
        <v>20240814</v>
      </c>
      <c r="E35" s="3"/>
      <c r="F35" s="7"/>
      <c r="G35" s="4" t="s">
        <v>67</v>
      </c>
      <c r="H35" s="8" t="s">
        <v>26</v>
      </c>
      <c r="I35" s="8" t="s">
        <v>26</v>
      </c>
    </row>
    <row r="36" spans="1:9" ht="18.95" customHeight="1" x14ac:dyDescent="0.2">
      <c r="A36" s="2"/>
      <c r="B36" s="5"/>
      <c r="C36" s="6" t="s">
        <v>39</v>
      </c>
      <c r="D36" s="3">
        <v>20240814</v>
      </c>
      <c r="E36" s="3"/>
      <c r="F36" s="7"/>
      <c r="G36" s="4" t="s">
        <v>68</v>
      </c>
      <c r="H36" s="8" t="s">
        <v>26</v>
      </c>
      <c r="I36" s="8" t="s">
        <v>26</v>
      </c>
    </row>
    <row r="37" spans="1:9" ht="18.95" customHeight="1" x14ac:dyDescent="0.2">
      <c r="A37" s="2"/>
      <c r="B37" s="5"/>
      <c r="C37" s="6" t="s">
        <v>24</v>
      </c>
      <c r="D37" s="3">
        <v>20240815</v>
      </c>
      <c r="E37" s="3"/>
      <c r="F37" s="7"/>
      <c r="G37" s="4" t="s">
        <v>69</v>
      </c>
      <c r="H37" s="8" t="s">
        <v>26</v>
      </c>
      <c r="I37" s="8" t="s">
        <v>26</v>
      </c>
    </row>
    <row r="38" spans="1:9" ht="18.95" customHeight="1" x14ac:dyDescent="0.2">
      <c r="A38" s="2"/>
      <c r="B38" s="5"/>
      <c r="C38" s="6" t="s">
        <v>70</v>
      </c>
      <c r="D38" s="3">
        <v>20240816</v>
      </c>
      <c r="E38" s="3"/>
      <c r="F38" s="7"/>
      <c r="G38" s="4" t="s">
        <v>71</v>
      </c>
      <c r="H38" s="8" t="s">
        <v>26</v>
      </c>
      <c r="I38" s="8" t="s">
        <v>26</v>
      </c>
    </row>
    <row r="39" spans="1:9" ht="18.95" customHeight="1" x14ac:dyDescent="0.2">
      <c r="A39" s="2"/>
      <c r="B39" s="5"/>
      <c r="C39" s="6" t="s">
        <v>56</v>
      </c>
      <c r="D39" s="3">
        <v>20240819</v>
      </c>
      <c r="E39" s="3"/>
      <c r="F39" s="7"/>
      <c r="G39" s="4" t="s">
        <v>72</v>
      </c>
      <c r="H39" s="8" t="s">
        <v>26</v>
      </c>
      <c r="I39" s="8" t="s">
        <v>26</v>
      </c>
    </row>
    <row r="40" spans="1:9" ht="18.95" customHeight="1" x14ac:dyDescent="0.2">
      <c r="A40" s="2"/>
      <c r="B40" s="5"/>
      <c r="C40" s="6" t="s">
        <v>73</v>
      </c>
      <c r="D40" s="3">
        <v>20240830</v>
      </c>
      <c r="E40" s="3"/>
      <c r="F40" s="7"/>
      <c r="G40" s="4" t="s">
        <v>74</v>
      </c>
      <c r="H40" s="8" t="s">
        <v>26</v>
      </c>
      <c r="I40" s="8" t="s">
        <v>26</v>
      </c>
    </row>
    <row r="41" spans="1:9" ht="18.95" customHeight="1" x14ac:dyDescent="0.2">
      <c r="A41" s="2"/>
      <c r="B41" s="5"/>
      <c r="C41" s="6" t="s">
        <v>24</v>
      </c>
      <c r="D41" s="3">
        <v>20240902</v>
      </c>
      <c r="E41" s="3"/>
      <c r="F41" s="7"/>
      <c r="G41" s="4" t="s">
        <v>75</v>
      </c>
      <c r="H41" s="8" t="s">
        <v>26</v>
      </c>
      <c r="I41" s="8" t="s">
        <v>26</v>
      </c>
    </row>
    <row r="42" spans="1:9" ht="20.100000000000001" customHeight="1" x14ac:dyDescent="0.2">
      <c r="A42" s="2"/>
      <c r="B42" s="5"/>
      <c r="C42" s="6" t="s">
        <v>60</v>
      </c>
      <c r="D42" s="3">
        <v>20240902</v>
      </c>
      <c r="E42" s="3"/>
      <c r="F42" s="7"/>
      <c r="G42" s="4" t="s">
        <v>76</v>
      </c>
      <c r="H42" s="8" t="s">
        <v>26</v>
      </c>
      <c r="I42" s="8" t="s">
        <v>26</v>
      </c>
    </row>
    <row r="43" spans="1:9" ht="20.100000000000001" customHeight="1" x14ac:dyDescent="0.2">
      <c r="A43" s="2"/>
      <c r="B43" s="5"/>
      <c r="C43" s="6" t="s">
        <v>60</v>
      </c>
      <c r="D43" s="3">
        <v>20240909</v>
      </c>
      <c r="E43" s="3"/>
      <c r="F43" s="7"/>
      <c r="G43" s="4" t="s">
        <v>77</v>
      </c>
      <c r="H43" s="8" t="s">
        <v>26</v>
      </c>
      <c r="I43" s="8" t="s">
        <v>26</v>
      </c>
    </row>
    <row r="44" spans="1:9" ht="18.95" customHeight="1" x14ac:dyDescent="0.2">
      <c r="A44" s="2"/>
      <c r="B44" s="5"/>
      <c r="C44" s="6" t="s">
        <v>73</v>
      </c>
      <c r="D44" s="3">
        <v>20240911</v>
      </c>
      <c r="E44" s="3"/>
      <c r="F44" s="7"/>
      <c r="G44" s="22" t="s">
        <v>78</v>
      </c>
      <c r="H44" s="8" t="s">
        <v>26</v>
      </c>
      <c r="I44" s="8" t="s">
        <v>26</v>
      </c>
    </row>
    <row r="45" spans="1:9" ht="18.95" customHeight="1" x14ac:dyDescent="0.2">
      <c r="A45" s="2"/>
      <c r="B45" s="5"/>
      <c r="C45" s="6" t="s">
        <v>36</v>
      </c>
      <c r="D45" s="9">
        <v>20240911</v>
      </c>
      <c r="E45" s="9"/>
      <c r="F45" s="11"/>
      <c r="G45" s="10" t="s">
        <v>79</v>
      </c>
      <c r="H45" s="8" t="s">
        <v>26</v>
      </c>
      <c r="I45" s="8" t="s">
        <v>26</v>
      </c>
    </row>
    <row r="46" spans="1:9" ht="18.95" customHeight="1" x14ac:dyDescent="0.2">
      <c r="A46" s="2"/>
      <c r="B46" s="5"/>
      <c r="C46" s="6" t="s">
        <v>39</v>
      </c>
      <c r="D46" s="9">
        <v>20240911</v>
      </c>
      <c r="E46" s="3"/>
      <c r="F46" s="7"/>
      <c r="G46" s="4" t="s">
        <v>80</v>
      </c>
      <c r="H46" s="8" t="s">
        <v>26</v>
      </c>
      <c r="I46" s="8" t="s">
        <v>26</v>
      </c>
    </row>
    <row r="47" spans="1:9" ht="18.95" customHeight="1" x14ac:dyDescent="0.2">
      <c r="A47" s="2"/>
      <c r="B47" s="5"/>
      <c r="C47" s="6" t="s">
        <v>56</v>
      </c>
      <c r="D47" s="3">
        <v>20240912</v>
      </c>
      <c r="E47" s="3"/>
      <c r="F47" s="7"/>
      <c r="G47" s="4" t="s">
        <v>81</v>
      </c>
      <c r="H47" s="8" t="s">
        <v>26</v>
      </c>
      <c r="I47" s="8" t="s">
        <v>26</v>
      </c>
    </row>
    <row r="48" spans="1:9" ht="18.95" customHeight="1" x14ac:dyDescent="0.2">
      <c r="A48" s="2"/>
      <c r="B48" s="5"/>
      <c r="C48" s="27" t="s">
        <v>27</v>
      </c>
      <c r="D48" s="9">
        <v>20240912</v>
      </c>
      <c r="E48" s="9"/>
      <c r="F48" s="11"/>
      <c r="G48" s="10" t="s">
        <v>82</v>
      </c>
      <c r="H48" s="8" t="s">
        <v>26</v>
      </c>
      <c r="I48" s="8" t="s">
        <v>26</v>
      </c>
    </row>
    <row r="49" spans="1:9" ht="18.95" customHeight="1" x14ac:dyDescent="0.2">
      <c r="A49" s="2"/>
      <c r="B49" s="5"/>
      <c r="C49" s="6" t="s">
        <v>73</v>
      </c>
      <c r="D49" s="9">
        <v>20240919</v>
      </c>
      <c r="E49" s="3"/>
      <c r="F49" s="7"/>
      <c r="G49" s="4" t="s">
        <v>83</v>
      </c>
      <c r="H49" s="8" t="s">
        <v>26</v>
      </c>
      <c r="I49" s="8" t="s">
        <v>26</v>
      </c>
    </row>
    <row r="50" spans="1:9" ht="18.95" customHeight="1" x14ac:dyDescent="0.2">
      <c r="A50" s="2"/>
      <c r="B50" s="5"/>
      <c r="C50" s="6" t="s">
        <v>32</v>
      </c>
      <c r="D50" s="3">
        <v>20240924</v>
      </c>
      <c r="E50" s="3"/>
      <c r="F50" s="7"/>
      <c r="G50" s="4" t="s">
        <v>84</v>
      </c>
      <c r="H50" s="8" t="s">
        <v>26</v>
      </c>
      <c r="I50" s="8" t="s">
        <v>26</v>
      </c>
    </row>
    <row r="51" spans="1:9" ht="18.95" customHeight="1" x14ac:dyDescent="0.2">
      <c r="A51" s="2"/>
      <c r="B51" s="5"/>
      <c r="C51" s="6" t="s">
        <v>56</v>
      </c>
      <c r="D51" s="3">
        <v>20240926</v>
      </c>
      <c r="E51" s="3"/>
      <c r="F51" s="7"/>
      <c r="G51" s="4" t="s">
        <v>85</v>
      </c>
      <c r="H51" s="8" t="s">
        <v>26</v>
      </c>
      <c r="I51" s="8" t="s">
        <v>26</v>
      </c>
    </row>
    <row r="52" spans="1:9" ht="18.95" customHeight="1" x14ac:dyDescent="0.2">
      <c r="A52" s="2"/>
      <c r="B52" s="5"/>
      <c r="C52" s="6" t="s">
        <v>86</v>
      </c>
      <c r="D52" s="3">
        <v>20240930</v>
      </c>
      <c r="E52" s="3"/>
      <c r="F52" s="7"/>
      <c r="G52" s="4" t="s">
        <v>87</v>
      </c>
      <c r="H52" s="8" t="s">
        <v>26</v>
      </c>
      <c r="I52" s="8" t="s">
        <v>26</v>
      </c>
    </row>
    <row r="53" spans="1:9" ht="18.95" customHeight="1" x14ac:dyDescent="0.2">
      <c r="A53" s="2"/>
      <c r="B53" s="5"/>
      <c r="C53" s="6" t="s">
        <v>60</v>
      </c>
      <c r="D53" s="3">
        <v>20241010</v>
      </c>
      <c r="E53" s="3"/>
      <c r="F53" s="7"/>
      <c r="G53" s="4" t="s">
        <v>88</v>
      </c>
      <c r="H53" s="8" t="s">
        <v>26</v>
      </c>
      <c r="I53" s="8" t="s">
        <v>26</v>
      </c>
    </row>
    <row r="54" spans="1:9" ht="18.95" customHeight="1" x14ac:dyDescent="0.2">
      <c r="A54" s="2"/>
      <c r="B54" s="5"/>
      <c r="C54" s="6" t="s">
        <v>24</v>
      </c>
      <c r="D54" s="3">
        <v>20241014</v>
      </c>
      <c r="E54" s="3"/>
      <c r="F54" s="7"/>
      <c r="G54" s="4" t="s">
        <v>89</v>
      </c>
      <c r="H54" s="8" t="s">
        <v>26</v>
      </c>
      <c r="I54" s="8" t="s">
        <v>26</v>
      </c>
    </row>
    <row r="55" spans="1:9" ht="18.95" customHeight="1" x14ac:dyDescent="0.2">
      <c r="A55" s="2"/>
      <c r="B55" s="5"/>
      <c r="C55" s="6" t="s">
        <v>24</v>
      </c>
      <c r="D55" s="3">
        <v>20241018</v>
      </c>
      <c r="E55" s="3"/>
      <c r="F55" s="7"/>
      <c r="G55" s="4" t="s">
        <v>90</v>
      </c>
      <c r="H55" s="8" t="s">
        <v>26</v>
      </c>
      <c r="I55" s="8" t="s">
        <v>26</v>
      </c>
    </row>
    <row r="56" spans="1:9" ht="18.95" customHeight="1" x14ac:dyDescent="0.2">
      <c r="A56" s="2"/>
      <c r="B56" s="5"/>
      <c r="C56" s="6" t="s">
        <v>91</v>
      </c>
      <c r="D56" s="3">
        <v>20241018</v>
      </c>
      <c r="E56" s="3"/>
      <c r="F56" s="7"/>
      <c r="G56" s="4" t="s">
        <v>92</v>
      </c>
      <c r="H56" s="8" t="s">
        <v>26</v>
      </c>
      <c r="I56" s="8" t="s">
        <v>26</v>
      </c>
    </row>
    <row r="57" spans="1:9" ht="18.95" customHeight="1" x14ac:dyDescent="0.2">
      <c r="A57" s="2"/>
      <c r="B57" s="5"/>
      <c r="C57" s="6" t="s">
        <v>27</v>
      </c>
      <c r="D57" s="3">
        <v>20241021</v>
      </c>
      <c r="E57" s="3"/>
      <c r="F57" s="7"/>
      <c r="G57" s="17" t="s">
        <v>93</v>
      </c>
      <c r="H57" s="8" t="s">
        <v>26</v>
      </c>
      <c r="I57" s="8" t="s">
        <v>26</v>
      </c>
    </row>
    <row r="58" spans="1:9" ht="18.95" customHeight="1" x14ac:dyDescent="0.2">
      <c r="A58" s="2"/>
      <c r="B58" s="5"/>
      <c r="C58" s="6" t="s">
        <v>73</v>
      </c>
      <c r="D58" s="3">
        <v>20241021</v>
      </c>
      <c r="E58" s="3"/>
      <c r="F58" s="7"/>
      <c r="G58" s="4" t="s">
        <v>94</v>
      </c>
      <c r="H58" s="8" t="s">
        <v>26</v>
      </c>
      <c r="I58" s="8" t="s">
        <v>26</v>
      </c>
    </row>
    <row r="59" spans="1:9" ht="13.5" x14ac:dyDescent="0.2">
      <c r="A59" s="2"/>
      <c r="B59" s="5"/>
      <c r="C59" s="6" t="s">
        <v>24</v>
      </c>
      <c r="D59" s="3">
        <v>20241023</v>
      </c>
      <c r="E59" s="3"/>
      <c r="F59" s="7"/>
      <c r="G59" s="4" t="s">
        <v>95</v>
      </c>
      <c r="H59" s="8" t="s">
        <v>26</v>
      </c>
      <c r="I59" s="8" t="s">
        <v>26</v>
      </c>
    </row>
    <row r="60" spans="1:9" ht="13.5" x14ac:dyDescent="0.2">
      <c r="A60" s="2"/>
      <c r="B60" s="5"/>
      <c r="C60" s="6" t="s">
        <v>60</v>
      </c>
      <c r="D60" s="3">
        <v>20241031</v>
      </c>
      <c r="E60" s="3"/>
      <c r="F60" s="7"/>
      <c r="G60" s="4" t="s">
        <v>96</v>
      </c>
      <c r="H60" s="8" t="s">
        <v>26</v>
      </c>
      <c r="I60" s="8" t="s">
        <v>26</v>
      </c>
    </row>
    <row r="61" spans="1:9" ht="13.5" x14ac:dyDescent="0.2">
      <c r="A61" s="2"/>
      <c r="B61" s="5"/>
      <c r="C61" s="6" t="s">
        <v>97</v>
      </c>
      <c r="D61" s="3">
        <v>20241101</v>
      </c>
      <c r="E61" s="3"/>
      <c r="F61" s="7"/>
      <c r="G61" s="4" t="s">
        <v>98</v>
      </c>
      <c r="H61" s="8" t="s">
        <v>26</v>
      </c>
      <c r="I61" s="8" t="s">
        <v>26</v>
      </c>
    </row>
    <row r="62" spans="1:9" ht="13.5" x14ac:dyDescent="0.2">
      <c r="A62" s="2"/>
      <c r="B62" s="5"/>
      <c r="C62" s="6" t="s">
        <v>73</v>
      </c>
      <c r="D62" s="3">
        <v>20241106</v>
      </c>
      <c r="E62" s="3"/>
      <c r="F62" s="7"/>
      <c r="G62" s="4" t="s">
        <v>99</v>
      </c>
      <c r="H62" s="8" t="s">
        <v>26</v>
      </c>
      <c r="I62" s="8" t="s">
        <v>26</v>
      </c>
    </row>
    <row r="63" spans="1:9" ht="13.5" x14ac:dyDescent="0.2">
      <c r="A63" s="2"/>
      <c r="B63" s="5"/>
      <c r="C63" s="6" t="s">
        <v>32</v>
      </c>
      <c r="D63" s="3">
        <v>20241108</v>
      </c>
      <c r="E63" s="3"/>
      <c r="F63" s="7"/>
      <c r="G63" s="4" t="s">
        <v>100</v>
      </c>
      <c r="H63" s="8" t="s">
        <v>26</v>
      </c>
      <c r="I63" s="8" t="s">
        <v>26</v>
      </c>
    </row>
    <row r="64" spans="1:9" ht="27" x14ac:dyDescent="0.2">
      <c r="A64" s="2"/>
      <c r="B64" s="5"/>
      <c r="C64" s="6" t="s">
        <v>32</v>
      </c>
      <c r="D64" s="3">
        <v>20241114</v>
      </c>
      <c r="E64" s="3"/>
      <c r="F64" s="7"/>
      <c r="G64" s="4" t="s">
        <v>101</v>
      </c>
      <c r="H64" s="8" t="s">
        <v>26</v>
      </c>
      <c r="I64" s="8" t="s">
        <v>26</v>
      </c>
    </row>
    <row r="65" spans="1:9" ht="27" x14ac:dyDescent="0.2">
      <c r="A65" s="2"/>
      <c r="B65" s="5"/>
      <c r="C65" s="6" t="s">
        <v>60</v>
      </c>
      <c r="D65" s="3">
        <v>20241114</v>
      </c>
      <c r="E65" s="3"/>
      <c r="F65" s="7"/>
      <c r="G65" s="4" t="s">
        <v>102</v>
      </c>
      <c r="H65" s="8" t="s">
        <v>26</v>
      </c>
      <c r="I65" s="8" t="s">
        <v>26</v>
      </c>
    </row>
    <row r="66" spans="1:9" ht="13.5" x14ac:dyDescent="0.2">
      <c r="A66" s="2"/>
      <c r="B66" s="5"/>
      <c r="C66" s="6" t="s">
        <v>56</v>
      </c>
      <c r="D66" s="3">
        <v>20241114</v>
      </c>
      <c r="E66" s="3"/>
      <c r="F66" s="7"/>
      <c r="G66" s="4" t="s">
        <v>103</v>
      </c>
      <c r="H66" s="8" t="s">
        <v>26</v>
      </c>
      <c r="I66" s="8" t="s">
        <v>26</v>
      </c>
    </row>
    <row r="67" spans="1:9" ht="13.5" x14ac:dyDescent="0.2">
      <c r="A67" s="2"/>
      <c r="B67" s="5"/>
      <c r="C67" s="6" t="s">
        <v>34</v>
      </c>
      <c r="D67" s="3">
        <v>20241115</v>
      </c>
      <c r="E67" s="3"/>
      <c r="F67" s="7"/>
      <c r="G67" s="4" t="s">
        <v>104</v>
      </c>
      <c r="H67" s="8" t="s">
        <v>26</v>
      </c>
      <c r="I67" s="8" t="s">
        <v>26</v>
      </c>
    </row>
    <row r="68" spans="1:9" ht="13.5" x14ac:dyDescent="0.2">
      <c r="A68" s="2"/>
      <c r="B68" s="5"/>
      <c r="C68" s="6" t="s">
        <v>105</v>
      </c>
      <c r="D68" s="3">
        <v>20241118</v>
      </c>
      <c r="E68" s="3"/>
      <c r="F68" s="7"/>
      <c r="G68" s="4" t="s">
        <v>106</v>
      </c>
      <c r="H68" s="8" t="s">
        <v>26</v>
      </c>
      <c r="I68" s="8" t="s">
        <v>26</v>
      </c>
    </row>
    <row r="69" spans="1:9" ht="13.5" x14ac:dyDescent="0.2">
      <c r="A69" s="2"/>
      <c r="B69" s="5"/>
      <c r="C69" s="6" t="s">
        <v>32</v>
      </c>
      <c r="D69" s="3">
        <v>20241118</v>
      </c>
      <c r="E69" s="3"/>
      <c r="F69" s="7"/>
      <c r="G69" s="4" t="s">
        <v>107</v>
      </c>
      <c r="H69" s="8" t="s">
        <v>26</v>
      </c>
      <c r="I69" s="8" t="s">
        <v>26</v>
      </c>
    </row>
    <row r="70" spans="1:9" ht="13.5" x14ac:dyDescent="0.2">
      <c r="A70" s="2"/>
      <c r="B70" s="5"/>
      <c r="C70" s="6" t="s">
        <v>73</v>
      </c>
      <c r="D70" s="3">
        <v>20241119</v>
      </c>
      <c r="E70" s="3"/>
      <c r="F70" s="7"/>
      <c r="G70" s="4" t="s">
        <v>108</v>
      </c>
      <c r="H70" s="8" t="s">
        <v>26</v>
      </c>
      <c r="I70" s="8" t="s">
        <v>26</v>
      </c>
    </row>
    <row r="71" spans="1:9" ht="27" x14ac:dyDescent="0.2">
      <c r="A71" s="2"/>
      <c r="B71" s="5"/>
      <c r="C71" s="6" t="s">
        <v>91</v>
      </c>
      <c r="D71" s="3">
        <v>20241119</v>
      </c>
      <c r="E71" s="3"/>
      <c r="F71" s="7"/>
      <c r="G71" s="4" t="s">
        <v>109</v>
      </c>
      <c r="H71" s="8" t="s">
        <v>26</v>
      </c>
      <c r="I71" s="8" t="s">
        <v>26</v>
      </c>
    </row>
    <row r="72" spans="1:9" ht="27" x14ac:dyDescent="0.2">
      <c r="A72" s="2"/>
      <c r="B72" s="5"/>
      <c r="C72" s="6" t="s">
        <v>32</v>
      </c>
      <c r="D72" s="3">
        <v>20241119</v>
      </c>
      <c r="E72" s="3"/>
      <c r="F72" s="7"/>
      <c r="G72" s="4" t="s">
        <v>110</v>
      </c>
      <c r="H72" s="8" t="s">
        <v>26</v>
      </c>
      <c r="I72" s="8" t="s">
        <v>26</v>
      </c>
    </row>
    <row r="73" spans="1:9" ht="13.5" x14ac:dyDescent="0.2">
      <c r="A73" s="2"/>
      <c r="B73" s="5"/>
      <c r="C73" s="6" t="s">
        <v>27</v>
      </c>
      <c r="D73" s="3">
        <v>20241120</v>
      </c>
      <c r="E73" s="3"/>
      <c r="F73" s="7"/>
      <c r="G73" s="4" t="s">
        <v>111</v>
      </c>
      <c r="H73" s="8" t="s">
        <v>26</v>
      </c>
      <c r="I73" s="8" t="s">
        <v>26</v>
      </c>
    </row>
    <row r="74" spans="1:9" ht="13.5" x14ac:dyDescent="0.2">
      <c r="A74" s="2"/>
      <c r="B74" s="16"/>
      <c r="C74" s="6" t="s">
        <v>73</v>
      </c>
      <c r="D74" s="3">
        <v>20241120</v>
      </c>
      <c r="E74" s="3"/>
      <c r="F74" s="7"/>
      <c r="G74" s="4" t="s">
        <v>112</v>
      </c>
      <c r="H74" s="8" t="s">
        <v>26</v>
      </c>
      <c r="I74" s="8" t="s">
        <v>26</v>
      </c>
    </row>
    <row r="75" spans="1:9" ht="13.5" x14ac:dyDescent="0.2">
      <c r="A75" s="2"/>
      <c r="B75" s="5"/>
      <c r="C75" s="18" t="s">
        <v>58</v>
      </c>
      <c r="D75" s="19">
        <v>20241125</v>
      </c>
      <c r="E75" s="19"/>
      <c r="F75" s="20"/>
      <c r="G75" s="21" t="s">
        <v>113</v>
      </c>
      <c r="H75" s="8" t="s">
        <v>26</v>
      </c>
      <c r="I75" s="8" t="s">
        <v>26</v>
      </c>
    </row>
    <row r="76" spans="1:9" ht="67.5" x14ac:dyDescent="0.2">
      <c r="A76" s="2"/>
      <c r="B76" s="5"/>
      <c r="C76" s="6" t="s">
        <v>86</v>
      </c>
      <c r="D76" s="3">
        <v>20241126</v>
      </c>
      <c r="E76" s="3"/>
      <c r="F76" s="7"/>
      <c r="G76" s="4" t="s">
        <v>114</v>
      </c>
      <c r="H76" s="8" t="s">
        <v>26</v>
      </c>
      <c r="I76" s="8" t="s">
        <v>26</v>
      </c>
    </row>
    <row r="77" spans="1:9" ht="13.5" x14ac:dyDescent="0.2">
      <c r="A77" s="2"/>
      <c r="B77" s="5"/>
      <c r="C77" s="6" t="s">
        <v>39</v>
      </c>
      <c r="D77" s="3">
        <v>20241126</v>
      </c>
      <c r="E77" s="3"/>
      <c r="F77" s="7"/>
      <c r="G77" s="4" t="s">
        <v>115</v>
      </c>
      <c r="H77" s="8" t="s">
        <v>26</v>
      </c>
      <c r="I77" s="8" t="s">
        <v>26</v>
      </c>
    </row>
    <row r="78" spans="1:9" ht="54" x14ac:dyDescent="0.2">
      <c r="A78" s="2"/>
      <c r="B78" s="5"/>
      <c r="C78" s="6" t="s">
        <v>32</v>
      </c>
      <c r="D78" s="3">
        <v>20241126</v>
      </c>
      <c r="E78" s="3"/>
      <c r="F78" s="7"/>
      <c r="G78" s="4" t="s">
        <v>116</v>
      </c>
      <c r="H78" s="8" t="s">
        <v>26</v>
      </c>
      <c r="I78" s="8" t="s">
        <v>26</v>
      </c>
    </row>
    <row r="79" spans="1:9" ht="27" x14ac:dyDescent="0.2">
      <c r="A79" s="2"/>
      <c r="B79" s="5"/>
      <c r="C79" s="6" t="s">
        <v>86</v>
      </c>
      <c r="D79" s="3">
        <v>20241127</v>
      </c>
      <c r="E79" s="3"/>
      <c r="F79" s="7"/>
      <c r="G79" s="4" t="s">
        <v>117</v>
      </c>
      <c r="H79" s="8" t="s">
        <v>26</v>
      </c>
      <c r="I79" s="8" t="s">
        <v>26</v>
      </c>
    </row>
    <row r="80" spans="1:9" ht="27" x14ac:dyDescent="0.2">
      <c r="A80" s="2"/>
      <c r="B80" s="5"/>
      <c r="C80" s="6" t="s">
        <v>86</v>
      </c>
      <c r="D80" s="3">
        <v>20241203</v>
      </c>
      <c r="E80" s="3"/>
      <c r="F80" s="7"/>
      <c r="G80" s="4" t="s">
        <v>118</v>
      </c>
      <c r="H80" s="8" t="s">
        <v>26</v>
      </c>
      <c r="I80" s="8" t="s">
        <v>26</v>
      </c>
    </row>
    <row r="81" spans="1:10" ht="57" x14ac:dyDescent="0.2">
      <c r="A81" s="2"/>
      <c r="B81" s="5"/>
      <c r="C81" s="6" t="s">
        <v>32</v>
      </c>
      <c r="D81" s="3">
        <v>20241203</v>
      </c>
      <c r="E81" s="3"/>
      <c r="F81" s="7"/>
      <c r="G81" s="4" t="s">
        <v>1</v>
      </c>
      <c r="H81" s="8" t="s">
        <v>26</v>
      </c>
      <c r="I81" s="8" t="s">
        <v>26</v>
      </c>
    </row>
    <row r="82" spans="1:10" ht="13.5" x14ac:dyDescent="0.2">
      <c r="A82" s="2"/>
      <c r="B82" s="5"/>
      <c r="C82" s="6" t="s">
        <v>24</v>
      </c>
      <c r="D82" s="3">
        <v>20241203</v>
      </c>
      <c r="E82" s="3"/>
      <c r="F82" s="7"/>
      <c r="G82" s="4" t="s">
        <v>119</v>
      </c>
      <c r="H82" s="8" t="s">
        <v>26</v>
      </c>
      <c r="I82" s="8" t="s">
        <v>26</v>
      </c>
    </row>
    <row r="83" spans="1:10" ht="13.5" x14ac:dyDescent="0.2">
      <c r="A83" s="2"/>
      <c r="B83" s="5"/>
      <c r="C83" s="6" t="s">
        <v>60</v>
      </c>
      <c r="D83" s="3">
        <v>20241209</v>
      </c>
      <c r="E83" s="3"/>
      <c r="F83" s="7"/>
      <c r="G83" s="4" t="s">
        <v>120</v>
      </c>
      <c r="H83" s="8" t="s">
        <v>26</v>
      </c>
      <c r="I83" s="8" t="s">
        <v>26</v>
      </c>
    </row>
    <row r="84" spans="1:10" ht="13.5" x14ac:dyDescent="0.2">
      <c r="A84" s="2"/>
      <c r="B84" s="5"/>
      <c r="C84" s="6" t="s">
        <v>24</v>
      </c>
      <c r="D84" s="3">
        <v>20241210</v>
      </c>
      <c r="E84" s="3"/>
      <c r="F84" s="7"/>
      <c r="G84" s="4" t="s">
        <v>121</v>
      </c>
      <c r="H84" s="8" t="s">
        <v>26</v>
      </c>
      <c r="I84" s="8" t="s">
        <v>26</v>
      </c>
    </row>
    <row r="85" spans="1:10" ht="27" x14ac:dyDescent="0.2">
      <c r="A85" s="2"/>
      <c r="B85" s="5"/>
      <c r="C85" s="6" t="s">
        <v>86</v>
      </c>
      <c r="D85" s="3">
        <v>20241210</v>
      </c>
      <c r="E85" s="3"/>
      <c r="F85" s="7"/>
      <c r="G85" s="4" t="s">
        <v>122</v>
      </c>
      <c r="H85" s="8" t="s">
        <v>26</v>
      </c>
      <c r="I85" s="8" t="s">
        <v>26</v>
      </c>
    </row>
    <row r="86" spans="1:10" ht="27" x14ac:dyDescent="0.2">
      <c r="A86" s="2"/>
      <c r="B86" s="5"/>
      <c r="C86" s="6" t="s">
        <v>86</v>
      </c>
      <c r="D86" s="3">
        <v>2024121</v>
      </c>
      <c r="E86" s="3"/>
      <c r="F86" s="7"/>
      <c r="G86" s="4" t="s">
        <v>123</v>
      </c>
      <c r="H86" s="8" t="s">
        <v>26</v>
      </c>
      <c r="I86" s="8" t="s">
        <v>26</v>
      </c>
    </row>
    <row r="87" spans="1:10" ht="27" x14ac:dyDescent="0.2">
      <c r="A87" s="2"/>
      <c r="B87" s="5"/>
      <c r="C87" s="6" t="s">
        <v>32</v>
      </c>
      <c r="D87" s="3">
        <v>20241211</v>
      </c>
      <c r="E87" s="3"/>
      <c r="F87" s="7"/>
      <c r="G87" s="4" t="s">
        <v>124</v>
      </c>
      <c r="H87" s="8" t="s">
        <v>26</v>
      </c>
      <c r="I87" s="8" t="s">
        <v>26</v>
      </c>
    </row>
    <row r="88" spans="1:10" ht="27" x14ac:dyDescent="0.2">
      <c r="A88" s="2"/>
      <c r="B88" s="5"/>
      <c r="C88" s="6" t="s">
        <v>32</v>
      </c>
      <c r="D88" s="3">
        <v>20241218</v>
      </c>
      <c r="E88" s="3"/>
      <c r="F88" s="7"/>
      <c r="G88" s="4" t="s">
        <v>125</v>
      </c>
      <c r="H88" s="8" t="s">
        <v>26</v>
      </c>
      <c r="I88" s="8" t="s">
        <v>26</v>
      </c>
    </row>
    <row r="89" spans="1:10" ht="13.5" x14ac:dyDescent="0.2">
      <c r="A89" s="2"/>
      <c r="B89" s="5"/>
      <c r="C89" s="6" t="s">
        <v>60</v>
      </c>
      <c r="D89" s="3">
        <v>20211219</v>
      </c>
      <c r="E89" s="3"/>
      <c r="F89" s="7"/>
      <c r="G89" s="4" t="s">
        <v>126</v>
      </c>
      <c r="H89" s="8" t="s">
        <v>26</v>
      </c>
      <c r="I89" s="8" t="s">
        <v>26</v>
      </c>
    </row>
    <row r="90" spans="1:10" ht="27" x14ac:dyDescent="0.2">
      <c r="A90" s="2"/>
      <c r="B90" s="5"/>
      <c r="C90" s="6" t="s">
        <v>91</v>
      </c>
      <c r="D90" s="3">
        <v>20241220</v>
      </c>
      <c r="E90" s="3"/>
      <c r="F90" s="7"/>
      <c r="G90" s="4" t="s">
        <v>127</v>
      </c>
      <c r="H90" s="8" t="s">
        <v>26</v>
      </c>
      <c r="I90" s="8" t="s">
        <v>26</v>
      </c>
    </row>
    <row r="91" spans="1:10" ht="54" x14ac:dyDescent="0.2">
      <c r="A91" s="2"/>
      <c r="B91" s="5"/>
      <c r="C91" s="6" t="s">
        <v>86</v>
      </c>
      <c r="D91" s="3">
        <v>20241223</v>
      </c>
      <c r="E91" s="3"/>
      <c r="F91" s="7"/>
      <c r="G91" s="4" t="s">
        <v>128</v>
      </c>
      <c r="H91" s="8" t="s">
        <v>26</v>
      </c>
      <c r="I91" s="8" t="s">
        <v>26</v>
      </c>
    </row>
    <row r="92" spans="1:10" ht="13.5" x14ac:dyDescent="0.2">
      <c r="A92" s="2"/>
      <c r="B92" s="5"/>
      <c r="C92" s="6" t="s">
        <v>129</v>
      </c>
      <c r="D92" s="3">
        <v>20241224</v>
      </c>
      <c r="E92" s="3"/>
      <c r="F92" s="7"/>
      <c r="G92" s="4" t="s">
        <v>130</v>
      </c>
      <c r="H92" s="8" t="s">
        <v>26</v>
      </c>
      <c r="I92" s="8" t="s">
        <v>26</v>
      </c>
    </row>
    <row r="93" spans="1:10" ht="71.25" x14ac:dyDescent="0.2">
      <c r="A93" s="2"/>
      <c r="B93" s="5"/>
      <c r="C93" s="6" t="s">
        <v>32</v>
      </c>
      <c r="D93" s="3">
        <v>20241224</v>
      </c>
      <c r="E93" s="3"/>
      <c r="F93" s="7"/>
      <c r="G93" s="4" t="s">
        <v>3</v>
      </c>
      <c r="H93" s="8" t="s">
        <v>26</v>
      </c>
      <c r="I93" s="8" t="s">
        <v>131</v>
      </c>
      <c r="J93" s="35" t="s">
        <v>132</v>
      </c>
    </row>
    <row r="94" spans="1:10" ht="13.5" x14ac:dyDescent="0.2">
      <c r="A94" s="2"/>
      <c r="B94" s="5"/>
      <c r="C94" s="6" t="s">
        <v>129</v>
      </c>
      <c r="D94" s="3">
        <v>20241225</v>
      </c>
      <c r="E94" s="3"/>
      <c r="F94" s="7"/>
      <c r="G94" s="4" t="s">
        <v>133</v>
      </c>
      <c r="H94" s="8" t="s">
        <v>26</v>
      </c>
      <c r="I94" s="8" t="s">
        <v>131</v>
      </c>
    </row>
    <row r="95" spans="1:10" ht="28.5" x14ac:dyDescent="0.2">
      <c r="A95" s="2"/>
      <c r="B95" s="5"/>
      <c r="C95" s="6" t="s">
        <v>32</v>
      </c>
      <c r="D95" s="3">
        <v>20241230</v>
      </c>
      <c r="E95" s="3"/>
      <c r="F95" s="7"/>
      <c r="G95" s="4" t="s">
        <v>4</v>
      </c>
      <c r="H95" s="8" t="s">
        <v>26</v>
      </c>
      <c r="I95" s="8" t="s">
        <v>131</v>
      </c>
    </row>
    <row r="96" spans="1:10" ht="13.5" x14ac:dyDescent="0.2">
      <c r="A96" s="2"/>
      <c r="B96" s="5"/>
      <c r="C96" s="6" t="s">
        <v>24</v>
      </c>
      <c r="D96" s="3">
        <v>20241230</v>
      </c>
      <c r="E96" s="3"/>
      <c r="F96" s="7"/>
      <c r="G96" s="4" t="s">
        <v>134</v>
      </c>
      <c r="H96" s="8" t="s">
        <v>26</v>
      </c>
      <c r="I96" s="8" t="s">
        <v>131</v>
      </c>
    </row>
    <row r="97" spans="1:10" ht="13.5" x14ac:dyDescent="0.2">
      <c r="A97" s="2"/>
      <c r="B97" s="5"/>
      <c r="C97" s="6" t="s">
        <v>32</v>
      </c>
      <c r="D97" s="3">
        <v>20241230</v>
      </c>
      <c r="E97" s="3"/>
      <c r="F97" s="7"/>
      <c r="G97" s="4" t="s">
        <v>135</v>
      </c>
      <c r="H97" s="8" t="s">
        <v>26</v>
      </c>
      <c r="I97" s="8" t="s">
        <v>131</v>
      </c>
    </row>
    <row r="98" spans="1:10" ht="40.5" x14ac:dyDescent="0.2">
      <c r="A98" s="2"/>
      <c r="B98" s="5"/>
      <c r="C98" s="6" t="s">
        <v>36</v>
      </c>
      <c r="D98" s="3">
        <v>20240103</v>
      </c>
      <c r="E98" s="3"/>
      <c r="F98" s="7"/>
      <c r="G98" s="17" t="s">
        <v>136</v>
      </c>
      <c r="H98" s="8" t="s">
        <v>26</v>
      </c>
      <c r="I98" s="8" t="s">
        <v>131</v>
      </c>
    </row>
    <row r="99" spans="1:10" ht="13.5" x14ac:dyDescent="0.2">
      <c r="A99" s="2"/>
      <c r="B99" s="5"/>
      <c r="C99" s="6" t="s">
        <v>105</v>
      </c>
      <c r="D99" s="3">
        <v>20240103</v>
      </c>
      <c r="E99" s="3"/>
      <c r="F99" s="7"/>
      <c r="G99" s="4" t="s">
        <v>137</v>
      </c>
      <c r="H99" s="8" t="s">
        <v>26</v>
      </c>
      <c r="I99" s="8" t="s">
        <v>131</v>
      </c>
      <c r="J99" s="35"/>
    </row>
    <row r="100" spans="1:10" ht="13.5" x14ac:dyDescent="0.2">
      <c r="A100" s="2"/>
      <c r="B100" s="5"/>
      <c r="C100" s="6" t="s">
        <v>24</v>
      </c>
      <c r="D100" s="3">
        <v>20240106</v>
      </c>
      <c r="E100" s="3"/>
      <c r="F100" s="7"/>
      <c r="G100" s="4" t="s">
        <v>138</v>
      </c>
      <c r="H100" s="8" t="s">
        <v>26</v>
      </c>
      <c r="I100" s="8" t="s">
        <v>131</v>
      </c>
    </row>
    <row r="101" spans="1:10" ht="13.5" x14ac:dyDescent="0.2">
      <c r="A101" s="2"/>
      <c r="B101" s="5"/>
      <c r="C101" s="6" t="s">
        <v>60</v>
      </c>
      <c r="D101" s="3">
        <v>20240110</v>
      </c>
      <c r="E101" s="3"/>
      <c r="F101" s="7"/>
      <c r="G101" s="4" t="s">
        <v>139</v>
      </c>
      <c r="H101" s="8" t="s">
        <v>26</v>
      </c>
      <c r="I101" s="8" t="s">
        <v>140</v>
      </c>
    </row>
    <row r="102" spans="1:10" ht="13.5" x14ac:dyDescent="0.2">
      <c r="A102" s="2"/>
      <c r="B102" s="5"/>
      <c r="C102" s="6" t="s">
        <v>60</v>
      </c>
      <c r="D102" s="3">
        <v>20240115</v>
      </c>
      <c r="E102" s="3"/>
      <c r="F102" s="7"/>
      <c r="G102" s="4" t="s">
        <v>141</v>
      </c>
      <c r="H102" s="8" t="s">
        <v>140</v>
      </c>
      <c r="I102" s="8" t="s">
        <v>140</v>
      </c>
    </row>
    <row r="103" spans="1:10" ht="94.5" x14ac:dyDescent="0.2">
      <c r="A103" s="2"/>
      <c r="B103" s="5"/>
      <c r="C103" s="6" t="s">
        <v>32</v>
      </c>
      <c r="D103" s="3">
        <v>20250119</v>
      </c>
      <c r="E103" s="3"/>
      <c r="F103" s="7"/>
      <c r="G103" s="4" t="s">
        <v>142</v>
      </c>
      <c r="H103" s="8"/>
      <c r="I103" s="8" t="s">
        <v>140</v>
      </c>
    </row>
    <row r="104" spans="1:10" ht="94.5" x14ac:dyDescent="0.2">
      <c r="A104" s="2"/>
      <c r="B104" s="5"/>
      <c r="C104" s="6" t="s">
        <v>32</v>
      </c>
      <c r="D104" s="3">
        <v>20250121</v>
      </c>
      <c r="E104" s="3"/>
      <c r="F104" s="7"/>
      <c r="G104" s="4" t="s">
        <v>143</v>
      </c>
      <c r="H104" s="8"/>
      <c r="I104" s="8" t="s">
        <v>140</v>
      </c>
    </row>
    <row r="105" spans="1:10" ht="13.5" x14ac:dyDescent="0.2">
      <c r="A105" s="2"/>
      <c r="B105" s="5"/>
      <c r="C105" s="6" t="s">
        <v>60</v>
      </c>
      <c r="D105" s="3">
        <v>20250121</v>
      </c>
      <c r="E105" s="3"/>
      <c r="F105" s="7"/>
      <c r="G105" s="4" t="s">
        <v>144</v>
      </c>
      <c r="H105" s="8"/>
      <c r="I105" s="8" t="s">
        <v>140</v>
      </c>
    </row>
    <row r="106" spans="1:10" ht="27" x14ac:dyDescent="0.2">
      <c r="A106" s="2"/>
      <c r="B106" s="5"/>
      <c r="C106" s="6" t="s">
        <v>60</v>
      </c>
      <c r="D106" s="3">
        <v>20250208</v>
      </c>
      <c r="E106" s="3"/>
      <c r="F106" s="7"/>
      <c r="G106" s="4" t="s">
        <v>145</v>
      </c>
      <c r="H106" s="8"/>
      <c r="I106" s="8"/>
    </row>
    <row r="107" spans="1:10" ht="13.5" x14ac:dyDescent="0.2">
      <c r="A107" s="2"/>
      <c r="B107" s="5"/>
      <c r="C107" s="6"/>
      <c r="D107" s="3"/>
      <c r="E107" s="3"/>
      <c r="F107" s="7"/>
      <c r="G107" s="4"/>
      <c r="H107" s="8"/>
      <c r="I107" s="8"/>
    </row>
    <row r="108" spans="1:10" ht="13.5" x14ac:dyDescent="0.2">
      <c r="A108" s="2"/>
      <c r="B108" s="5"/>
      <c r="C108" s="6"/>
      <c r="D108" s="3"/>
      <c r="E108" s="3"/>
      <c r="F108" s="7"/>
      <c r="G108" s="4"/>
      <c r="H108" s="8"/>
      <c r="I108" s="8"/>
    </row>
    <row r="109" spans="1:10" ht="13.5" x14ac:dyDescent="0.2">
      <c r="A109" s="2"/>
      <c r="B109" s="5"/>
      <c r="C109" s="6"/>
      <c r="D109" s="3"/>
      <c r="E109" s="3"/>
      <c r="F109" s="7"/>
      <c r="G109" s="4"/>
      <c r="H109" s="8"/>
      <c r="I109" s="8"/>
    </row>
    <row r="110" spans="1:10" ht="13.5" x14ac:dyDescent="0.2">
      <c r="A110" s="2"/>
      <c r="B110" s="5"/>
      <c r="C110" s="6"/>
      <c r="D110" s="3"/>
      <c r="E110" s="3"/>
      <c r="F110" s="7"/>
      <c r="G110" s="4"/>
      <c r="H110" s="8"/>
      <c r="I110" s="8"/>
    </row>
    <row r="111" spans="1:10" ht="13.5" x14ac:dyDescent="0.2">
      <c r="A111" s="2"/>
      <c r="B111" s="5"/>
      <c r="C111" s="6"/>
      <c r="D111" s="3"/>
      <c r="E111" s="3"/>
      <c r="F111" s="7"/>
      <c r="G111" s="4"/>
      <c r="H111" s="8"/>
      <c r="I111" s="8"/>
    </row>
    <row r="112" spans="1:10" ht="13.5" x14ac:dyDescent="0.2">
      <c r="A112" s="2"/>
      <c r="B112" s="5"/>
      <c r="C112" s="6"/>
      <c r="D112" s="3"/>
      <c r="E112" s="3"/>
      <c r="F112" s="7"/>
      <c r="G112" s="4"/>
      <c r="H112" s="8"/>
      <c r="I112" s="8"/>
    </row>
    <row r="113" spans="1:9" ht="13.5" x14ac:dyDescent="0.2">
      <c r="A113" s="2"/>
      <c r="B113" s="5"/>
      <c r="C113" s="6"/>
      <c r="D113" s="3"/>
      <c r="E113" s="3"/>
      <c r="F113" s="7"/>
      <c r="G113" s="4"/>
      <c r="H113" s="8"/>
      <c r="I113" s="8"/>
    </row>
    <row r="114" spans="1:9" ht="13.5" x14ac:dyDescent="0.2">
      <c r="A114" s="2"/>
      <c r="B114" s="5"/>
      <c r="C114" s="6"/>
      <c r="D114" s="3"/>
      <c r="E114" s="3"/>
      <c r="F114" s="7"/>
      <c r="G114" s="4"/>
      <c r="H114" s="8"/>
      <c r="I114" s="8"/>
    </row>
    <row r="115" spans="1:9" ht="13.5" x14ac:dyDescent="0.2">
      <c r="A115" s="2"/>
      <c r="B115" s="5"/>
      <c r="C115" s="6"/>
      <c r="D115" s="3"/>
      <c r="E115" s="3"/>
      <c r="F115" s="7"/>
      <c r="G115" s="4"/>
      <c r="H115" s="8"/>
      <c r="I115" s="8"/>
    </row>
    <row r="116" spans="1:9" ht="13.5" x14ac:dyDescent="0.2">
      <c r="A116" s="2"/>
      <c r="B116" s="5"/>
      <c r="C116" s="6"/>
      <c r="D116" s="3"/>
      <c r="E116" s="3"/>
      <c r="F116" s="7"/>
      <c r="G116" s="4"/>
      <c r="H116" s="8"/>
      <c r="I116" s="8"/>
    </row>
    <row r="117" spans="1:9" ht="13.5" x14ac:dyDescent="0.2">
      <c r="A117" s="2"/>
      <c r="B117" s="5"/>
      <c r="C117" s="6"/>
      <c r="D117" s="3"/>
      <c r="E117" s="3"/>
      <c r="F117" s="7"/>
      <c r="G117" s="4"/>
      <c r="H117" s="8"/>
      <c r="I117" s="8"/>
    </row>
    <row r="118" spans="1:9" ht="13.5" x14ac:dyDescent="0.2">
      <c r="A118" s="2"/>
      <c r="B118" s="5"/>
      <c r="C118" s="6"/>
      <c r="D118" s="3"/>
      <c r="E118" s="3"/>
      <c r="F118" s="7"/>
      <c r="G118" s="4"/>
      <c r="H118" s="8"/>
      <c r="I118" s="8"/>
    </row>
    <row r="119" spans="1:9" ht="13.5" x14ac:dyDescent="0.2">
      <c r="A119" s="2"/>
      <c r="B119" s="5"/>
      <c r="C119" s="6"/>
      <c r="D119" s="3"/>
      <c r="E119" s="3"/>
      <c r="F119" s="7"/>
      <c r="G119" s="4"/>
      <c r="H119" s="8"/>
      <c r="I119" s="8"/>
    </row>
    <row r="120" spans="1:9" ht="13.5" x14ac:dyDescent="0.2">
      <c r="A120" s="2"/>
      <c r="B120" s="5"/>
      <c r="C120" s="6"/>
      <c r="D120" s="3"/>
      <c r="E120" s="3"/>
      <c r="F120" s="7"/>
      <c r="G120" s="4"/>
      <c r="H120" s="8"/>
      <c r="I120" s="8"/>
    </row>
    <row r="121" spans="1:9" ht="13.5" x14ac:dyDescent="0.2">
      <c r="A121" s="2"/>
      <c r="B121" s="5"/>
      <c r="C121" s="6"/>
      <c r="D121" s="3"/>
      <c r="E121" s="3"/>
      <c r="F121" s="7"/>
      <c r="G121" s="4"/>
      <c r="H121" s="8"/>
      <c r="I121" s="8"/>
    </row>
    <row r="122" spans="1:9" ht="13.5" x14ac:dyDescent="0.2">
      <c r="A122" s="2"/>
      <c r="B122" s="5"/>
      <c r="C122" s="6"/>
      <c r="D122" s="3"/>
      <c r="E122" s="3"/>
      <c r="F122" s="7"/>
      <c r="G122" s="4"/>
      <c r="H122" s="8"/>
      <c r="I122" s="8"/>
    </row>
    <row r="123" spans="1:9" ht="13.5" x14ac:dyDescent="0.2">
      <c r="A123" s="2"/>
      <c r="B123" s="5"/>
      <c r="C123" s="6"/>
      <c r="D123" s="3"/>
      <c r="E123" s="3"/>
      <c r="F123" s="7"/>
      <c r="G123" s="4"/>
      <c r="H123" s="8"/>
      <c r="I123" s="8"/>
    </row>
    <row r="124" spans="1:9" ht="13.5" x14ac:dyDescent="0.2">
      <c r="A124" s="2"/>
      <c r="B124" s="5"/>
      <c r="C124" s="6"/>
      <c r="D124" s="3"/>
      <c r="E124" s="3"/>
      <c r="F124" s="7"/>
      <c r="G124" s="4"/>
      <c r="H124" s="8"/>
      <c r="I124" s="8"/>
    </row>
    <row r="125" spans="1:9" ht="13.5" x14ac:dyDescent="0.2">
      <c r="A125" s="2"/>
      <c r="B125" s="5"/>
      <c r="C125" s="6"/>
      <c r="D125" s="3"/>
      <c r="E125" s="3"/>
      <c r="F125" s="7"/>
      <c r="G125" s="4"/>
      <c r="H125" s="8"/>
      <c r="I125" s="8"/>
    </row>
    <row r="126" spans="1:9" ht="13.5" x14ac:dyDescent="0.2">
      <c r="A126" s="2"/>
      <c r="B126" s="5"/>
      <c r="C126" s="6"/>
      <c r="D126" s="3"/>
      <c r="E126" s="3"/>
      <c r="F126" s="7"/>
      <c r="G126" s="4"/>
      <c r="H126" s="8"/>
      <c r="I126" s="8"/>
    </row>
    <row r="127" spans="1:9" ht="13.5" x14ac:dyDescent="0.2">
      <c r="A127" s="2"/>
      <c r="B127" s="5"/>
      <c r="C127" s="6"/>
      <c r="D127" s="3"/>
      <c r="E127" s="3"/>
      <c r="F127" s="7"/>
      <c r="G127" s="4"/>
      <c r="H127" s="8"/>
      <c r="I127" s="8"/>
    </row>
    <row r="128" spans="1:9" ht="13.5" x14ac:dyDescent="0.2">
      <c r="A128" s="2"/>
      <c r="B128" s="5"/>
      <c r="C128" s="6"/>
      <c r="D128" s="3"/>
      <c r="E128" s="3"/>
      <c r="F128" s="7"/>
      <c r="G128" s="4"/>
      <c r="H128" s="8"/>
      <c r="I128" s="8"/>
    </row>
    <row r="129" spans="1:9" ht="13.5" x14ac:dyDescent="0.2">
      <c r="A129" s="2"/>
      <c r="B129" s="5"/>
      <c r="C129" s="6"/>
      <c r="D129" s="3"/>
      <c r="E129" s="3"/>
      <c r="F129" s="7"/>
      <c r="G129" s="4"/>
      <c r="H129" s="8"/>
      <c r="I129" s="8"/>
    </row>
    <row r="130" spans="1:9" ht="13.5" x14ac:dyDescent="0.2">
      <c r="A130" s="2"/>
      <c r="B130" s="5"/>
      <c r="C130" s="6"/>
      <c r="D130" s="3"/>
      <c r="E130" s="3"/>
      <c r="F130" s="7"/>
      <c r="G130" s="4"/>
      <c r="H130" s="8"/>
      <c r="I130" s="8"/>
    </row>
    <row r="131" spans="1:9" ht="13.5" x14ac:dyDescent="0.2">
      <c r="A131" s="2"/>
      <c r="B131" s="5"/>
      <c r="C131" s="6"/>
      <c r="D131" s="3"/>
      <c r="E131" s="3"/>
      <c r="F131" s="7"/>
      <c r="G131" s="4"/>
      <c r="H131" s="8"/>
      <c r="I131" s="8"/>
    </row>
    <row r="132" spans="1:9" ht="13.5" x14ac:dyDescent="0.2">
      <c r="A132" s="2"/>
      <c r="B132" s="5"/>
      <c r="C132" s="6"/>
      <c r="D132" s="3"/>
      <c r="E132" s="3"/>
      <c r="F132" s="7"/>
      <c r="G132" s="4"/>
      <c r="H132" s="8"/>
      <c r="I132" s="8"/>
    </row>
    <row r="133" spans="1:9" ht="13.5" x14ac:dyDescent="0.2">
      <c r="A133" s="2"/>
      <c r="B133" s="5"/>
      <c r="C133" s="6"/>
      <c r="D133" s="3"/>
      <c r="E133" s="3"/>
      <c r="F133" s="7"/>
      <c r="G133" s="4"/>
      <c r="H133" s="8"/>
      <c r="I133" s="8"/>
    </row>
    <row r="134" spans="1:9" ht="13.5" x14ac:dyDescent="0.2">
      <c r="A134" s="2"/>
      <c r="B134" s="5"/>
      <c r="C134" s="6"/>
      <c r="D134" s="3"/>
      <c r="E134" s="3"/>
      <c r="F134" s="7"/>
      <c r="G134" s="4"/>
      <c r="H134" s="8"/>
      <c r="I134" s="8"/>
    </row>
    <row r="135" spans="1:9" ht="13.5" x14ac:dyDescent="0.2">
      <c r="A135" s="2"/>
      <c r="B135" s="5"/>
      <c r="C135" s="6"/>
      <c r="D135" s="3"/>
      <c r="E135" s="3"/>
      <c r="F135" s="7"/>
      <c r="G135" s="4"/>
      <c r="H135" s="8"/>
      <c r="I135" s="8"/>
    </row>
    <row r="136" spans="1:9" ht="13.5" x14ac:dyDescent="0.2">
      <c r="A136" s="2"/>
      <c r="B136" s="5"/>
      <c r="C136" s="6"/>
      <c r="D136" s="3"/>
      <c r="E136" s="3"/>
      <c r="F136" s="7"/>
      <c r="G136" s="4"/>
      <c r="H136" s="8"/>
      <c r="I136" s="8"/>
    </row>
    <row r="137" spans="1:9" ht="13.5" x14ac:dyDescent="0.2">
      <c r="A137" s="2"/>
      <c r="B137" s="5"/>
      <c r="C137" s="6"/>
      <c r="D137" s="3"/>
      <c r="E137" s="3"/>
      <c r="F137" s="7"/>
      <c r="G137" s="4"/>
      <c r="H137" s="8"/>
      <c r="I137" s="8"/>
    </row>
    <row r="138" spans="1:9" ht="13.5" x14ac:dyDescent="0.2">
      <c r="A138" s="2"/>
      <c r="B138" s="5"/>
      <c r="C138" s="6"/>
      <c r="D138" s="3"/>
      <c r="E138" s="3"/>
      <c r="F138" s="7"/>
      <c r="G138" s="4"/>
      <c r="H138" s="8"/>
      <c r="I138" s="8"/>
    </row>
    <row r="139" spans="1:9" ht="13.5" x14ac:dyDescent="0.2">
      <c r="A139" s="2"/>
      <c r="B139" s="5"/>
      <c r="C139" s="6"/>
      <c r="D139" s="3"/>
      <c r="E139" s="3"/>
      <c r="F139" s="7"/>
      <c r="G139" s="4"/>
      <c r="H139" s="8"/>
      <c r="I139" s="8"/>
    </row>
    <row r="140" spans="1:9" ht="13.5" x14ac:dyDescent="0.2">
      <c r="A140" s="2"/>
      <c r="B140" s="5"/>
      <c r="C140" s="6"/>
      <c r="D140" s="3"/>
      <c r="E140" s="3"/>
      <c r="F140" s="7"/>
      <c r="G140" s="4"/>
      <c r="H140" s="8"/>
      <c r="I140" s="8"/>
    </row>
    <row r="141" spans="1:9" ht="13.5" x14ac:dyDescent="0.2">
      <c r="A141" s="2"/>
      <c r="B141" s="5"/>
      <c r="C141" s="6"/>
      <c r="D141" s="3"/>
      <c r="E141" s="3"/>
      <c r="F141" s="7"/>
      <c r="G141" s="4"/>
      <c r="H141" s="8"/>
      <c r="I141" s="8"/>
    </row>
    <row r="142" spans="1:9" ht="13.5" x14ac:dyDescent="0.2">
      <c r="A142" s="2"/>
      <c r="B142" s="5"/>
      <c r="C142" s="6"/>
      <c r="D142" s="3"/>
      <c r="E142" s="3"/>
      <c r="F142" s="7"/>
      <c r="G142" s="4"/>
      <c r="H142" s="8"/>
      <c r="I142" s="8"/>
    </row>
    <row r="143" spans="1:9" ht="13.5" x14ac:dyDescent="0.2">
      <c r="A143" s="2"/>
      <c r="B143" s="5"/>
      <c r="C143" s="6"/>
      <c r="D143" s="3"/>
      <c r="E143" s="3"/>
      <c r="F143" s="7"/>
      <c r="G143" s="4"/>
      <c r="H143" s="8"/>
      <c r="I143" s="8"/>
    </row>
    <row r="144" spans="1:9" ht="13.5" x14ac:dyDescent="0.2">
      <c r="A144" s="2"/>
      <c r="B144" s="5"/>
      <c r="C144" s="6"/>
      <c r="D144" s="3"/>
      <c r="E144" s="3"/>
      <c r="F144" s="7"/>
      <c r="G144" s="4"/>
      <c r="H144" s="8"/>
      <c r="I144" s="8"/>
    </row>
    <row r="145" spans="1:9" ht="13.5" x14ac:dyDescent="0.2">
      <c r="A145" s="2"/>
      <c r="B145" s="5"/>
      <c r="C145" s="6"/>
      <c r="D145" s="3"/>
      <c r="E145" s="3"/>
      <c r="F145" s="7"/>
      <c r="G145" s="4"/>
      <c r="H145" s="8"/>
      <c r="I145" s="8"/>
    </row>
    <row r="146" spans="1:9" ht="13.5" x14ac:dyDescent="0.2">
      <c r="A146" s="2"/>
      <c r="B146" s="5"/>
      <c r="C146" s="6"/>
      <c r="D146" s="3"/>
      <c r="E146" s="3"/>
      <c r="F146" s="7"/>
      <c r="G146" s="4"/>
      <c r="H146" s="8"/>
      <c r="I146" s="8"/>
    </row>
    <row r="147" spans="1:9" ht="13.5" x14ac:dyDescent="0.2">
      <c r="A147" s="2"/>
      <c r="B147" s="5"/>
      <c r="C147" s="6"/>
      <c r="D147" s="3"/>
      <c r="E147" s="3"/>
      <c r="F147" s="7"/>
      <c r="G147" s="4"/>
      <c r="H147" s="8"/>
      <c r="I147" s="8"/>
    </row>
    <row r="148" spans="1:9" ht="13.5" x14ac:dyDescent="0.2">
      <c r="A148" s="2"/>
      <c r="B148" s="5"/>
      <c r="C148" s="6"/>
      <c r="D148" s="3"/>
      <c r="E148" s="3"/>
      <c r="F148" s="7"/>
      <c r="G148" s="4"/>
      <c r="H148" s="8"/>
      <c r="I148" s="8"/>
    </row>
    <row r="149" spans="1:9" ht="13.5" x14ac:dyDescent="0.2">
      <c r="A149" s="2"/>
      <c r="B149" s="5"/>
      <c r="C149" s="6"/>
      <c r="D149" s="3"/>
      <c r="E149" s="3"/>
      <c r="F149" s="7"/>
      <c r="G149" s="4"/>
      <c r="H149" s="8"/>
      <c r="I149" s="8"/>
    </row>
    <row r="150" spans="1:9" ht="13.5" x14ac:dyDescent="0.2">
      <c r="A150" s="2"/>
      <c r="B150" s="5"/>
      <c r="C150" s="6"/>
      <c r="D150" s="3"/>
      <c r="E150" s="3"/>
      <c r="F150" s="7"/>
      <c r="G150" s="4"/>
      <c r="H150" s="8"/>
      <c r="I150" s="8"/>
    </row>
    <row r="151" spans="1:9" ht="13.5" x14ac:dyDescent="0.2">
      <c r="A151" s="2"/>
      <c r="B151" s="5"/>
      <c r="C151" s="6"/>
      <c r="D151" s="3"/>
      <c r="E151" s="3"/>
      <c r="F151" s="7"/>
      <c r="G151" s="4"/>
      <c r="H151" s="8"/>
      <c r="I151" s="8"/>
    </row>
    <row r="152" spans="1:9" ht="13.5" x14ac:dyDescent="0.2">
      <c r="A152" s="2"/>
      <c r="B152" s="5"/>
      <c r="C152" s="6"/>
      <c r="D152" s="3"/>
      <c r="E152" s="3"/>
      <c r="F152" s="7"/>
      <c r="G152" s="4"/>
      <c r="H152" s="8"/>
      <c r="I152" s="8"/>
    </row>
    <row r="153" spans="1:9" ht="13.5" x14ac:dyDescent="0.2">
      <c r="A153" s="2"/>
      <c r="B153" s="5"/>
      <c r="C153" s="6"/>
      <c r="D153" s="3"/>
      <c r="E153" s="3"/>
      <c r="F153" s="7"/>
      <c r="G153" s="4"/>
      <c r="H153" s="8"/>
      <c r="I153" s="8"/>
    </row>
    <row r="154" spans="1:9" ht="13.5" x14ac:dyDescent="0.2">
      <c r="A154" s="2"/>
      <c r="B154" s="5"/>
      <c r="C154" s="6"/>
      <c r="D154" s="3"/>
      <c r="E154" s="3"/>
      <c r="F154" s="7"/>
      <c r="G154" s="4"/>
      <c r="H154" s="8"/>
      <c r="I154" s="8"/>
    </row>
    <row r="155" spans="1:9" ht="13.5" x14ac:dyDescent="0.2">
      <c r="A155" s="2"/>
      <c r="B155" s="5"/>
      <c r="C155" s="6"/>
      <c r="D155" s="3"/>
      <c r="E155" s="3"/>
      <c r="F155" s="7"/>
      <c r="G155" s="4"/>
      <c r="H155" s="8"/>
      <c r="I155" s="8"/>
    </row>
    <row r="156" spans="1:9" ht="13.5" x14ac:dyDescent="0.2">
      <c r="A156" s="2"/>
      <c r="B156" s="5"/>
      <c r="C156" s="6"/>
      <c r="D156" s="3"/>
      <c r="E156" s="3"/>
      <c r="F156" s="7"/>
      <c r="G156" s="4"/>
      <c r="H156" s="8"/>
      <c r="I156" s="8"/>
    </row>
    <row r="157" spans="1:9" ht="13.5" x14ac:dyDescent="0.2">
      <c r="A157" s="2"/>
      <c r="B157" s="5"/>
      <c r="C157" s="6"/>
      <c r="D157" s="3"/>
      <c r="E157" s="3"/>
      <c r="F157" s="7"/>
      <c r="G157" s="4"/>
      <c r="H157" s="8"/>
      <c r="I157" s="8"/>
    </row>
    <row r="158" spans="1:9" ht="13.5" x14ac:dyDescent="0.2">
      <c r="A158" s="2"/>
      <c r="B158" s="5"/>
      <c r="C158" s="6"/>
      <c r="D158" s="3"/>
      <c r="E158" s="3"/>
      <c r="F158" s="7"/>
      <c r="G158" s="4"/>
      <c r="H158" s="8"/>
      <c r="I158" s="8"/>
    </row>
    <row r="159" spans="1:9" ht="13.5" x14ac:dyDescent="0.2">
      <c r="A159" s="2"/>
      <c r="B159" s="5"/>
      <c r="C159" s="6"/>
      <c r="D159" s="3"/>
      <c r="E159" s="3"/>
      <c r="F159" s="7"/>
      <c r="G159" s="4"/>
      <c r="H159" s="8"/>
      <c r="I159" s="8"/>
    </row>
    <row r="160" spans="1:9" ht="13.5" x14ac:dyDescent="0.2">
      <c r="A160" s="2"/>
      <c r="B160" s="5"/>
      <c r="C160" s="6"/>
      <c r="D160" s="3"/>
      <c r="E160" s="3"/>
      <c r="F160" s="7"/>
      <c r="G160" s="4"/>
      <c r="H160" s="8"/>
      <c r="I160" s="8"/>
    </row>
    <row r="161" spans="1:9" ht="13.5" x14ac:dyDescent="0.2">
      <c r="A161" s="2"/>
      <c r="B161" s="5"/>
      <c r="C161" s="6"/>
      <c r="D161" s="3"/>
      <c r="E161" s="3"/>
      <c r="F161" s="7"/>
      <c r="G161" s="4"/>
      <c r="H161" s="8"/>
      <c r="I161" s="8"/>
    </row>
    <row r="162" spans="1:9" ht="13.5" x14ac:dyDescent="0.2">
      <c r="A162" s="2"/>
      <c r="B162" s="5"/>
      <c r="C162" s="6"/>
      <c r="D162" s="3"/>
      <c r="E162" s="3"/>
      <c r="F162" s="7"/>
      <c r="G162" s="4"/>
      <c r="H162" s="8"/>
      <c r="I162" s="8"/>
    </row>
    <row r="163" spans="1:9" ht="13.5" x14ac:dyDescent="0.2">
      <c r="A163" s="2"/>
      <c r="B163" s="5"/>
      <c r="C163" s="6"/>
      <c r="D163" s="3"/>
      <c r="E163" s="3"/>
      <c r="F163" s="7"/>
      <c r="G163" s="4"/>
      <c r="H163" s="8"/>
      <c r="I163" s="8"/>
    </row>
    <row r="164" spans="1:9" ht="13.5" x14ac:dyDescent="0.2">
      <c r="A164" s="2"/>
      <c r="B164" s="5"/>
      <c r="C164" s="6"/>
      <c r="D164" s="3"/>
      <c r="E164" s="3"/>
      <c r="F164" s="7"/>
      <c r="G164" s="4"/>
      <c r="H164" s="8"/>
      <c r="I164" s="8"/>
    </row>
    <row r="165" spans="1:9" ht="13.5" x14ac:dyDescent="0.2">
      <c r="A165" s="2"/>
      <c r="B165" s="5"/>
      <c r="C165" s="6"/>
      <c r="D165" s="3"/>
      <c r="E165" s="3"/>
      <c r="F165" s="7"/>
      <c r="G165" s="4"/>
      <c r="H165" s="8"/>
      <c r="I165" s="8"/>
    </row>
    <row r="166" spans="1:9" ht="13.5" x14ac:dyDescent="0.2">
      <c r="A166" s="2"/>
      <c r="B166" s="5"/>
      <c r="C166" s="6"/>
      <c r="D166" s="3"/>
      <c r="E166" s="3"/>
      <c r="F166" s="7"/>
      <c r="G166" s="4"/>
      <c r="H166" s="8"/>
      <c r="I166" s="8"/>
    </row>
    <row r="167" spans="1:9" ht="13.5" x14ac:dyDescent="0.2">
      <c r="A167" s="2"/>
      <c r="B167" s="5"/>
      <c r="C167" s="6"/>
      <c r="D167" s="3"/>
      <c r="E167" s="3"/>
      <c r="F167" s="7"/>
      <c r="G167" s="4"/>
      <c r="H167" s="8"/>
      <c r="I167" s="8"/>
    </row>
    <row r="168" spans="1:9" ht="13.5" x14ac:dyDescent="0.2">
      <c r="A168" s="2"/>
      <c r="B168" s="5"/>
      <c r="C168" s="6"/>
      <c r="D168" s="3"/>
      <c r="E168" s="3"/>
      <c r="F168" s="7"/>
      <c r="G168" s="4"/>
      <c r="H168" s="8"/>
      <c r="I168" s="8"/>
    </row>
    <row r="169" spans="1:9" ht="13.5" x14ac:dyDescent="0.2">
      <c r="A169" s="2"/>
      <c r="B169" s="5"/>
      <c r="C169" s="6"/>
      <c r="D169" s="3"/>
      <c r="E169" s="3"/>
      <c r="F169" s="7"/>
      <c r="G169" s="4"/>
      <c r="H169" s="8"/>
      <c r="I169" s="8"/>
    </row>
    <row r="170" spans="1:9" ht="13.5" x14ac:dyDescent="0.2">
      <c r="A170" s="2"/>
      <c r="B170" s="5"/>
      <c r="C170" s="6"/>
      <c r="D170" s="3"/>
      <c r="E170" s="3"/>
      <c r="F170" s="7"/>
      <c r="G170" s="4"/>
      <c r="H170" s="8"/>
      <c r="I170" s="8"/>
    </row>
    <row r="171" spans="1:9" ht="13.5" x14ac:dyDescent="0.2">
      <c r="A171" s="2"/>
      <c r="B171" s="5"/>
      <c r="C171" s="6"/>
      <c r="D171" s="3"/>
      <c r="E171" s="3"/>
      <c r="F171" s="7"/>
      <c r="G171" s="4"/>
      <c r="H171" s="8"/>
      <c r="I171" s="8"/>
    </row>
    <row r="172" spans="1:9" ht="13.5" x14ac:dyDescent="0.2">
      <c r="A172" s="2"/>
      <c r="B172" s="5"/>
      <c r="C172" s="6"/>
      <c r="D172" s="3"/>
      <c r="E172" s="3"/>
      <c r="F172" s="7"/>
      <c r="G172" s="4"/>
      <c r="H172" s="8"/>
      <c r="I172" s="8"/>
    </row>
    <row r="173" spans="1:9" ht="13.5" x14ac:dyDescent="0.2">
      <c r="A173" s="2"/>
      <c r="B173" s="5"/>
      <c r="C173" s="6"/>
      <c r="D173" s="3"/>
      <c r="E173" s="3"/>
      <c r="F173" s="7"/>
      <c r="G173" s="4"/>
      <c r="H173" s="8"/>
      <c r="I173" s="8"/>
    </row>
    <row r="174" spans="1:9" ht="13.5" x14ac:dyDescent="0.2">
      <c r="A174" s="2"/>
      <c r="B174" s="5"/>
      <c r="C174" s="6"/>
      <c r="D174" s="3"/>
      <c r="E174" s="3"/>
      <c r="F174" s="7"/>
      <c r="G174" s="4"/>
      <c r="H174" s="8"/>
      <c r="I174" s="8"/>
    </row>
    <row r="175" spans="1:9" ht="13.5" x14ac:dyDescent="0.2">
      <c r="A175" s="2"/>
      <c r="B175" s="5"/>
      <c r="C175" s="6"/>
      <c r="D175" s="3"/>
      <c r="E175" s="3"/>
      <c r="F175" s="7"/>
      <c r="G175" s="4"/>
      <c r="H175" s="8"/>
      <c r="I175" s="8"/>
    </row>
    <row r="176" spans="1:9" ht="13.5" x14ac:dyDescent="0.2">
      <c r="A176" s="2"/>
      <c r="B176" s="5"/>
      <c r="C176" s="6"/>
      <c r="D176" s="3"/>
      <c r="E176" s="3"/>
      <c r="F176" s="7"/>
      <c r="G176" s="4"/>
      <c r="H176" s="8"/>
      <c r="I176" s="8"/>
    </row>
    <row r="177" spans="1:9" ht="13.5" x14ac:dyDescent="0.2">
      <c r="A177" s="2"/>
      <c r="B177" s="5"/>
      <c r="C177" s="6"/>
      <c r="D177" s="3"/>
      <c r="E177" s="3"/>
      <c r="F177" s="7"/>
      <c r="G177" s="4"/>
      <c r="H177" s="8"/>
      <c r="I177" s="8"/>
    </row>
    <row r="178" spans="1:9" ht="13.5" x14ac:dyDescent="0.2">
      <c r="A178" s="2"/>
      <c r="B178" s="5"/>
      <c r="C178" s="6"/>
      <c r="D178" s="3"/>
      <c r="E178" s="3"/>
      <c r="F178" s="7"/>
      <c r="G178" s="4"/>
      <c r="H178" s="8"/>
      <c r="I178" s="8"/>
    </row>
    <row r="179" spans="1:9" ht="13.5" x14ac:dyDescent="0.2">
      <c r="A179" s="2"/>
      <c r="B179" s="5"/>
      <c r="C179" s="6"/>
      <c r="D179" s="3"/>
      <c r="E179" s="3"/>
      <c r="F179" s="7"/>
      <c r="G179" s="4"/>
      <c r="H179" s="8"/>
      <c r="I179" s="8"/>
    </row>
    <row r="180" spans="1:9" ht="13.5" x14ac:dyDescent="0.2">
      <c r="A180" s="2"/>
      <c r="B180" s="5"/>
      <c r="C180" s="6"/>
      <c r="D180" s="3"/>
      <c r="E180" s="3"/>
      <c r="F180" s="7"/>
      <c r="G180" s="4"/>
      <c r="H180" s="8"/>
      <c r="I180" s="8"/>
    </row>
    <row r="181" spans="1:9" ht="13.5" x14ac:dyDescent="0.2">
      <c r="A181" s="2"/>
      <c r="B181" s="5"/>
      <c r="C181" s="6"/>
      <c r="D181" s="3"/>
      <c r="E181" s="3"/>
      <c r="F181" s="7"/>
      <c r="G181" s="4"/>
      <c r="H181" s="8"/>
      <c r="I181" s="8"/>
    </row>
    <row r="182" spans="1:9" ht="13.5" x14ac:dyDescent="0.2">
      <c r="A182" s="2"/>
      <c r="B182" s="5"/>
      <c r="C182" s="6"/>
      <c r="D182" s="3"/>
      <c r="E182" s="3"/>
      <c r="F182" s="7"/>
      <c r="G182" s="4"/>
      <c r="H182" s="8"/>
      <c r="I182" s="8"/>
    </row>
    <row r="183" spans="1:9" ht="13.5" x14ac:dyDescent="0.2">
      <c r="A183" s="2"/>
      <c r="B183" s="5"/>
      <c r="C183" s="6"/>
      <c r="D183" s="3"/>
      <c r="E183" s="3"/>
      <c r="F183" s="7"/>
      <c r="G183" s="4"/>
      <c r="H183" s="8"/>
      <c r="I183" s="8"/>
    </row>
    <row r="184" spans="1:9" ht="13.5" x14ac:dyDescent="0.2">
      <c r="A184" s="2"/>
      <c r="B184" s="5"/>
      <c r="C184" s="6"/>
      <c r="D184" s="3"/>
      <c r="E184" s="3"/>
      <c r="F184" s="7"/>
      <c r="G184" s="4"/>
      <c r="H184" s="8"/>
      <c r="I184" s="8"/>
    </row>
    <row r="185" spans="1:9" ht="13.5" x14ac:dyDescent="0.2">
      <c r="A185" s="2"/>
      <c r="B185" s="5"/>
      <c r="C185" s="6"/>
      <c r="D185" s="3"/>
      <c r="E185" s="3"/>
      <c r="F185" s="7"/>
      <c r="G185" s="4"/>
      <c r="H185" s="8"/>
      <c r="I185" s="8"/>
    </row>
    <row r="186" spans="1:9" ht="13.5" x14ac:dyDescent="0.2">
      <c r="A186" s="2"/>
      <c r="B186" s="5"/>
      <c r="C186" s="6"/>
      <c r="D186" s="3"/>
      <c r="E186" s="3"/>
      <c r="F186" s="7"/>
      <c r="G186" s="4"/>
      <c r="H186" s="8"/>
      <c r="I186" s="8"/>
    </row>
    <row r="187" spans="1:9" ht="13.5" x14ac:dyDescent="0.2">
      <c r="A187" s="2"/>
      <c r="B187" s="5"/>
      <c r="C187" s="6"/>
      <c r="D187" s="3"/>
      <c r="E187" s="3"/>
      <c r="F187" s="7"/>
      <c r="G187" s="4"/>
      <c r="H187" s="8"/>
      <c r="I187" s="8"/>
    </row>
    <row r="188" spans="1:9" ht="13.5" x14ac:dyDescent="0.2">
      <c r="A188" s="2"/>
      <c r="B188" s="5"/>
      <c r="C188" s="6"/>
      <c r="D188" s="3"/>
      <c r="E188" s="3"/>
      <c r="F188" s="7"/>
      <c r="G188" s="4"/>
      <c r="H188" s="8"/>
      <c r="I188" s="8"/>
    </row>
    <row r="189" spans="1:9" ht="13.5" x14ac:dyDescent="0.2">
      <c r="A189" s="2"/>
      <c r="B189" s="5"/>
      <c r="C189" s="6"/>
      <c r="D189" s="3"/>
      <c r="E189" s="3"/>
      <c r="F189" s="7"/>
      <c r="G189" s="4"/>
      <c r="H189" s="8"/>
      <c r="I189" s="8"/>
    </row>
    <row r="190" spans="1:9" ht="13.5" x14ac:dyDescent="0.2">
      <c r="A190" s="2"/>
      <c r="B190" s="5"/>
      <c r="C190" s="6"/>
      <c r="D190" s="3"/>
      <c r="E190" s="3"/>
      <c r="F190" s="7"/>
      <c r="G190" s="4"/>
      <c r="H190" s="8"/>
      <c r="I190" s="8"/>
    </row>
    <row r="191" spans="1:9" ht="13.5" x14ac:dyDescent="0.2">
      <c r="A191" s="2"/>
      <c r="B191" s="5"/>
      <c r="C191" s="6"/>
      <c r="D191" s="3"/>
      <c r="E191" s="3"/>
      <c r="F191" s="7"/>
      <c r="G191" s="4"/>
      <c r="H191" s="8"/>
      <c r="I191" s="8"/>
    </row>
    <row r="192" spans="1:9" ht="13.5" x14ac:dyDescent="0.2">
      <c r="A192" s="2"/>
      <c r="B192" s="5"/>
      <c r="C192" s="6"/>
      <c r="D192" s="3"/>
      <c r="E192" s="3"/>
      <c r="F192" s="7"/>
      <c r="G192" s="4"/>
      <c r="H192" s="8"/>
      <c r="I192" s="8"/>
    </row>
    <row r="193" spans="1:9" ht="13.5" x14ac:dyDescent="0.2">
      <c r="A193" s="2"/>
      <c r="B193" s="5"/>
      <c r="C193" s="6"/>
      <c r="D193" s="3"/>
      <c r="E193" s="3"/>
      <c r="F193" s="7"/>
      <c r="G193" s="4"/>
      <c r="H193" s="8"/>
      <c r="I193" s="8"/>
    </row>
    <row r="194" spans="1:9" ht="13.5" x14ac:dyDescent="0.2">
      <c r="A194" s="2"/>
      <c r="B194" s="5"/>
      <c r="C194" s="6"/>
      <c r="D194" s="3"/>
      <c r="E194" s="3"/>
      <c r="F194" s="7"/>
      <c r="G194" s="4"/>
      <c r="H194" s="8"/>
      <c r="I194" s="8"/>
    </row>
    <row r="195" spans="1:9" ht="13.5" x14ac:dyDescent="0.2">
      <c r="A195" s="2"/>
      <c r="B195" s="5"/>
      <c r="C195" s="6"/>
      <c r="D195" s="3"/>
      <c r="E195" s="3"/>
      <c r="F195" s="7"/>
      <c r="G195" s="4"/>
      <c r="H195" s="8"/>
      <c r="I195" s="8"/>
    </row>
    <row r="196" spans="1:9" ht="13.5" x14ac:dyDescent="0.2">
      <c r="A196" s="2"/>
      <c r="B196" s="5"/>
      <c r="C196" s="6"/>
      <c r="D196" s="3"/>
      <c r="E196" s="3"/>
      <c r="F196" s="7"/>
      <c r="G196" s="4"/>
      <c r="H196" s="8"/>
      <c r="I196" s="8"/>
    </row>
    <row r="197" spans="1:9" ht="13.5" x14ac:dyDescent="0.2">
      <c r="A197" s="2"/>
      <c r="B197" s="5"/>
      <c r="C197" s="6"/>
      <c r="D197" s="3"/>
      <c r="E197" s="3"/>
      <c r="F197" s="7"/>
      <c r="G197" s="4"/>
      <c r="H197" s="8"/>
      <c r="I197" s="8"/>
    </row>
    <row r="198" spans="1:9" ht="13.5" x14ac:dyDescent="0.2">
      <c r="A198" s="2"/>
      <c r="B198" s="5"/>
      <c r="C198" s="6"/>
      <c r="D198" s="3"/>
      <c r="E198" s="3"/>
      <c r="F198" s="7"/>
      <c r="G198" s="4"/>
      <c r="H198" s="8"/>
      <c r="I198" s="8"/>
    </row>
    <row r="199" spans="1:9" ht="13.5" x14ac:dyDescent="0.2">
      <c r="A199" s="2"/>
      <c r="B199" s="5"/>
      <c r="C199" s="6"/>
      <c r="D199" s="3"/>
      <c r="E199" s="3"/>
      <c r="F199" s="7"/>
      <c r="G199" s="4"/>
      <c r="H199" s="8"/>
      <c r="I199" s="8"/>
    </row>
    <row r="200" spans="1:9" ht="13.5" x14ac:dyDescent="0.2">
      <c r="A200" s="2"/>
      <c r="B200" s="5"/>
      <c r="C200" s="6"/>
      <c r="D200" s="3"/>
      <c r="E200" s="3"/>
      <c r="F200" s="7"/>
      <c r="G200" s="4"/>
      <c r="H200" s="8"/>
      <c r="I200" s="8"/>
    </row>
    <row r="201" spans="1:9" ht="13.5" x14ac:dyDescent="0.2">
      <c r="A201" s="2"/>
      <c r="B201" s="5"/>
      <c r="C201" s="6"/>
      <c r="D201" s="3"/>
      <c r="E201" s="3"/>
      <c r="F201" s="7"/>
      <c r="G201" s="4"/>
      <c r="H201" s="8"/>
      <c r="I201" s="8"/>
    </row>
    <row r="202" spans="1:9" ht="13.5" x14ac:dyDescent="0.2">
      <c r="A202" s="2"/>
      <c r="B202" s="5"/>
      <c r="C202" s="6"/>
      <c r="D202" s="3"/>
      <c r="E202" s="3"/>
      <c r="F202" s="7"/>
      <c r="G202" s="4"/>
      <c r="H202" s="8"/>
      <c r="I202" s="8"/>
    </row>
    <row r="203" spans="1:9" ht="13.5" x14ac:dyDescent="0.2">
      <c r="A203" s="2"/>
      <c r="B203" s="5"/>
      <c r="C203" s="6"/>
      <c r="D203" s="3"/>
      <c r="E203" s="3"/>
      <c r="F203" s="7"/>
      <c r="G203" s="4"/>
      <c r="H203" s="8"/>
      <c r="I203" s="8"/>
    </row>
    <row r="204" spans="1:9" ht="13.5" x14ac:dyDescent="0.2">
      <c r="A204" s="2"/>
      <c r="B204" s="5"/>
      <c r="C204" s="6"/>
      <c r="D204" s="3"/>
      <c r="E204" s="3"/>
      <c r="F204" s="7"/>
      <c r="G204" s="4"/>
      <c r="H204" s="8"/>
      <c r="I204" s="8"/>
    </row>
    <row r="205" spans="1:9" ht="13.5" x14ac:dyDescent="0.2">
      <c r="A205" s="2"/>
      <c r="B205" s="5"/>
      <c r="C205" s="6"/>
      <c r="D205" s="3"/>
      <c r="E205" s="3"/>
      <c r="F205" s="7"/>
      <c r="G205" s="4"/>
      <c r="H205" s="8"/>
      <c r="I205" s="8"/>
    </row>
    <row r="206" spans="1:9" ht="13.5" x14ac:dyDescent="0.2">
      <c r="A206" s="2"/>
      <c r="B206" s="5"/>
      <c r="C206" s="6"/>
      <c r="D206" s="3"/>
      <c r="E206" s="3"/>
      <c r="F206" s="7"/>
      <c r="G206" s="4"/>
      <c r="H206" s="8"/>
      <c r="I206" s="8"/>
    </row>
    <row r="207" spans="1:9" ht="13.5" x14ac:dyDescent="0.2">
      <c r="A207" s="2"/>
      <c r="B207" s="5"/>
      <c r="C207" s="6"/>
      <c r="D207" s="3"/>
      <c r="E207" s="3"/>
      <c r="F207" s="7"/>
      <c r="G207" s="4"/>
      <c r="H207" s="8"/>
      <c r="I207" s="8"/>
    </row>
    <row r="208" spans="1:9" ht="13.5" x14ac:dyDescent="0.2">
      <c r="A208" s="2"/>
      <c r="B208" s="5"/>
      <c r="C208" s="6"/>
      <c r="D208" s="3"/>
      <c r="E208" s="3"/>
      <c r="F208" s="7"/>
      <c r="G208" s="4"/>
      <c r="H208" s="8"/>
      <c r="I208" s="8"/>
    </row>
    <row r="209" spans="1:9" ht="13.5" x14ac:dyDescent="0.2">
      <c r="A209" s="2"/>
      <c r="B209" s="5"/>
      <c r="C209" s="6"/>
      <c r="D209" s="3"/>
      <c r="E209" s="3"/>
      <c r="F209" s="7"/>
      <c r="G209" s="4"/>
      <c r="H209" s="8"/>
      <c r="I209" s="8"/>
    </row>
    <row r="210" spans="1:9" ht="13.5" x14ac:dyDescent="0.2">
      <c r="A210" s="2"/>
      <c r="B210" s="5"/>
      <c r="C210" s="6"/>
      <c r="D210" s="3"/>
      <c r="E210" s="3"/>
      <c r="F210" s="7"/>
      <c r="G210" s="4"/>
      <c r="H210" s="8"/>
      <c r="I210" s="8"/>
    </row>
    <row r="211" spans="1:9" ht="13.5" x14ac:dyDescent="0.2">
      <c r="A211" s="2"/>
      <c r="B211" s="5"/>
      <c r="C211" s="6"/>
      <c r="D211" s="3"/>
      <c r="E211" s="3"/>
      <c r="F211" s="7"/>
      <c r="G211" s="4"/>
      <c r="H211" s="8"/>
      <c r="I211" s="8"/>
    </row>
    <row r="212" spans="1:9" ht="13.5" x14ac:dyDescent="0.2">
      <c r="A212" s="2"/>
      <c r="B212" s="5"/>
      <c r="C212" s="6"/>
      <c r="D212" s="3"/>
      <c r="E212" s="3"/>
      <c r="F212" s="7"/>
      <c r="G212" s="4"/>
      <c r="H212" s="8"/>
      <c r="I212" s="8"/>
    </row>
    <row r="213" spans="1:9" ht="13.5" x14ac:dyDescent="0.2">
      <c r="A213" s="2"/>
      <c r="B213" s="5"/>
      <c r="C213" s="6"/>
      <c r="D213" s="3"/>
      <c r="E213" s="3"/>
      <c r="F213" s="7"/>
      <c r="G213" s="4"/>
      <c r="H213" s="8"/>
      <c r="I213" s="8"/>
    </row>
    <row r="214" spans="1:9" ht="13.5" x14ac:dyDescent="0.2">
      <c r="A214" s="2"/>
      <c r="B214" s="5"/>
      <c r="C214" s="6"/>
      <c r="D214" s="3"/>
      <c r="E214" s="3"/>
      <c r="F214" s="7"/>
      <c r="G214" s="4"/>
      <c r="H214" s="8"/>
      <c r="I214" s="8"/>
    </row>
    <row r="215" spans="1:9" ht="13.5" x14ac:dyDescent="0.2">
      <c r="A215" s="2"/>
      <c r="B215" s="5"/>
      <c r="C215" s="6"/>
      <c r="D215" s="3"/>
      <c r="E215" s="3"/>
      <c r="F215" s="7"/>
      <c r="G215" s="4"/>
      <c r="H215" s="8"/>
      <c r="I215" s="8"/>
    </row>
    <row r="216" spans="1:9" ht="13.5" x14ac:dyDescent="0.2">
      <c r="A216" s="2"/>
      <c r="B216" s="5"/>
      <c r="C216" s="6"/>
      <c r="D216" s="3"/>
      <c r="E216" s="3"/>
      <c r="F216" s="7"/>
      <c r="G216" s="4"/>
      <c r="H216" s="8"/>
      <c r="I216" s="8"/>
    </row>
    <row r="217" spans="1:9" ht="13.5" x14ac:dyDescent="0.2">
      <c r="A217" s="2"/>
      <c r="B217" s="5"/>
      <c r="C217" s="6"/>
      <c r="D217" s="3"/>
      <c r="E217" s="3"/>
      <c r="F217" s="7"/>
      <c r="G217" s="4"/>
      <c r="H217" s="8"/>
      <c r="I217" s="8"/>
    </row>
    <row r="218" spans="1:9" ht="13.5" x14ac:dyDescent="0.2">
      <c r="A218" s="2"/>
      <c r="B218" s="5"/>
      <c r="C218" s="6"/>
      <c r="D218" s="3"/>
      <c r="E218" s="3"/>
      <c r="F218" s="7"/>
      <c r="G218" s="4"/>
      <c r="H218" s="8"/>
      <c r="I218" s="8"/>
    </row>
    <row r="219" spans="1:9" ht="13.5" x14ac:dyDescent="0.2">
      <c r="A219" s="2"/>
      <c r="B219" s="5"/>
      <c r="C219" s="6"/>
      <c r="D219" s="3"/>
      <c r="E219" s="3"/>
      <c r="F219" s="7"/>
      <c r="G219" s="4"/>
      <c r="H219" s="8"/>
      <c r="I219" s="8"/>
    </row>
    <row r="220" spans="1:9" ht="13.5" x14ac:dyDescent="0.2">
      <c r="A220" s="2"/>
      <c r="B220" s="5"/>
      <c r="C220" s="6"/>
      <c r="D220" s="3"/>
      <c r="E220" s="3"/>
      <c r="F220" s="7"/>
      <c r="G220" s="4"/>
      <c r="H220" s="8"/>
      <c r="I220" s="8"/>
    </row>
    <row r="221" spans="1:9" ht="13.5" x14ac:dyDescent="0.2">
      <c r="A221" s="2"/>
      <c r="B221" s="5"/>
      <c r="C221" s="6"/>
      <c r="D221" s="3"/>
      <c r="E221" s="3"/>
      <c r="F221" s="7"/>
      <c r="G221" s="4"/>
      <c r="H221" s="8"/>
      <c r="I221" s="8"/>
    </row>
    <row r="222" spans="1:9" ht="13.5" x14ac:dyDescent="0.2">
      <c r="A222" s="2"/>
      <c r="B222" s="5"/>
      <c r="C222" s="6"/>
      <c r="D222" s="3"/>
      <c r="E222" s="3"/>
      <c r="F222" s="7"/>
      <c r="G222" s="4"/>
      <c r="H222" s="8"/>
      <c r="I222" s="8"/>
    </row>
    <row r="223" spans="1:9" ht="13.5" x14ac:dyDescent="0.2">
      <c r="A223" s="2"/>
      <c r="B223" s="5"/>
      <c r="C223" s="6"/>
      <c r="D223" s="3"/>
      <c r="E223" s="3"/>
      <c r="F223" s="7"/>
      <c r="G223" s="4"/>
      <c r="H223" s="8"/>
      <c r="I223" s="8"/>
    </row>
    <row r="224" spans="1:9" ht="13.5" x14ac:dyDescent="0.2">
      <c r="A224" s="2"/>
      <c r="B224" s="5"/>
      <c r="C224" s="6"/>
      <c r="D224" s="3"/>
      <c r="E224" s="3"/>
      <c r="F224" s="7"/>
      <c r="G224" s="4"/>
      <c r="H224" s="8"/>
      <c r="I224" s="8"/>
    </row>
    <row r="225" spans="1:9" ht="13.5" x14ac:dyDescent="0.2">
      <c r="A225" s="2"/>
      <c r="B225" s="5"/>
      <c r="C225" s="6"/>
      <c r="D225" s="3"/>
      <c r="E225" s="3"/>
      <c r="F225" s="7"/>
      <c r="G225" s="4"/>
      <c r="H225" s="8"/>
      <c r="I225" s="8"/>
    </row>
    <row r="226" spans="1:9" ht="13.5" x14ac:dyDescent="0.2">
      <c r="A226" s="2"/>
      <c r="B226" s="5"/>
      <c r="C226" s="6"/>
      <c r="D226" s="3"/>
      <c r="E226" s="3"/>
      <c r="F226" s="7"/>
      <c r="G226" s="4"/>
      <c r="H226" s="8"/>
      <c r="I226" s="8"/>
    </row>
    <row r="227" spans="1:9" ht="13.5" x14ac:dyDescent="0.2">
      <c r="A227" s="2"/>
      <c r="B227" s="5"/>
      <c r="C227" s="6"/>
      <c r="D227" s="3"/>
      <c r="E227" s="3"/>
      <c r="F227" s="7"/>
      <c r="G227" s="4"/>
      <c r="H227" s="8"/>
      <c r="I227" s="8"/>
    </row>
    <row r="228" spans="1:9" ht="13.5" x14ac:dyDescent="0.2">
      <c r="A228" s="2"/>
      <c r="B228" s="5"/>
      <c r="C228" s="6"/>
      <c r="D228" s="3"/>
      <c r="E228" s="3"/>
      <c r="F228" s="7"/>
      <c r="G228" s="4"/>
      <c r="H228" s="8"/>
      <c r="I228" s="8"/>
    </row>
    <row r="229" spans="1:9" ht="13.5" x14ac:dyDescent="0.2">
      <c r="A229" s="2"/>
      <c r="B229" s="5"/>
      <c r="C229" s="6"/>
      <c r="D229" s="3"/>
      <c r="E229" s="3"/>
      <c r="F229" s="7"/>
      <c r="G229" s="4"/>
      <c r="H229" s="8"/>
      <c r="I229" s="8"/>
    </row>
    <row r="230" spans="1:9" ht="13.5" x14ac:dyDescent="0.2">
      <c r="A230" s="2"/>
      <c r="B230" s="5"/>
      <c r="C230" s="6"/>
      <c r="D230" s="3"/>
      <c r="E230" s="3"/>
      <c r="F230" s="7"/>
      <c r="G230" s="4"/>
      <c r="H230" s="8"/>
      <c r="I230" s="8"/>
    </row>
    <row r="231" spans="1:9" ht="13.5" x14ac:dyDescent="0.2">
      <c r="A231" s="2"/>
      <c r="B231" s="5"/>
      <c r="C231" s="6"/>
      <c r="D231" s="3"/>
      <c r="E231" s="3"/>
      <c r="F231" s="7"/>
      <c r="G231" s="4"/>
      <c r="H231" s="8"/>
      <c r="I231" s="8"/>
    </row>
    <row r="232" spans="1:9" ht="13.5" x14ac:dyDescent="0.2">
      <c r="A232" s="2"/>
      <c r="B232" s="5"/>
      <c r="C232" s="6"/>
      <c r="D232" s="3"/>
      <c r="E232" s="3"/>
      <c r="F232" s="7"/>
      <c r="G232" s="4"/>
      <c r="H232" s="8"/>
      <c r="I232" s="8"/>
    </row>
    <row r="233" spans="1:9" ht="13.5" x14ac:dyDescent="0.2">
      <c r="A233" s="2"/>
      <c r="B233" s="5"/>
      <c r="C233" s="6"/>
      <c r="D233" s="3"/>
      <c r="E233" s="3"/>
      <c r="F233" s="7"/>
      <c r="G233" s="4"/>
      <c r="H233" s="8"/>
      <c r="I233" s="8"/>
    </row>
    <row r="234" spans="1:9" ht="13.5" x14ac:dyDescent="0.2">
      <c r="A234" s="2"/>
      <c r="B234" s="5"/>
      <c r="C234" s="6"/>
      <c r="D234" s="3"/>
      <c r="E234" s="3"/>
      <c r="F234" s="7"/>
      <c r="G234" s="4"/>
      <c r="H234" s="8"/>
      <c r="I234" s="8"/>
    </row>
    <row r="235" spans="1:9" ht="13.5" x14ac:dyDescent="0.2">
      <c r="A235" s="2"/>
      <c r="B235" s="5"/>
      <c r="C235" s="6"/>
      <c r="D235" s="3"/>
      <c r="E235" s="3"/>
      <c r="F235" s="7"/>
      <c r="G235" s="4"/>
      <c r="H235" s="8"/>
      <c r="I235" s="8"/>
    </row>
    <row r="236" spans="1:9" ht="13.5" x14ac:dyDescent="0.2">
      <c r="A236" s="2"/>
      <c r="B236" s="5"/>
      <c r="C236" s="6"/>
      <c r="D236" s="3"/>
      <c r="E236" s="3"/>
      <c r="F236" s="7"/>
      <c r="G236" s="4"/>
      <c r="H236" s="8"/>
      <c r="I236" s="8"/>
    </row>
    <row r="237" spans="1:9" ht="13.5" x14ac:dyDescent="0.2">
      <c r="A237" s="2"/>
      <c r="B237" s="5"/>
      <c r="C237" s="6"/>
      <c r="D237" s="3"/>
      <c r="E237" s="3"/>
      <c r="F237" s="7"/>
      <c r="G237" s="4"/>
      <c r="H237" s="8"/>
      <c r="I237" s="8"/>
    </row>
    <row r="238" spans="1:9" ht="13.5" x14ac:dyDescent="0.2">
      <c r="A238" s="2"/>
      <c r="B238" s="5"/>
      <c r="C238" s="6"/>
      <c r="D238" s="3"/>
      <c r="E238" s="3"/>
      <c r="F238" s="7"/>
      <c r="G238" s="4"/>
      <c r="H238" s="8"/>
      <c r="I238" s="8"/>
    </row>
    <row r="239" spans="1:9" ht="13.5" x14ac:dyDescent="0.2">
      <c r="A239" s="2"/>
      <c r="B239" s="5"/>
      <c r="C239" s="6"/>
      <c r="D239" s="3"/>
      <c r="E239" s="3"/>
      <c r="F239" s="7"/>
      <c r="G239" s="4"/>
      <c r="H239" s="8"/>
      <c r="I239" s="8"/>
    </row>
    <row r="240" spans="1:9" ht="13.5" x14ac:dyDescent="0.2">
      <c r="A240" s="2"/>
      <c r="B240" s="5"/>
      <c r="C240" s="6"/>
      <c r="D240" s="3"/>
      <c r="E240" s="3"/>
      <c r="F240" s="7"/>
      <c r="G240" s="4"/>
      <c r="H240" s="8"/>
      <c r="I240" s="8"/>
    </row>
    <row r="241" spans="1:9" ht="13.5" x14ac:dyDescent="0.2">
      <c r="A241" s="2"/>
      <c r="B241" s="5"/>
      <c r="C241" s="6"/>
      <c r="D241" s="3"/>
      <c r="E241" s="3"/>
      <c r="F241" s="7"/>
      <c r="G241" s="4"/>
      <c r="H241" s="8"/>
      <c r="I241" s="8"/>
    </row>
    <row r="242" spans="1:9" ht="13.5" x14ac:dyDescent="0.2">
      <c r="A242" s="2"/>
      <c r="B242" s="5"/>
      <c r="C242" s="6"/>
      <c r="D242" s="3"/>
      <c r="E242" s="3"/>
      <c r="F242" s="7"/>
      <c r="G242" s="4"/>
      <c r="H242" s="8"/>
      <c r="I242" s="8"/>
    </row>
    <row r="243" spans="1:9" ht="13.5" x14ac:dyDescent="0.2">
      <c r="A243" s="2"/>
      <c r="B243" s="5"/>
      <c r="C243" s="6"/>
      <c r="D243" s="3"/>
      <c r="E243" s="3"/>
      <c r="F243" s="7"/>
      <c r="G243" s="4"/>
      <c r="H243" s="8"/>
      <c r="I243" s="8"/>
    </row>
  </sheetData>
  <mergeCells count="1">
    <mergeCell ref="A1:I1"/>
  </mergeCells>
  <phoneticPr fontId="21" type="noConversion"/>
  <conditionalFormatting sqref="H1:I1048576">
    <cfRule type="cellIs" dxfId="53" priority="2" stopIfTrue="1" operator="equal">
      <formula>"open"</formula>
    </cfRule>
  </conditionalFormatting>
  <conditionalFormatting sqref="H1:I1048576">
    <cfRule type="cellIs" dxfId="52" priority="3" stopIfTrue="1" operator="equal">
      <formula>"locked"</formula>
    </cfRule>
  </conditionalFormatting>
  <conditionalFormatting sqref="H1:I1048576">
    <cfRule type="cellIs" dxfId="51" priority="4" stopIfTrue="1" operator="equal">
      <formula>"feature"</formula>
    </cfRule>
  </conditionalFormatting>
  <conditionalFormatting sqref="H1:I1048576">
    <cfRule type="cellIs" dxfId="50" priority="5" stopIfTrue="1" operator="equal">
      <formula>"merged"</formula>
    </cfRule>
  </conditionalFormatting>
  <dataValidations count="2">
    <dataValidation type="list" allowBlank="1" showErrorMessage="1" sqref="B3:B243">
      <formula1>"Draft,In Review,Released"</formula1>
    </dataValidation>
    <dataValidation type="list" allowBlank="1" showErrorMessage="1" sqref="I2:I243 H2:H243">
      <formula1>"merged,feature,locked,open"</formula1>
    </dataValidation>
  </dataValidations>
  <pageMargins left="0.7" right="0.7" top="0.75" bottom="0.75" header="0.3" footer="0.3"/>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485"/>
  <sheetViews>
    <sheetView tabSelected="1" workbookViewId="0">
      <pane ySplit="1" topLeftCell="A2" activePane="bottomLeft" state="frozen"/>
      <selection pane="bottomLeft" activeCell="A2" sqref="A2:XFD11"/>
    </sheetView>
  </sheetViews>
  <sheetFormatPr defaultColWidth="14" defaultRowHeight="12.75" x14ac:dyDescent="0.2"/>
  <cols>
    <col min="1" max="1" width="25" customWidth="1"/>
    <col min="2" max="3" width="12" customWidth="1"/>
    <col min="4" max="4" width="33" customWidth="1"/>
    <col min="5" max="5" width="34" customWidth="1"/>
    <col min="6" max="6" width="11" customWidth="1"/>
    <col min="7" max="7" width="29" customWidth="1"/>
    <col min="8" max="8" width="19" customWidth="1"/>
    <col min="9" max="9" width="14" customWidth="1"/>
    <col min="10" max="10" width="16" customWidth="1"/>
    <col min="11" max="11" width="19" customWidth="1"/>
    <col min="12" max="12" width="15" customWidth="1"/>
    <col min="13" max="13" width="17" customWidth="1"/>
    <col min="14" max="14" width="46" customWidth="1"/>
    <col min="15" max="15" width="27" customWidth="1"/>
    <col min="16" max="21" width="11" customWidth="1"/>
  </cols>
  <sheetData>
    <row r="1" spans="1:21" ht="30.95" customHeight="1" x14ac:dyDescent="0.2">
      <c r="A1" s="134" t="s">
        <v>146</v>
      </c>
      <c r="B1" s="134" t="s">
        <v>147</v>
      </c>
      <c r="C1" s="134" t="s">
        <v>148</v>
      </c>
      <c r="D1" s="138" t="s">
        <v>149</v>
      </c>
      <c r="E1" s="134" t="s">
        <v>150</v>
      </c>
      <c r="F1" s="134" t="s">
        <v>151</v>
      </c>
      <c r="G1" s="135" t="s">
        <v>152</v>
      </c>
      <c r="H1" s="136" t="s">
        <v>153</v>
      </c>
      <c r="I1" s="136" t="s">
        <v>154</v>
      </c>
      <c r="J1" s="136" t="s">
        <v>155</v>
      </c>
      <c r="K1" s="137" t="s">
        <v>156</v>
      </c>
      <c r="L1" s="137" t="s">
        <v>157</v>
      </c>
      <c r="M1" s="137" t="s">
        <v>158</v>
      </c>
      <c r="N1" s="137" t="s">
        <v>159</v>
      </c>
      <c r="O1" s="137" t="s">
        <v>160</v>
      </c>
    </row>
    <row r="2" spans="1:21" ht="15" customHeight="1" x14ac:dyDescent="0.2">
      <c r="A2" s="120" t="s">
        <v>185</v>
      </c>
      <c r="B2" s="7" t="s">
        <v>161</v>
      </c>
      <c r="C2" s="49" t="s">
        <v>162</v>
      </c>
      <c r="D2" s="53" t="s">
        <v>186</v>
      </c>
      <c r="E2" s="50" t="s">
        <v>187</v>
      </c>
      <c r="F2" s="44" t="str">
        <f>IF(AND(ISNA(VLOOKUP(E2,DataType_Platform!A:A,1,FALSE())),ISNA(VLOOKUP(E2,BaseType!A:A,1,FALSE()))),"N","Y")</f>
        <v>Y</v>
      </c>
      <c r="G2" s="40"/>
      <c r="H2" s="56" t="s">
        <v>165</v>
      </c>
      <c r="I2" s="57" t="s">
        <v>166</v>
      </c>
      <c r="J2" s="57"/>
      <c r="K2" s="58"/>
      <c r="L2" s="58"/>
      <c r="M2" s="58"/>
      <c r="N2" s="58"/>
      <c r="O2" s="58"/>
      <c r="P2" s="54"/>
      <c r="Q2" s="54"/>
      <c r="R2" s="54"/>
      <c r="S2" s="54"/>
      <c r="T2" s="54"/>
      <c r="U2" s="54"/>
    </row>
    <row r="3" spans="1:21" ht="15" customHeight="1" x14ac:dyDescent="0.2">
      <c r="A3" s="83" t="s">
        <v>188</v>
      </c>
      <c r="B3" s="7" t="s">
        <v>189</v>
      </c>
      <c r="C3" s="49" t="s">
        <v>162</v>
      </c>
      <c r="D3" s="53" t="s">
        <v>183</v>
      </c>
      <c r="E3" s="50" t="s">
        <v>184</v>
      </c>
      <c r="F3" s="44" t="str">
        <f>IF(AND(ISNA(VLOOKUP(E3,DataType_Platform!A:A,1,FALSE())),ISNA(VLOOKUP(E3,BaseType!A:A,1,FALSE()))),"N","Y")</f>
        <v>Y</v>
      </c>
      <c r="G3" s="40"/>
      <c r="H3" s="57" t="s">
        <v>165</v>
      </c>
      <c r="I3" s="57" t="s">
        <v>166</v>
      </c>
      <c r="J3" s="57"/>
      <c r="K3" s="58"/>
      <c r="L3" s="58"/>
      <c r="M3" s="58"/>
      <c r="N3" s="58"/>
      <c r="O3" s="58"/>
      <c r="P3" s="54"/>
      <c r="Q3" s="54"/>
      <c r="R3" s="54"/>
      <c r="S3" s="54"/>
      <c r="T3" s="54"/>
      <c r="U3" s="54"/>
    </row>
    <row r="4" spans="1:21" ht="15" customHeight="1" x14ac:dyDescent="0.2">
      <c r="A4" s="83" t="s">
        <v>188</v>
      </c>
      <c r="B4" s="7" t="s">
        <v>189</v>
      </c>
      <c r="C4" s="49" t="s">
        <v>162</v>
      </c>
      <c r="D4" s="53" t="s">
        <v>190</v>
      </c>
      <c r="E4" s="50" t="s">
        <v>191</v>
      </c>
      <c r="F4" s="44" t="str">
        <f>IF(AND(ISNA(VLOOKUP(E4,DataType_Platform!A:A,1,FALSE())),ISNA(VLOOKUP(E4,BaseType!A:A,1,FALSE()))),"N","Y")</f>
        <v>Y</v>
      </c>
      <c r="G4" s="75"/>
      <c r="H4" s="57" t="s">
        <v>165</v>
      </c>
      <c r="I4" s="57" t="s">
        <v>166</v>
      </c>
      <c r="J4" s="57"/>
      <c r="K4" s="58"/>
      <c r="L4" s="58"/>
      <c r="M4" s="58" t="s">
        <v>166</v>
      </c>
      <c r="N4" s="58"/>
      <c r="O4" s="58"/>
      <c r="P4" s="54"/>
      <c r="Q4" s="54"/>
      <c r="R4" s="54"/>
      <c r="S4" s="54"/>
      <c r="T4" s="54"/>
      <c r="U4" s="54"/>
    </row>
    <row r="5" spans="1:21" ht="15" customHeight="1" x14ac:dyDescent="0.2">
      <c r="A5" s="83" t="s">
        <v>188</v>
      </c>
      <c r="B5" s="96" t="s">
        <v>189</v>
      </c>
      <c r="C5" s="49" t="s">
        <v>162</v>
      </c>
      <c r="D5" s="66" t="s">
        <v>192</v>
      </c>
      <c r="E5" s="11" t="s">
        <v>193</v>
      </c>
      <c r="F5" s="44" t="str">
        <f>IF(AND(ISNA(VLOOKUP(E5,DataType_Platform!A:A,1,FALSE())),ISNA(VLOOKUP(E5,BaseType!A:A,1,FALSE()))),"N","Y")</f>
        <v>Y</v>
      </c>
      <c r="G5" s="91"/>
      <c r="H5" s="56" t="s">
        <v>165</v>
      </c>
      <c r="I5" s="56" t="s">
        <v>166</v>
      </c>
      <c r="J5" s="56"/>
      <c r="K5" s="65">
        <v>0</v>
      </c>
      <c r="L5" s="65">
        <v>0</v>
      </c>
      <c r="M5" s="65" t="s">
        <v>166</v>
      </c>
      <c r="N5" s="65">
        <v>0</v>
      </c>
      <c r="O5" s="65">
        <v>0</v>
      </c>
      <c r="P5" s="42"/>
      <c r="Q5" s="42"/>
      <c r="R5" s="42"/>
      <c r="S5" s="42"/>
      <c r="T5" s="42"/>
      <c r="U5" s="42"/>
    </row>
    <row r="6" spans="1:21" ht="15" customHeight="1" x14ac:dyDescent="0.2">
      <c r="A6" s="83" t="s">
        <v>188</v>
      </c>
      <c r="B6" s="7" t="s">
        <v>189</v>
      </c>
      <c r="C6" s="49" t="s">
        <v>162</v>
      </c>
      <c r="D6" s="53" t="s">
        <v>194</v>
      </c>
      <c r="E6" s="50" t="s">
        <v>195</v>
      </c>
      <c r="F6" s="44" t="str">
        <f>IF(AND(ISNA(VLOOKUP(E6,DataType_Platform!A:A,1,FALSE())),ISNA(VLOOKUP(E6,BaseType!A:A,1,FALSE()))),"N","Y")</f>
        <v>Y</v>
      </c>
      <c r="G6" s="75"/>
      <c r="H6" s="57" t="s">
        <v>165</v>
      </c>
      <c r="I6" s="57" t="s">
        <v>166</v>
      </c>
      <c r="J6" s="57"/>
      <c r="K6" s="58"/>
      <c r="L6" s="58"/>
      <c r="M6" s="58" t="s">
        <v>166</v>
      </c>
      <c r="N6" s="58"/>
      <c r="O6" s="58"/>
      <c r="P6" s="54"/>
      <c r="Q6" s="54"/>
      <c r="R6" s="54"/>
      <c r="S6" s="54"/>
      <c r="T6" s="54"/>
      <c r="U6" s="54"/>
    </row>
    <row r="7" spans="1:21" ht="15" customHeight="1" x14ac:dyDescent="0.2">
      <c r="A7" s="83" t="s">
        <v>188</v>
      </c>
      <c r="B7" s="7" t="s">
        <v>189</v>
      </c>
      <c r="C7" s="49" t="s">
        <v>162</v>
      </c>
      <c r="D7" s="68" t="s">
        <v>196</v>
      </c>
      <c r="E7" s="50" t="s">
        <v>197</v>
      </c>
      <c r="F7" s="44" t="str">
        <f>IF(AND(ISNA(VLOOKUP(E7,DataType_Platform!A:A,1,FALSE())),ISNA(VLOOKUP(E7,BaseType!A:A,1,FALSE()))),"N","Y")</f>
        <v>Y</v>
      </c>
      <c r="G7" s="75"/>
      <c r="H7" s="57" t="s">
        <v>165</v>
      </c>
      <c r="I7" s="57" t="s">
        <v>166</v>
      </c>
      <c r="J7" s="57"/>
      <c r="K7" s="58"/>
      <c r="L7" s="58"/>
      <c r="M7" s="58" t="s">
        <v>166</v>
      </c>
      <c r="N7" s="58"/>
      <c r="O7" s="58"/>
      <c r="P7" s="54"/>
      <c r="Q7" s="54"/>
      <c r="R7" s="54"/>
      <c r="S7" s="54"/>
      <c r="T7" s="54"/>
      <c r="U7" s="54"/>
    </row>
    <row r="8" spans="1:21" ht="15" customHeight="1" x14ac:dyDescent="0.2">
      <c r="A8" s="83" t="s">
        <v>188</v>
      </c>
      <c r="B8" s="7" t="s">
        <v>189</v>
      </c>
      <c r="C8" s="49" t="s">
        <v>162</v>
      </c>
      <c r="D8" s="66" t="s">
        <v>198</v>
      </c>
      <c r="E8" s="66" t="s">
        <v>199</v>
      </c>
      <c r="F8" s="44" t="str">
        <f>IF(AND(ISNA(VLOOKUP(E8,DataType_Platform!A:A,1,FALSE())),ISNA(VLOOKUP(E8,BaseType!A:A,1,FALSE()))),"N","Y")</f>
        <v>Y</v>
      </c>
      <c r="G8" s="51"/>
      <c r="H8" s="57" t="s">
        <v>165</v>
      </c>
      <c r="I8" s="57" t="s">
        <v>166</v>
      </c>
      <c r="J8" s="57"/>
      <c r="K8" s="52">
        <v>0</v>
      </c>
      <c r="L8" s="52">
        <v>0</v>
      </c>
      <c r="M8" s="58" t="s">
        <v>166</v>
      </c>
      <c r="N8" s="52">
        <v>0</v>
      </c>
      <c r="O8" s="52">
        <v>0</v>
      </c>
      <c r="P8" s="54"/>
      <c r="Q8" s="54"/>
      <c r="R8" s="54"/>
      <c r="S8" s="54"/>
      <c r="T8" s="54"/>
      <c r="U8" s="54"/>
    </row>
    <row r="9" spans="1:21" ht="15" customHeight="1" x14ac:dyDescent="0.2">
      <c r="A9" s="83" t="s">
        <v>188</v>
      </c>
      <c r="B9" s="7" t="s">
        <v>189</v>
      </c>
      <c r="C9" s="49" t="s">
        <v>162</v>
      </c>
      <c r="D9" s="66" t="s">
        <v>200</v>
      </c>
      <c r="E9" s="11" t="s">
        <v>201</v>
      </c>
      <c r="F9" s="44" t="str">
        <f>IF(AND(ISNA(VLOOKUP(E9,DataType_Platform!A:A,1,FALSE())),ISNA(VLOOKUP(E9,BaseType!A:A,1,FALSE()))),"N","Y")</f>
        <v>Y</v>
      </c>
      <c r="G9" s="75"/>
      <c r="H9" s="57" t="s">
        <v>165</v>
      </c>
      <c r="I9" s="57" t="s">
        <v>166</v>
      </c>
      <c r="J9" s="57"/>
      <c r="K9" s="58"/>
      <c r="L9" s="58"/>
      <c r="M9" s="58" t="s">
        <v>166</v>
      </c>
      <c r="N9" s="58"/>
      <c r="O9" s="58"/>
      <c r="P9" s="54"/>
      <c r="Q9" s="54"/>
      <c r="R9" s="54"/>
      <c r="S9" s="54"/>
      <c r="T9" s="54"/>
      <c r="U9" s="54"/>
    </row>
    <row r="10" spans="1:21" ht="15" customHeight="1" x14ac:dyDescent="0.2">
      <c r="A10" s="83" t="s">
        <v>188</v>
      </c>
      <c r="B10" s="7" t="s">
        <v>189</v>
      </c>
      <c r="C10" s="49" t="s">
        <v>162</v>
      </c>
      <c r="D10" s="53" t="s">
        <v>202</v>
      </c>
      <c r="E10" s="36" t="s">
        <v>203</v>
      </c>
      <c r="F10" s="44" t="str">
        <f>IF(AND(ISNA(VLOOKUP(E10,DataType_Platform!A:A,1,FALSE())),ISNA(VLOOKUP(E10,BaseType!A:A,1,FALSE()))),"N","Y")</f>
        <v>Y</v>
      </c>
      <c r="G10" s="51"/>
      <c r="H10" s="57" t="s">
        <v>165</v>
      </c>
      <c r="I10" s="57" t="s">
        <v>166</v>
      </c>
      <c r="J10" s="57"/>
      <c r="K10" s="52"/>
      <c r="L10" s="52"/>
      <c r="M10" s="58" t="s">
        <v>166</v>
      </c>
      <c r="N10" s="52"/>
      <c r="O10" s="52"/>
      <c r="P10" s="54"/>
      <c r="Q10" s="54"/>
      <c r="R10" s="54"/>
      <c r="S10" s="54"/>
      <c r="T10" s="54"/>
      <c r="U10" s="54"/>
    </row>
    <row r="11" spans="1:21" ht="15" customHeight="1" x14ac:dyDescent="0.2">
      <c r="A11" s="83" t="s">
        <v>188</v>
      </c>
      <c r="B11" s="7" t="s">
        <v>189</v>
      </c>
      <c r="C11" s="49" t="s">
        <v>162</v>
      </c>
      <c r="D11" s="53" t="s">
        <v>204</v>
      </c>
      <c r="E11" s="36" t="s">
        <v>205</v>
      </c>
      <c r="F11" s="44" t="str">
        <f>IF(AND(ISNA(VLOOKUP(E11,DataType_Platform!A:A,1,FALSE())),ISNA(VLOOKUP(E11,BaseType!A:A,1,FALSE()))),"N","Y")</f>
        <v>Y</v>
      </c>
      <c r="G11" s="51"/>
      <c r="H11" s="57" t="s">
        <v>165</v>
      </c>
      <c r="I11" s="57" t="s">
        <v>166</v>
      </c>
      <c r="J11" s="57"/>
      <c r="K11" s="52"/>
      <c r="L11" s="52"/>
      <c r="M11" s="58"/>
      <c r="N11" s="52"/>
      <c r="O11" s="52"/>
      <c r="P11" s="54"/>
      <c r="Q11" s="54"/>
      <c r="R11" s="54"/>
      <c r="S11" s="54"/>
      <c r="T11" s="54"/>
      <c r="U11" s="54"/>
    </row>
    <row r="12" spans="1:21" ht="15" customHeight="1" x14ac:dyDescent="0.2">
      <c r="A12" s="83" t="s">
        <v>188</v>
      </c>
      <c r="B12" s="7" t="s">
        <v>189</v>
      </c>
      <c r="C12" s="49" t="s">
        <v>162</v>
      </c>
      <c r="D12" s="53" t="s">
        <v>206</v>
      </c>
      <c r="E12" s="36" t="s">
        <v>207</v>
      </c>
      <c r="F12" s="44" t="str">
        <f>IF(AND(ISNA(VLOOKUP(E12,DataType_Platform!A:A,1,FALSE())),ISNA(VLOOKUP(E12,BaseType!A:A,1,FALSE()))),"N","Y")</f>
        <v>Y</v>
      </c>
      <c r="G12" s="51"/>
      <c r="H12" s="57" t="s">
        <v>165</v>
      </c>
      <c r="I12" s="57" t="s">
        <v>166</v>
      </c>
      <c r="J12" s="57"/>
      <c r="K12" s="52">
        <v>0</v>
      </c>
      <c r="L12" s="52">
        <v>0</v>
      </c>
      <c r="M12" s="58" t="s">
        <v>166</v>
      </c>
      <c r="N12" s="52">
        <v>0</v>
      </c>
      <c r="O12" s="52">
        <v>0</v>
      </c>
      <c r="P12" s="54"/>
      <c r="Q12" s="54"/>
      <c r="R12" s="54"/>
      <c r="S12" s="54"/>
      <c r="T12" s="54"/>
      <c r="U12" s="54"/>
    </row>
    <row r="13" spans="1:21" ht="15" customHeight="1" x14ac:dyDescent="0.2">
      <c r="A13" s="83" t="s">
        <v>188</v>
      </c>
      <c r="B13" s="7" t="s">
        <v>189</v>
      </c>
      <c r="C13" s="49" t="s">
        <v>162</v>
      </c>
      <c r="D13" s="68" t="s">
        <v>208</v>
      </c>
      <c r="E13" s="50" t="s">
        <v>209</v>
      </c>
      <c r="F13" s="44" t="str">
        <f>IF(AND(ISNA(VLOOKUP(E13,DataType_Platform!A:A,1,FALSE())),ISNA(VLOOKUP(E13,BaseType!A:A,1,FALSE()))),"N","Y")</f>
        <v>Y</v>
      </c>
      <c r="G13" s="75"/>
      <c r="H13" s="57" t="s">
        <v>165</v>
      </c>
      <c r="I13" s="57" t="s">
        <v>166</v>
      </c>
      <c r="J13" s="57"/>
      <c r="K13" s="58"/>
      <c r="L13" s="58"/>
      <c r="M13" s="58" t="s">
        <v>166</v>
      </c>
      <c r="N13" s="58"/>
      <c r="O13" s="58"/>
      <c r="P13" s="54"/>
      <c r="Q13" s="54"/>
      <c r="R13" s="54"/>
      <c r="S13" s="54"/>
      <c r="T13" s="54"/>
      <c r="U13" s="54"/>
    </row>
    <row r="14" spans="1:21" ht="15" customHeight="1" x14ac:dyDescent="0.2">
      <c r="A14" s="83" t="s">
        <v>188</v>
      </c>
      <c r="B14" s="7" t="s">
        <v>189</v>
      </c>
      <c r="C14" s="49" t="s">
        <v>162</v>
      </c>
      <c r="D14" s="66" t="s">
        <v>210</v>
      </c>
      <c r="E14" s="11" t="s">
        <v>211</v>
      </c>
      <c r="F14" s="44" t="str">
        <f>IF(AND(ISNA(VLOOKUP(E14,DataType_Platform!A:A,1,FALSE())),ISNA(VLOOKUP(E14,BaseType!A:A,1,FALSE()))),"N","Y")</f>
        <v>Y</v>
      </c>
      <c r="G14" s="91"/>
      <c r="H14" s="56" t="s">
        <v>165</v>
      </c>
      <c r="I14" s="57" t="s">
        <v>166</v>
      </c>
      <c r="J14" s="57"/>
      <c r="K14" s="58"/>
      <c r="L14" s="58"/>
      <c r="M14" s="58" t="s">
        <v>166</v>
      </c>
      <c r="N14" s="58"/>
      <c r="O14" s="58"/>
      <c r="P14" s="54"/>
      <c r="Q14" s="54"/>
      <c r="R14" s="54"/>
      <c r="S14" s="54"/>
      <c r="T14" s="54"/>
      <c r="U14" s="54"/>
    </row>
    <row r="15" spans="1:21" ht="15" customHeight="1" x14ac:dyDescent="0.2">
      <c r="A15" s="83" t="s">
        <v>188</v>
      </c>
      <c r="B15" s="7" t="s">
        <v>189</v>
      </c>
      <c r="C15" s="49" t="s">
        <v>162</v>
      </c>
      <c r="D15" s="76" t="s">
        <v>212</v>
      </c>
      <c r="E15" s="63" t="s">
        <v>213</v>
      </c>
      <c r="F15" s="44" t="str">
        <f>IF(AND(ISNA(VLOOKUP(E15,DataType_Platform!A:A,1,FALSE())),ISNA(VLOOKUP(E15,BaseType!A:A,1,FALSE()))),"N","Y")</f>
        <v>Y</v>
      </c>
      <c r="G15" s="75"/>
      <c r="H15" s="56" t="s">
        <v>165</v>
      </c>
      <c r="I15" s="57" t="s">
        <v>166</v>
      </c>
      <c r="J15" s="57"/>
      <c r="K15" s="58"/>
      <c r="L15" s="58"/>
      <c r="M15" s="58"/>
      <c r="N15" s="58"/>
      <c r="O15" s="58"/>
      <c r="P15" s="54"/>
      <c r="Q15" s="54"/>
      <c r="R15" s="54"/>
      <c r="S15" s="54"/>
      <c r="T15" s="54"/>
      <c r="U15" s="54"/>
    </row>
    <row r="16" spans="1:21" ht="15" customHeight="1" x14ac:dyDescent="0.2">
      <c r="A16" s="83" t="s">
        <v>188</v>
      </c>
      <c r="B16" s="7" t="s">
        <v>189</v>
      </c>
      <c r="C16" s="49" t="s">
        <v>162</v>
      </c>
      <c r="D16" s="68" t="s">
        <v>214</v>
      </c>
      <c r="E16" s="50" t="s">
        <v>215</v>
      </c>
      <c r="F16" s="44" t="str">
        <f>IF(AND(ISNA(VLOOKUP(E16,DataType_Platform!A:A,1,FALSE())),ISNA(VLOOKUP(E16,BaseType!A:A,1,FALSE()))),"N","Y")</f>
        <v>Y</v>
      </c>
      <c r="G16" s="75"/>
      <c r="H16" s="57" t="s">
        <v>165</v>
      </c>
      <c r="I16" s="57" t="s">
        <v>166</v>
      </c>
      <c r="J16" s="57"/>
      <c r="K16" s="58"/>
      <c r="L16" s="58"/>
      <c r="M16" s="58" t="s">
        <v>166</v>
      </c>
      <c r="N16" s="58"/>
      <c r="O16" s="58"/>
      <c r="P16" s="54"/>
      <c r="Q16" s="54"/>
      <c r="R16" s="54"/>
      <c r="S16" s="54"/>
      <c r="T16" s="54"/>
      <c r="U16" s="54"/>
    </row>
    <row r="17" spans="1:21" ht="15" customHeight="1" x14ac:dyDescent="0.2">
      <c r="A17" s="83" t="s">
        <v>188</v>
      </c>
      <c r="B17" s="7" t="s">
        <v>189</v>
      </c>
      <c r="C17" s="49" t="s">
        <v>162</v>
      </c>
      <c r="D17" s="50" t="s">
        <v>216</v>
      </c>
      <c r="E17" s="50" t="s">
        <v>217</v>
      </c>
      <c r="F17" s="44" t="str">
        <f>IF(AND(ISNA(VLOOKUP(E17,DataType_Platform!A:A,1,FALSE())),ISNA(VLOOKUP(E17,BaseType!A:A,1,FALSE()))),"N","Y")</f>
        <v>Y</v>
      </c>
      <c r="G17" s="75"/>
      <c r="H17" s="57" t="s">
        <v>165</v>
      </c>
      <c r="I17" s="57" t="s">
        <v>166</v>
      </c>
      <c r="J17" s="57"/>
      <c r="K17" s="58"/>
      <c r="L17" s="58"/>
      <c r="M17" s="58" t="s">
        <v>166</v>
      </c>
      <c r="N17" s="58"/>
      <c r="O17" s="58"/>
      <c r="P17" s="54"/>
      <c r="Q17" s="54"/>
      <c r="R17" s="54"/>
      <c r="S17" s="54"/>
      <c r="T17" s="54"/>
      <c r="U17" s="54"/>
    </row>
    <row r="18" spans="1:21" ht="15" customHeight="1" x14ac:dyDescent="0.2">
      <c r="A18" s="83" t="s">
        <v>188</v>
      </c>
      <c r="B18" s="7" t="s">
        <v>189</v>
      </c>
      <c r="C18" s="49" t="s">
        <v>162</v>
      </c>
      <c r="D18" s="50" t="s">
        <v>218</v>
      </c>
      <c r="E18" s="50" t="s">
        <v>219</v>
      </c>
      <c r="F18" s="44" t="str">
        <f>IF(AND(ISNA(VLOOKUP(E18,DataType_Platform!A:A,1,FALSE())),ISNA(VLOOKUP(E18,BaseType!A:A,1,FALSE()))),"N","Y")</f>
        <v>Y</v>
      </c>
      <c r="G18" s="75"/>
      <c r="H18" s="57" t="s">
        <v>165</v>
      </c>
      <c r="I18" s="57" t="s">
        <v>166</v>
      </c>
      <c r="J18" s="57"/>
      <c r="K18" s="58"/>
      <c r="L18" s="58"/>
      <c r="M18" s="58" t="s">
        <v>166</v>
      </c>
      <c r="N18" s="58"/>
      <c r="O18" s="58"/>
      <c r="P18" s="54"/>
      <c r="Q18" s="54"/>
      <c r="R18" s="54"/>
      <c r="S18" s="54"/>
      <c r="T18" s="54"/>
      <c r="U18" s="54"/>
    </row>
    <row r="19" spans="1:21" ht="15" customHeight="1" x14ac:dyDescent="0.2">
      <c r="A19" s="83" t="s">
        <v>188</v>
      </c>
      <c r="B19" s="7" t="s">
        <v>189</v>
      </c>
      <c r="C19" s="49" t="s">
        <v>162</v>
      </c>
      <c r="D19" s="36" t="s">
        <v>220</v>
      </c>
      <c r="E19" s="36" t="s">
        <v>221</v>
      </c>
      <c r="F19" s="44" t="str">
        <f>IF(AND(ISNA(VLOOKUP(E19,DataType_Platform!A:A,1,FALSE())),ISNA(VLOOKUP(E19,BaseType!A:A,1,FALSE()))),"N","Y")</f>
        <v>Y</v>
      </c>
      <c r="G19" s="75"/>
      <c r="H19" s="57" t="s">
        <v>165</v>
      </c>
      <c r="I19" s="57" t="s">
        <v>166</v>
      </c>
      <c r="J19" s="57"/>
      <c r="K19" s="58"/>
      <c r="L19" s="58"/>
      <c r="M19" s="58" t="s">
        <v>166</v>
      </c>
      <c r="N19" s="58"/>
      <c r="O19" s="58"/>
      <c r="P19" s="54"/>
      <c r="Q19" s="54"/>
      <c r="R19" s="54"/>
      <c r="S19" s="54"/>
      <c r="T19" s="54"/>
      <c r="U19" s="54"/>
    </row>
    <row r="20" spans="1:21" ht="15" customHeight="1" x14ac:dyDescent="0.2">
      <c r="A20" s="83" t="s">
        <v>188</v>
      </c>
      <c r="B20" s="7" t="s">
        <v>189</v>
      </c>
      <c r="C20" s="49" t="s">
        <v>162</v>
      </c>
      <c r="D20" s="50" t="s">
        <v>222</v>
      </c>
      <c r="E20" s="50" t="s">
        <v>223</v>
      </c>
      <c r="F20" s="44" t="str">
        <f>IF(AND(ISNA(VLOOKUP(E20,DataType_Platform!A:A,1,FALSE())),ISNA(VLOOKUP(E20,BaseType!A:A,1,FALSE()))),"N","Y")</f>
        <v>Y</v>
      </c>
      <c r="G20" s="75"/>
      <c r="H20" s="57" t="s">
        <v>165</v>
      </c>
      <c r="I20" s="57" t="s">
        <v>166</v>
      </c>
      <c r="J20" s="57"/>
      <c r="K20" s="58"/>
      <c r="L20" s="58"/>
      <c r="M20" s="58" t="s">
        <v>166</v>
      </c>
      <c r="N20" s="58"/>
      <c r="O20" s="58"/>
      <c r="P20" s="54"/>
      <c r="Q20" s="54"/>
      <c r="R20" s="54"/>
      <c r="S20" s="54"/>
      <c r="T20" s="54"/>
      <c r="U20" s="54"/>
    </row>
    <row r="21" spans="1:21" ht="15" customHeight="1" x14ac:dyDescent="0.2">
      <c r="A21" s="83" t="s">
        <v>188</v>
      </c>
      <c r="B21" s="60" t="s">
        <v>189</v>
      </c>
      <c r="C21" s="49" t="s">
        <v>162</v>
      </c>
      <c r="D21" s="53" t="s">
        <v>224</v>
      </c>
      <c r="E21" s="78" t="s">
        <v>225</v>
      </c>
      <c r="F21" s="44" t="str">
        <f>IF(AND(ISNA(VLOOKUP(E21,DataType_Platform!A:A,1,FALSE())),ISNA(VLOOKUP(E21,BaseType!A:A,1,FALSE()))),"N","Y")</f>
        <v>Y</v>
      </c>
      <c r="G21" s="51"/>
      <c r="H21" s="57" t="s">
        <v>165</v>
      </c>
      <c r="I21" s="57" t="s">
        <v>166</v>
      </c>
      <c r="J21" s="57"/>
      <c r="K21" s="52">
        <v>0</v>
      </c>
      <c r="L21" s="52">
        <v>0</v>
      </c>
      <c r="M21" s="58" t="s">
        <v>166</v>
      </c>
      <c r="N21" s="52">
        <v>0</v>
      </c>
      <c r="O21" s="52">
        <v>0</v>
      </c>
      <c r="P21" s="54"/>
      <c r="Q21" s="54"/>
      <c r="R21" s="54"/>
      <c r="S21" s="54"/>
      <c r="T21" s="54"/>
      <c r="U21" s="54"/>
    </row>
    <row r="22" spans="1:21" ht="15" customHeight="1" x14ac:dyDescent="0.2">
      <c r="A22" s="83" t="s">
        <v>188</v>
      </c>
      <c r="B22" s="60" t="s">
        <v>189</v>
      </c>
      <c r="C22" s="49" t="s">
        <v>162</v>
      </c>
      <c r="D22" s="53" t="s">
        <v>226</v>
      </c>
      <c r="E22" s="78" t="s">
        <v>227</v>
      </c>
      <c r="F22" s="44" t="str">
        <f>IF(AND(ISNA(VLOOKUP(E22,DataType_Platform!A:A,1,FALSE())),ISNA(VLOOKUP(E22,BaseType!A:A,1,FALSE()))),"N","Y")</f>
        <v>Y</v>
      </c>
      <c r="G22" s="51"/>
      <c r="H22" s="57" t="s">
        <v>165</v>
      </c>
      <c r="I22" s="57" t="s">
        <v>166</v>
      </c>
      <c r="J22" s="57"/>
      <c r="K22" s="52">
        <v>0</v>
      </c>
      <c r="L22" s="52">
        <v>0</v>
      </c>
      <c r="M22" s="58" t="s">
        <v>166</v>
      </c>
      <c r="N22" s="52">
        <v>0</v>
      </c>
      <c r="O22" s="52">
        <v>0</v>
      </c>
      <c r="P22" s="54"/>
      <c r="Q22" s="54"/>
      <c r="R22" s="54"/>
      <c r="S22" s="54"/>
      <c r="T22" s="54"/>
      <c r="U22" s="54"/>
    </row>
    <row r="23" spans="1:21" ht="15" customHeight="1" x14ac:dyDescent="0.2">
      <c r="A23" s="83" t="s">
        <v>188</v>
      </c>
      <c r="B23" s="60" t="s">
        <v>189</v>
      </c>
      <c r="C23" s="49" t="s">
        <v>162</v>
      </c>
      <c r="D23" s="53" t="s">
        <v>228</v>
      </c>
      <c r="E23" s="78" t="s">
        <v>193</v>
      </c>
      <c r="F23" s="44" t="str">
        <f>IF(AND(ISNA(VLOOKUP(E23,DataType_Platform!A:A,1,FALSE())),ISNA(VLOOKUP(E23,BaseType!A:A,1,FALSE()))),"N","Y")</f>
        <v>Y</v>
      </c>
      <c r="G23" s="51"/>
      <c r="H23" s="57" t="s">
        <v>165</v>
      </c>
      <c r="I23" s="57" t="s">
        <v>166</v>
      </c>
      <c r="J23" s="57"/>
      <c r="K23" s="52">
        <v>0</v>
      </c>
      <c r="L23" s="52">
        <v>0</v>
      </c>
      <c r="M23" s="58" t="s">
        <v>166</v>
      </c>
      <c r="N23" s="52">
        <v>0</v>
      </c>
      <c r="O23" s="52">
        <v>0</v>
      </c>
      <c r="P23" s="54"/>
      <c r="Q23" s="54"/>
      <c r="R23" s="54"/>
      <c r="S23" s="54"/>
      <c r="T23" s="54"/>
      <c r="U23" s="54"/>
    </row>
    <row r="24" spans="1:21" ht="15" customHeight="1" x14ac:dyDescent="0.2">
      <c r="A24" s="83" t="s">
        <v>188</v>
      </c>
      <c r="B24" s="60" t="s">
        <v>189</v>
      </c>
      <c r="C24" s="49" t="s">
        <v>162</v>
      </c>
      <c r="D24" s="53" t="s">
        <v>229</v>
      </c>
      <c r="E24" s="78" t="s">
        <v>193</v>
      </c>
      <c r="F24" s="44" t="str">
        <f>IF(AND(ISNA(VLOOKUP(E24,DataType_Platform!A:A,1,FALSE())),ISNA(VLOOKUP(E24,BaseType!A:A,1,FALSE()))),"N","Y")</f>
        <v>Y</v>
      </c>
      <c r="G24" s="51"/>
      <c r="H24" s="57" t="s">
        <v>165</v>
      </c>
      <c r="I24" s="57" t="s">
        <v>166</v>
      </c>
      <c r="J24" s="57"/>
      <c r="K24" s="52">
        <v>0</v>
      </c>
      <c r="L24" s="52">
        <v>0</v>
      </c>
      <c r="M24" s="58" t="s">
        <v>166</v>
      </c>
      <c r="N24" s="52">
        <v>0</v>
      </c>
      <c r="O24" s="52">
        <v>0</v>
      </c>
      <c r="P24" s="54"/>
      <c r="Q24" s="54"/>
      <c r="R24" s="54"/>
      <c r="S24" s="54"/>
      <c r="T24" s="54"/>
      <c r="U24" s="54"/>
    </row>
    <row r="25" spans="1:21" ht="15" customHeight="1" x14ac:dyDescent="0.2">
      <c r="A25" s="83" t="s">
        <v>188</v>
      </c>
      <c r="B25" s="60" t="s">
        <v>189</v>
      </c>
      <c r="C25" s="49" t="s">
        <v>162</v>
      </c>
      <c r="D25" s="53" t="s">
        <v>230</v>
      </c>
      <c r="E25" s="36" t="s">
        <v>193</v>
      </c>
      <c r="F25" s="44" t="str">
        <f>IF(AND(ISNA(VLOOKUP(E25,DataType_Platform!A:A,1,FALSE())),ISNA(VLOOKUP(E25,BaseType!A:A,1,FALSE()))),"N","Y")</f>
        <v>Y</v>
      </c>
      <c r="G25" s="51"/>
      <c r="H25" s="57" t="s">
        <v>165</v>
      </c>
      <c r="I25" s="57" t="s">
        <v>166</v>
      </c>
      <c r="J25" s="57"/>
      <c r="K25" s="52">
        <v>0</v>
      </c>
      <c r="L25" s="52">
        <v>0</v>
      </c>
      <c r="M25" s="58" t="s">
        <v>166</v>
      </c>
      <c r="N25" s="52">
        <v>0</v>
      </c>
      <c r="O25" s="52">
        <v>0</v>
      </c>
      <c r="P25" s="54"/>
      <c r="Q25" s="54"/>
      <c r="R25" s="54"/>
      <c r="S25" s="54"/>
      <c r="T25" s="54"/>
      <c r="U25" s="54"/>
    </row>
    <row r="26" spans="1:21" ht="15" customHeight="1" x14ac:dyDescent="0.2">
      <c r="A26" s="83" t="s">
        <v>188</v>
      </c>
      <c r="B26" s="7" t="s">
        <v>189</v>
      </c>
      <c r="C26" s="49" t="s">
        <v>162</v>
      </c>
      <c r="D26" s="87" t="s">
        <v>231</v>
      </c>
      <c r="E26" s="117" t="s">
        <v>232</v>
      </c>
      <c r="F26" s="44" t="str">
        <f>IF(AND(ISNA(VLOOKUP(E26,DataType_Platform!A:A,1,FALSE())),ISNA(VLOOKUP(E26,BaseType!A:A,1,FALSE()))),"N","Y")</f>
        <v>Y</v>
      </c>
      <c r="G26" s="40"/>
      <c r="H26" s="57" t="s">
        <v>165</v>
      </c>
      <c r="I26" s="57" t="s">
        <v>166</v>
      </c>
      <c r="J26" s="57"/>
      <c r="K26" s="8"/>
      <c r="L26" s="8"/>
      <c r="M26" s="8" t="s">
        <v>166</v>
      </c>
      <c r="N26" s="8"/>
      <c r="O26" s="8"/>
      <c r="P26" s="54"/>
      <c r="Q26" s="54"/>
      <c r="R26" s="54"/>
      <c r="S26" s="54"/>
      <c r="T26" s="54"/>
      <c r="U26" s="54"/>
    </row>
    <row r="27" spans="1:21" ht="15" customHeight="1" x14ac:dyDescent="0.2">
      <c r="A27" s="83" t="s">
        <v>188</v>
      </c>
      <c r="B27" s="7" t="s">
        <v>189</v>
      </c>
      <c r="C27" s="49" t="s">
        <v>162</v>
      </c>
      <c r="D27" s="66" t="s">
        <v>177</v>
      </c>
      <c r="E27" s="116" t="s">
        <v>178</v>
      </c>
      <c r="F27" s="44" t="str">
        <f>IF(AND(ISNA(VLOOKUP(E27,DataType_Platform!A:A,1,FALSE())),ISNA(VLOOKUP(E27,BaseType!A:A,1,FALSE()))),"N","Y")</f>
        <v>Y</v>
      </c>
      <c r="G27" s="64"/>
      <c r="H27" s="56" t="s">
        <v>165</v>
      </c>
      <c r="I27" s="56" t="s">
        <v>166</v>
      </c>
      <c r="J27" s="56"/>
      <c r="K27" s="52"/>
      <c r="L27" s="52"/>
      <c r="M27" s="58"/>
      <c r="N27" s="52"/>
      <c r="O27" s="52"/>
      <c r="P27" s="63"/>
      <c r="Q27" s="63"/>
      <c r="R27" s="63"/>
      <c r="S27" s="63"/>
      <c r="T27" s="63"/>
      <c r="U27" s="63"/>
    </row>
    <row r="28" spans="1:21" ht="15" customHeight="1" x14ac:dyDescent="0.2">
      <c r="A28" s="94" t="s">
        <v>188</v>
      </c>
      <c r="B28" s="45" t="s">
        <v>189</v>
      </c>
      <c r="C28" s="49" t="s">
        <v>162</v>
      </c>
      <c r="D28" s="123" t="s">
        <v>233</v>
      </c>
      <c r="E28" s="48" t="s">
        <v>234</v>
      </c>
      <c r="F28" s="44" t="str">
        <f>IF(AND(ISNA(VLOOKUP(E28,DataType_Platform!A:A,1,FALSE())),ISNA(VLOOKUP(E28,BaseType!A:A,1,FALSE()))),"N","Y")</f>
        <v>Y</v>
      </c>
      <c r="G28" s="48" t="s">
        <v>235</v>
      </c>
      <c r="H28" s="46" t="s">
        <v>165</v>
      </c>
      <c r="I28" s="46" t="s">
        <v>166</v>
      </c>
      <c r="J28" s="46"/>
      <c r="K28" s="41"/>
      <c r="L28" s="41"/>
      <c r="M28" s="41"/>
      <c r="N28" s="41"/>
      <c r="O28" s="41"/>
      <c r="P28" s="63"/>
      <c r="Q28" s="63"/>
      <c r="R28" s="63"/>
      <c r="S28" s="63"/>
      <c r="T28" s="63"/>
      <c r="U28" s="63"/>
    </row>
    <row r="29" spans="1:21" ht="15" customHeight="1" x14ac:dyDescent="0.2">
      <c r="A29" s="94" t="s">
        <v>188</v>
      </c>
      <c r="B29" s="45" t="s">
        <v>189</v>
      </c>
      <c r="C29" s="43" t="s">
        <v>236</v>
      </c>
      <c r="D29" s="91" t="s">
        <v>237</v>
      </c>
      <c r="E29" s="48" t="s">
        <v>238</v>
      </c>
      <c r="F29" s="44" t="str">
        <f>IF(AND(ISNA(VLOOKUP(E29,DataType_Platform!A:A,1,FALSE())),ISNA(VLOOKUP(E29,BaseType!A:A,1,FALSE()))),"N","Y")</f>
        <v>Y</v>
      </c>
      <c r="G29" s="45" t="s">
        <v>239</v>
      </c>
      <c r="H29" s="46" t="s">
        <v>240</v>
      </c>
      <c r="I29" s="46" t="s">
        <v>166</v>
      </c>
      <c r="J29" s="46"/>
      <c r="K29" s="41"/>
      <c r="L29" s="41" t="s">
        <v>166</v>
      </c>
      <c r="M29" s="41"/>
      <c r="N29" s="41"/>
      <c r="O29" s="41"/>
      <c r="P29" s="63"/>
      <c r="Q29" s="63"/>
      <c r="R29" s="63"/>
      <c r="S29" s="63"/>
      <c r="T29" s="63"/>
      <c r="U29" s="63"/>
    </row>
    <row r="30" spans="1:21" ht="15" customHeight="1" x14ac:dyDescent="0.2">
      <c r="A30" s="94" t="s">
        <v>188</v>
      </c>
      <c r="B30" s="45" t="s">
        <v>189</v>
      </c>
      <c r="C30" s="43" t="s">
        <v>236</v>
      </c>
      <c r="D30" s="91" t="s">
        <v>241</v>
      </c>
      <c r="E30" s="48" t="s">
        <v>238</v>
      </c>
      <c r="F30" s="44" t="str">
        <f>IF(AND(ISNA(VLOOKUP(E30,DataType_Platform!A:A,1,FALSE())),ISNA(VLOOKUP(E30,BaseType!A:A,1,FALSE()))),"N","Y")</f>
        <v>Y</v>
      </c>
      <c r="G30" s="45" t="s">
        <v>242</v>
      </c>
      <c r="H30" s="46" t="s">
        <v>240</v>
      </c>
      <c r="I30" s="46" t="s">
        <v>166</v>
      </c>
      <c r="J30" s="46"/>
      <c r="K30" s="41"/>
      <c r="L30" s="41" t="s">
        <v>166</v>
      </c>
      <c r="M30" s="41"/>
      <c r="N30" s="41"/>
      <c r="O30" s="41"/>
      <c r="P30" s="63"/>
      <c r="Q30" s="63"/>
      <c r="R30" s="63"/>
      <c r="S30" s="63"/>
      <c r="T30" s="63"/>
      <c r="U30" s="63"/>
    </row>
    <row r="31" spans="1:21" ht="15" customHeight="1" x14ac:dyDescent="0.2">
      <c r="A31" s="94" t="s">
        <v>188</v>
      </c>
      <c r="B31" s="45" t="s">
        <v>189</v>
      </c>
      <c r="C31" s="43" t="s">
        <v>236</v>
      </c>
      <c r="D31" s="91" t="s">
        <v>243</v>
      </c>
      <c r="E31" s="48" t="s">
        <v>238</v>
      </c>
      <c r="F31" s="44" t="str">
        <f>IF(AND(ISNA(VLOOKUP(E31,DataType_Platform!A:A,1,FALSE())),ISNA(VLOOKUP(E31,BaseType!A:A,1,FALSE()))),"N","Y")</f>
        <v>Y</v>
      </c>
      <c r="G31" s="45" t="s">
        <v>244</v>
      </c>
      <c r="H31" s="46" t="s">
        <v>240</v>
      </c>
      <c r="I31" s="46" t="s">
        <v>166</v>
      </c>
      <c r="J31" s="46"/>
      <c r="K31" s="41"/>
      <c r="L31" s="41" t="s">
        <v>166</v>
      </c>
      <c r="M31" s="41"/>
      <c r="N31" s="41"/>
      <c r="O31" s="41"/>
      <c r="P31" s="63"/>
      <c r="Q31" s="63"/>
      <c r="R31" s="63"/>
      <c r="S31" s="63"/>
      <c r="T31" s="63"/>
      <c r="U31" s="63"/>
    </row>
    <row r="32" spans="1:21" ht="15" customHeight="1" x14ac:dyDescent="0.2">
      <c r="A32" s="83" t="s">
        <v>188</v>
      </c>
      <c r="B32" s="84" t="s">
        <v>161</v>
      </c>
      <c r="C32" s="49" t="s">
        <v>162</v>
      </c>
      <c r="D32" s="53" t="s">
        <v>245</v>
      </c>
      <c r="E32" s="36" t="s">
        <v>246</v>
      </c>
      <c r="F32" s="44" t="str">
        <f>IF(AND(ISNA(VLOOKUP(E32,DataType_Platform!A:A,1,FALSE())),ISNA(VLOOKUP(E32,BaseType!A:A,1,FALSE()))),"N","Y")</f>
        <v>Y</v>
      </c>
      <c r="G32" s="80"/>
      <c r="H32" s="56" t="s">
        <v>165</v>
      </c>
      <c r="I32" s="57" t="s">
        <v>166</v>
      </c>
      <c r="J32" s="56"/>
      <c r="K32" s="52">
        <v>0</v>
      </c>
      <c r="L32" s="52">
        <v>0</v>
      </c>
      <c r="M32" s="58" t="s">
        <v>166</v>
      </c>
      <c r="N32" s="52">
        <v>0</v>
      </c>
      <c r="O32" s="52">
        <v>0</v>
      </c>
      <c r="P32" s="63"/>
      <c r="Q32" s="63"/>
      <c r="R32" s="63"/>
      <c r="S32" s="63"/>
      <c r="T32" s="63"/>
      <c r="U32" s="63"/>
    </row>
    <row r="33" spans="1:21" ht="15" customHeight="1" x14ac:dyDescent="0.2">
      <c r="A33" s="83" t="s">
        <v>188</v>
      </c>
      <c r="B33" s="7" t="s">
        <v>161</v>
      </c>
      <c r="C33" s="49" t="s">
        <v>162</v>
      </c>
      <c r="D33" s="53" t="s">
        <v>247</v>
      </c>
      <c r="E33" s="7" t="s">
        <v>248</v>
      </c>
      <c r="F33" s="44" t="str">
        <f>IF(AND(ISNA(VLOOKUP(E33,DataType_Platform!A:A,1,FALSE())),ISNA(VLOOKUP(E33,BaseType!A:A,1,FALSE()))),"N","Y")</f>
        <v>Y</v>
      </c>
      <c r="G33" s="75"/>
      <c r="H33" s="57" t="s">
        <v>165</v>
      </c>
      <c r="I33" s="57" t="s">
        <v>166</v>
      </c>
      <c r="J33" s="57"/>
      <c r="K33" s="58">
        <v>0</v>
      </c>
      <c r="L33" s="58">
        <v>0</v>
      </c>
      <c r="M33" s="58" t="s">
        <v>166</v>
      </c>
      <c r="N33" s="58">
        <v>0</v>
      </c>
      <c r="O33" s="58">
        <v>0</v>
      </c>
      <c r="P33" s="54"/>
      <c r="Q33" s="54"/>
      <c r="R33" s="54"/>
      <c r="S33" s="54"/>
      <c r="T33" s="54"/>
      <c r="U33" s="54"/>
    </row>
    <row r="34" spans="1:21" ht="15" customHeight="1" x14ac:dyDescent="0.2">
      <c r="A34" s="83" t="s">
        <v>188</v>
      </c>
      <c r="B34" s="7" t="s">
        <v>161</v>
      </c>
      <c r="C34" s="49" t="s">
        <v>162</v>
      </c>
      <c r="D34" s="53" t="s">
        <v>249</v>
      </c>
      <c r="E34" s="7" t="s">
        <v>250</v>
      </c>
      <c r="F34" s="44" t="str">
        <f>IF(AND(ISNA(VLOOKUP(E34,DataType_Platform!A:A,1,FALSE())),ISNA(VLOOKUP(E34,BaseType!A:A,1,FALSE()))),"N","Y")</f>
        <v>Y</v>
      </c>
      <c r="G34" s="75"/>
      <c r="H34" s="57" t="s">
        <v>165</v>
      </c>
      <c r="I34" s="57" t="s">
        <v>166</v>
      </c>
      <c r="J34" s="57"/>
      <c r="K34" s="58">
        <v>0</v>
      </c>
      <c r="L34" s="58">
        <v>0</v>
      </c>
      <c r="M34" s="58" t="s">
        <v>166</v>
      </c>
      <c r="N34" s="58">
        <v>0</v>
      </c>
      <c r="O34" s="58">
        <v>0</v>
      </c>
      <c r="P34" s="54"/>
      <c r="Q34" s="54"/>
      <c r="R34" s="54"/>
      <c r="S34" s="54"/>
      <c r="T34" s="54"/>
      <c r="U34" s="54"/>
    </row>
    <row r="35" spans="1:21" ht="15" customHeight="1" x14ac:dyDescent="0.2">
      <c r="A35" s="83" t="s">
        <v>188</v>
      </c>
      <c r="B35" s="7" t="s">
        <v>161</v>
      </c>
      <c r="C35" s="49" t="s">
        <v>162</v>
      </c>
      <c r="D35" s="53" t="s">
        <v>251</v>
      </c>
      <c r="E35" s="7" t="s">
        <v>252</v>
      </c>
      <c r="F35" s="44" t="str">
        <f>IF(AND(ISNA(VLOOKUP(E35,DataType_Platform!A:A,1,FALSE())),ISNA(VLOOKUP(E35,BaseType!A:A,1,FALSE()))),"N","Y")</f>
        <v>Y</v>
      </c>
      <c r="G35" s="75"/>
      <c r="H35" s="57" t="s">
        <v>165</v>
      </c>
      <c r="I35" s="57" t="s">
        <v>166</v>
      </c>
      <c r="J35" s="57"/>
      <c r="K35" s="58">
        <v>0</v>
      </c>
      <c r="L35" s="58">
        <v>0</v>
      </c>
      <c r="M35" s="58" t="s">
        <v>166</v>
      </c>
      <c r="N35" s="58">
        <v>0</v>
      </c>
      <c r="O35" s="58">
        <v>0</v>
      </c>
      <c r="P35" s="54"/>
      <c r="Q35" s="54"/>
      <c r="R35" s="54"/>
      <c r="S35" s="54"/>
      <c r="T35" s="54"/>
      <c r="U35" s="54"/>
    </row>
    <row r="36" spans="1:21" ht="15" customHeight="1" x14ac:dyDescent="0.2">
      <c r="A36" s="83" t="s">
        <v>188</v>
      </c>
      <c r="B36" s="7" t="s">
        <v>161</v>
      </c>
      <c r="C36" s="49" t="s">
        <v>162</v>
      </c>
      <c r="D36" s="53" t="s">
        <v>253</v>
      </c>
      <c r="E36" s="7" t="s">
        <v>254</v>
      </c>
      <c r="F36" s="44" t="str">
        <f>IF(AND(ISNA(VLOOKUP(E36,DataType_Platform!A:A,1,FALSE())),ISNA(VLOOKUP(E36,BaseType!A:A,1,FALSE()))),"N","Y")</f>
        <v>Y</v>
      </c>
      <c r="G36" s="75"/>
      <c r="H36" s="57" t="s">
        <v>165</v>
      </c>
      <c r="I36" s="57" t="s">
        <v>166</v>
      </c>
      <c r="J36" s="57"/>
      <c r="K36" s="58">
        <v>0</v>
      </c>
      <c r="L36" s="58">
        <v>0</v>
      </c>
      <c r="M36" s="58" t="s">
        <v>166</v>
      </c>
      <c r="N36" s="58">
        <v>0</v>
      </c>
      <c r="O36" s="58">
        <v>0</v>
      </c>
      <c r="P36" s="54"/>
      <c r="Q36" s="54"/>
      <c r="R36" s="54"/>
      <c r="S36" s="54"/>
      <c r="T36" s="54"/>
      <c r="U36" s="54"/>
    </row>
    <row r="37" spans="1:21" ht="15" customHeight="1" x14ac:dyDescent="0.2">
      <c r="A37" s="83" t="s">
        <v>188</v>
      </c>
      <c r="B37" s="7" t="s">
        <v>161</v>
      </c>
      <c r="C37" s="49" t="s">
        <v>162</v>
      </c>
      <c r="D37" s="53" t="s">
        <v>255</v>
      </c>
      <c r="E37" s="7" t="s">
        <v>256</v>
      </c>
      <c r="F37" s="44" t="str">
        <f>IF(AND(ISNA(VLOOKUP(E37,DataType_Platform!A:A,1,FALSE())),ISNA(VLOOKUP(E37,BaseType!A:A,1,FALSE()))),"N","Y")</f>
        <v>Y</v>
      </c>
      <c r="G37" s="75"/>
      <c r="H37" s="57" t="s">
        <v>165</v>
      </c>
      <c r="I37" s="57" t="s">
        <v>166</v>
      </c>
      <c r="J37" s="57"/>
      <c r="K37" s="58">
        <v>0</v>
      </c>
      <c r="L37" s="58">
        <v>0</v>
      </c>
      <c r="M37" s="58" t="s">
        <v>166</v>
      </c>
      <c r="N37" s="58">
        <v>0</v>
      </c>
      <c r="O37" s="58">
        <v>0</v>
      </c>
      <c r="P37" s="54"/>
      <c r="Q37" s="54"/>
      <c r="R37" s="54"/>
      <c r="S37" s="54"/>
      <c r="T37" s="54"/>
      <c r="U37" s="54"/>
    </row>
    <row r="38" spans="1:21" ht="15" customHeight="1" x14ac:dyDescent="0.2">
      <c r="A38" s="83" t="s">
        <v>188</v>
      </c>
      <c r="B38" s="7" t="s">
        <v>161</v>
      </c>
      <c r="C38" s="49" t="s">
        <v>162</v>
      </c>
      <c r="D38" s="53" t="s">
        <v>257</v>
      </c>
      <c r="E38" s="7" t="s">
        <v>258</v>
      </c>
      <c r="F38" s="44" t="str">
        <f>IF(AND(ISNA(VLOOKUP(E38,DataType_Platform!A:A,1,FALSE())),ISNA(VLOOKUP(E38,BaseType!A:A,1,FALSE()))),"N","Y")</f>
        <v>Y</v>
      </c>
      <c r="G38" s="75"/>
      <c r="H38" s="57" t="s">
        <v>165</v>
      </c>
      <c r="I38" s="57" t="s">
        <v>166</v>
      </c>
      <c r="J38" s="57"/>
      <c r="K38" s="58">
        <v>0</v>
      </c>
      <c r="L38" s="58">
        <v>0</v>
      </c>
      <c r="M38" s="58" t="s">
        <v>166</v>
      </c>
      <c r="N38" s="58">
        <v>0</v>
      </c>
      <c r="O38" s="58">
        <v>0</v>
      </c>
      <c r="P38" s="54"/>
      <c r="Q38" s="54"/>
      <c r="R38" s="54"/>
      <c r="S38" s="54"/>
      <c r="T38" s="54"/>
      <c r="U38" s="54"/>
    </row>
    <row r="39" spans="1:21" ht="15" customHeight="1" x14ac:dyDescent="0.2">
      <c r="A39" s="83" t="s">
        <v>188</v>
      </c>
      <c r="B39" s="36" t="s">
        <v>161</v>
      </c>
      <c r="C39" s="49" t="s">
        <v>162</v>
      </c>
      <c r="D39" s="53" t="s">
        <v>259</v>
      </c>
      <c r="E39" s="36" t="s">
        <v>260</v>
      </c>
      <c r="F39" s="44" t="str">
        <f>IF(AND(ISNA(VLOOKUP(E39,DataType_Platform!A:A,1,FALSE())),ISNA(VLOOKUP(E39,BaseType!A:A,1,FALSE()))),"N","Y")</f>
        <v>Y</v>
      </c>
      <c r="G39" s="51"/>
      <c r="H39" s="57" t="s">
        <v>165</v>
      </c>
      <c r="I39" s="57" t="s">
        <v>166</v>
      </c>
      <c r="J39" s="57"/>
      <c r="K39" s="52">
        <v>0</v>
      </c>
      <c r="L39" s="52">
        <v>0</v>
      </c>
      <c r="M39" s="58" t="s">
        <v>166</v>
      </c>
      <c r="N39" s="52">
        <v>0</v>
      </c>
      <c r="O39" s="52">
        <v>0</v>
      </c>
      <c r="P39" s="54"/>
      <c r="Q39" s="54"/>
      <c r="R39" s="54"/>
      <c r="S39" s="54"/>
      <c r="T39" s="54"/>
      <c r="U39" s="54"/>
    </row>
    <row r="40" spans="1:21" ht="15" customHeight="1" x14ac:dyDescent="0.2">
      <c r="A40" s="83" t="s">
        <v>188</v>
      </c>
      <c r="B40" s="36" t="s">
        <v>161</v>
      </c>
      <c r="C40" s="49" t="s">
        <v>162</v>
      </c>
      <c r="D40" s="53" t="s">
        <v>261</v>
      </c>
      <c r="E40" s="36" t="s">
        <v>262</v>
      </c>
      <c r="F40" s="44" t="str">
        <f>IF(AND(ISNA(VLOOKUP(E40,DataType_Platform!A:A,1,FALSE())),ISNA(VLOOKUP(E40,BaseType!A:A,1,FALSE()))),"N","Y")</f>
        <v>Y</v>
      </c>
      <c r="G40" s="51"/>
      <c r="H40" s="57" t="s">
        <v>165</v>
      </c>
      <c r="I40" s="57" t="s">
        <v>166</v>
      </c>
      <c r="J40" s="57"/>
      <c r="K40" s="52">
        <v>0</v>
      </c>
      <c r="L40" s="52">
        <v>0</v>
      </c>
      <c r="M40" s="58" t="s">
        <v>166</v>
      </c>
      <c r="N40" s="52">
        <v>0</v>
      </c>
      <c r="O40" s="52">
        <v>0</v>
      </c>
      <c r="P40" s="54"/>
      <c r="Q40" s="54"/>
      <c r="R40" s="54"/>
      <c r="S40" s="54"/>
      <c r="T40" s="54"/>
      <c r="U40" s="54"/>
    </row>
    <row r="41" spans="1:21" ht="15" customHeight="1" x14ac:dyDescent="0.2">
      <c r="A41" s="83" t="s">
        <v>188</v>
      </c>
      <c r="B41" s="36" t="s">
        <v>161</v>
      </c>
      <c r="C41" s="49" t="s">
        <v>162</v>
      </c>
      <c r="D41" s="68" t="s">
        <v>263</v>
      </c>
      <c r="E41" s="85" t="s">
        <v>264</v>
      </c>
      <c r="F41" s="44" t="str">
        <f>IF(AND(ISNA(VLOOKUP(E41,DataType_Platform!A:A,1,FALSE())),ISNA(VLOOKUP(E41,BaseType!A:A,1,FALSE()))),"N","Y")</f>
        <v>Y</v>
      </c>
      <c r="G41" s="51"/>
      <c r="H41" s="57" t="s">
        <v>165</v>
      </c>
      <c r="I41" s="57" t="s">
        <v>166</v>
      </c>
      <c r="J41" s="57"/>
      <c r="K41" s="52">
        <v>0</v>
      </c>
      <c r="L41" s="52">
        <v>0</v>
      </c>
      <c r="M41" s="58" t="s">
        <v>166</v>
      </c>
      <c r="N41" s="52">
        <v>0</v>
      </c>
      <c r="O41" s="52">
        <v>0</v>
      </c>
      <c r="P41" s="63"/>
      <c r="Q41" s="63"/>
      <c r="R41" s="63"/>
      <c r="S41" s="63"/>
      <c r="T41" s="63"/>
      <c r="U41" s="63"/>
    </row>
    <row r="42" spans="1:21" ht="15" customHeight="1" x14ac:dyDescent="0.2">
      <c r="A42" s="83" t="s">
        <v>188</v>
      </c>
      <c r="B42" s="86" t="s">
        <v>161</v>
      </c>
      <c r="C42" s="49" t="s">
        <v>162</v>
      </c>
      <c r="D42" s="68" t="s">
        <v>265</v>
      </c>
      <c r="E42" s="85" t="s">
        <v>227</v>
      </c>
      <c r="F42" s="44" t="str">
        <f>IF(AND(ISNA(VLOOKUP(E42,DataType_Platform!A:A,1,FALSE())),ISNA(VLOOKUP(E42,BaseType!A:A,1,FALSE()))),"N","Y")</f>
        <v>Y</v>
      </c>
      <c r="G42" s="80"/>
      <c r="H42" s="56" t="s">
        <v>165</v>
      </c>
      <c r="I42" s="57" t="s">
        <v>166</v>
      </c>
      <c r="J42" s="57"/>
      <c r="K42" s="81">
        <v>0</v>
      </c>
      <c r="L42" s="81">
        <v>0</v>
      </c>
      <c r="M42" s="58" t="s">
        <v>166</v>
      </c>
      <c r="N42" s="81">
        <v>0</v>
      </c>
      <c r="O42" s="81">
        <v>0</v>
      </c>
      <c r="P42" s="63"/>
      <c r="Q42" s="63"/>
      <c r="R42" s="63"/>
      <c r="S42" s="63"/>
      <c r="T42" s="63"/>
      <c r="U42" s="63"/>
    </row>
    <row r="43" spans="1:21" ht="15" customHeight="1" x14ac:dyDescent="0.2">
      <c r="A43" s="83" t="s">
        <v>188</v>
      </c>
      <c r="B43" s="86" t="s">
        <v>161</v>
      </c>
      <c r="C43" s="49" t="s">
        <v>162</v>
      </c>
      <c r="D43" s="68" t="s">
        <v>266</v>
      </c>
      <c r="E43" s="85" t="s">
        <v>225</v>
      </c>
      <c r="F43" s="44" t="str">
        <f>IF(AND(ISNA(VLOOKUP(E43,DataType_Platform!A:A,1,FALSE())),ISNA(VLOOKUP(E43,BaseType!A:A,1,FALSE()))),"N","Y")</f>
        <v>Y</v>
      </c>
      <c r="G43" s="80"/>
      <c r="H43" s="56" t="s">
        <v>165</v>
      </c>
      <c r="I43" s="57" t="s">
        <v>166</v>
      </c>
      <c r="J43" s="57"/>
      <c r="K43" s="81">
        <v>0</v>
      </c>
      <c r="L43" s="81">
        <v>0</v>
      </c>
      <c r="M43" s="58" t="s">
        <v>166</v>
      </c>
      <c r="N43" s="81">
        <v>0</v>
      </c>
      <c r="O43" s="81">
        <v>0</v>
      </c>
      <c r="P43" s="63"/>
      <c r="Q43" s="63"/>
      <c r="R43" s="63"/>
      <c r="S43" s="63"/>
      <c r="T43" s="63"/>
      <c r="U43" s="63"/>
    </row>
    <row r="44" spans="1:21" ht="15" customHeight="1" x14ac:dyDescent="0.2">
      <c r="A44" s="83" t="s">
        <v>188</v>
      </c>
      <c r="B44" s="86" t="s">
        <v>161</v>
      </c>
      <c r="C44" s="49" t="s">
        <v>162</v>
      </c>
      <c r="D44" s="68" t="s">
        <v>267</v>
      </c>
      <c r="E44" s="85" t="s">
        <v>193</v>
      </c>
      <c r="F44" s="44" t="str">
        <f>IF(AND(ISNA(VLOOKUP(E44,DataType_Platform!A:A,1,FALSE())),ISNA(VLOOKUP(E44,BaseType!A:A,1,FALSE()))),"N","Y")</f>
        <v>Y</v>
      </c>
      <c r="G44" s="80"/>
      <c r="H44" s="56" t="s">
        <v>165</v>
      </c>
      <c r="I44" s="57" t="s">
        <v>166</v>
      </c>
      <c r="J44" s="57"/>
      <c r="K44" s="81">
        <v>0</v>
      </c>
      <c r="L44" s="81">
        <v>0</v>
      </c>
      <c r="M44" s="58" t="s">
        <v>166</v>
      </c>
      <c r="N44" s="81">
        <v>0</v>
      </c>
      <c r="O44" s="81">
        <v>0</v>
      </c>
      <c r="P44" s="63"/>
      <c r="Q44" s="63"/>
      <c r="R44" s="63"/>
      <c r="S44" s="63"/>
      <c r="T44" s="63"/>
      <c r="U44" s="63"/>
    </row>
    <row r="45" spans="1:21" ht="15" customHeight="1" x14ac:dyDescent="0.2">
      <c r="A45" s="83" t="s">
        <v>188</v>
      </c>
      <c r="B45" s="86" t="s">
        <v>161</v>
      </c>
      <c r="C45" s="49" t="s">
        <v>162</v>
      </c>
      <c r="D45" s="68" t="s">
        <v>268</v>
      </c>
      <c r="E45" s="85" t="s">
        <v>193</v>
      </c>
      <c r="F45" s="44" t="str">
        <f>IF(AND(ISNA(VLOOKUP(E45,DataType_Platform!A:A,1,FALSE())),ISNA(VLOOKUP(E45,BaseType!A:A,1,FALSE()))),"N","Y")</f>
        <v>Y</v>
      </c>
      <c r="G45" s="80"/>
      <c r="H45" s="56" t="s">
        <v>165</v>
      </c>
      <c r="I45" s="57" t="s">
        <v>166</v>
      </c>
      <c r="J45" s="57"/>
      <c r="K45" s="81">
        <v>0</v>
      </c>
      <c r="L45" s="81">
        <v>0</v>
      </c>
      <c r="M45" s="58" t="s">
        <v>166</v>
      </c>
      <c r="N45" s="81">
        <v>0</v>
      </c>
      <c r="O45" s="81">
        <v>0</v>
      </c>
      <c r="P45" s="63"/>
      <c r="Q45" s="63"/>
      <c r="R45" s="63"/>
      <c r="S45" s="63"/>
      <c r="T45" s="63"/>
      <c r="U45" s="63"/>
    </row>
    <row r="46" spans="1:21" ht="15" customHeight="1" x14ac:dyDescent="0.2">
      <c r="A46" s="83" t="s">
        <v>188</v>
      </c>
      <c r="B46" s="86" t="s">
        <v>161</v>
      </c>
      <c r="C46" s="49" t="s">
        <v>162</v>
      </c>
      <c r="D46" s="53" t="s">
        <v>269</v>
      </c>
      <c r="E46" s="36" t="s">
        <v>193</v>
      </c>
      <c r="F46" s="44" t="str">
        <f>IF(AND(ISNA(VLOOKUP(E46,DataType_Platform!A:A,1,FALSE())),ISNA(VLOOKUP(E46,BaseType!A:A,1,FALSE()))),"N","Y")</f>
        <v>Y</v>
      </c>
      <c r="G46" s="80"/>
      <c r="H46" s="56" t="s">
        <v>165</v>
      </c>
      <c r="I46" s="57" t="s">
        <v>166</v>
      </c>
      <c r="J46" s="57"/>
      <c r="K46" s="81">
        <v>0</v>
      </c>
      <c r="L46" s="81">
        <v>0</v>
      </c>
      <c r="M46" s="58" t="s">
        <v>166</v>
      </c>
      <c r="N46" s="81">
        <v>0</v>
      </c>
      <c r="O46" s="81">
        <v>0</v>
      </c>
      <c r="P46" s="63"/>
      <c r="Q46" s="63"/>
      <c r="R46" s="63"/>
      <c r="S46" s="63"/>
      <c r="T46" s="63"/>
      <c r="U46" s="63"/>
    </row>
    <row r="47" spans="1:21" ht="15" customHeight="1" x14ac:dyDescent="0.2">
      <c r="A47" s="83" t="s">
        <v>188</v>
      </c>
      <c r="B47" s="86" t="s">
        <v>161</v>
      </c>
      <c r="C47" s="49" t="s">
        <v>162</v>
      </c>
      <c r="D47" s="87" t="s">
        <v>270</v>
      </c>
      <c r="E47" s="88" t="s">
        <v>232</v>
      </c>
      <c r="F47" s="44" t="str">
        <f>IF(AND(ISNA(VLOOKUP(E47,DataType_Platform!A:A,1,FALSE())),ISNA(VLOOKUP(E47,BaseType!A:A,1,FALSE()))),"N","Y")</f>
        <v>Y</v>
      </c>
      <c r="G47" s="89"/>
      <c r="H47" s="56" t="s">
        <v>165</v>
      </c>
      <c r="I47" s="57" t="s">
        <v>166</v>
      </c>
      <c r="J47" s="57"/>
      <c r="K47" s="63"/>
      <c r="L47" s="63"/>
      <c r="M47" s="8" t="s">
        <v>166</v>
      </c>
      <c r="N47" s="63"/>
      <c r="O47" s="63"/>
      <c r="P47" s="63"/>
      <c r="Q47" s="63"/>
      <c r="R47" s="63"/>
      <c r="S47" s="63"/>
      <c r="T47" s="63"/>
      <c r="U47" s="63"/>
    </row>
    <row r="48" spans="1:21" ht="15" customHeight="1" x14ac:dyDescent="0.2">
      <c r="A48" s="124" t="s">
        <v>188</v>
      </c>
      <c r="B48" s="84" t="s">
        <v>161</v>
      </c>
      <c r="C48" s="49" t="s">
        <v>162</v>
      </c>
      <c r="D48" s="68" t="s">
        <v>271</v>
      </c>
      <c r="E48" s="86" t="s">
        <v>272</v>
      </c>
      <c r="F48" s="44" t="str">
        <f>IF(AND(ISNA(VLOOKUP(E48,DataType_Platform!A:A,1,FALSE())),ISNA(VLOOKUP(E48,BaseType!A:A,1,FALSE()))),"N","Y")</f>
        <v>Y</v>
      </c>
      <c r="G48" s="89"/>
      <c r="H48" s="56" t="s">
        <v>165</v>
      </c>
      <c r="I48" s="56" t="s">
        <v>166</v>
      </c>
      <c r="J48" s="100"/>
      <c r="K48" s="63"/>
      <c r="L48" s="63"/>
      <c r="M48" s="125" t="s">
        <v>166</v>
      </c>
      <c r="N48" s="63"/>
      <c r="O48" s="63"/>
      <c r="P48" s="63"/>
      <c r="Q48" s="63"/>
      <c r="R48" s="63"/>
      <c r="S48" s="63"/>
      <c r="T48" s="63"/>
      <c r="U48" s="63"/>
    </row>
    <row r="49" spans="1:21" ht="15" customHeight="1" x14ac:dyDescent="0.2">
      <c r="A49" s="94" t="s">
        <v>188</v>
      </c>
      <c r="B49" s="64" t="s">
        <v>161</v>
      </c>
      <c r="C49" s="49" t="s">
        <v>162</v>
      </c>
      <c r="D49" s="68" t="s">
        <v>273</v>
      </c>
      <c r="E49" s="45" t="s">
        <v>274</v>
      </c>
      <c r="F49" s="44" t="str">
        <f>IF(AND(ISNA(VLOOKUP(E49,DataType_Platform!A:A,1,FALSE())),ISNA(VLOOKUP(E49,BaseType!A:A,1,FALSE()))),"N","Y")</f>
        <v>Y</v>
      </c>
      <c r="G49" s="64" t="s">
        <v>275</v>
      </c>
      <c r="H49" s="46" t="s">
        <v>165</v>
      </c>
      <c r="I49" s="46" t="s">
        <v>166</v>
      </c>
      <c r="J49" s="46"/>
      <c r="K49" s="41"/>
      <c r="L49" s="41"/>
      <c r="M49" s="95"/>
      <c r="N49" s="41"/>
      <c r="O49" s="41"/>
      <c r="P49" s="42"/>
      <c r="Q49" s="42"/>
      <c r="R49" s="42"/>
      <c r="S49" s="42"/>
      <c r="T49" s="42"/>
      <c r="U49" s="42"/>
    </row>
    <row r="50" spans="1:21" ht="15" customHeight="1" x14ac:dyDescent="0.2">
      <c r="A50" s="94" t="s">
        <v>188</v>
      </c>
      <c r="B50" s="64" t="s">
        <v>161</v>
      </c>
      <c r="C50" s="49" t="s">
        <v>162</v>
      </c>
      <c r="D50" s="68" t="s">
        <v>276</v>
      </c>
      <c r="E50" s="45" t="s">
        <v>277</v>
      </c>
      <c r="F50" s="44" t="str">
        <f>IF(AND(ISNA(VLOOKUP(E50,DataType_Platform!A:A,1,FALSE())),ISNA(VLOOKUP(E50,BaseType!A:A,1,FALSE()))),"N","Y")</f>
        <v>Y</v>
      </c>
      <c r="G50" s="64" t="s">
        <v>278</v>
      </c>
      <c r="H50" s="46" t="s">
        <v>165</v>
      </c>
      <c r="I50" s="46" t="s">
        <v>166</v>
      </c>
      <c r="J50" s="46"/>
      <c r="K50" s="41"/>
      <c r="L50" s="41"/>
      <c r="M50" s="95"/>
      <c r="N50" s="41"/>
      <c r="O50" s="41"/>
      <c r="P50" s="42"/>
      <c r="Q50" s="42"/>
      <c r="R50" s="42"/>
      <c r="S50" s="42"/>
      <c r="T50" s="42"/>
      <c r="U50" s="42"/>
    </row>
    <row r="51" spans="1:21" ht="15" customHeight="1" x14ac:dyDescent="0.2">
      <c r="A51" s="55" t="s">
        <v>279</v>
      </c>
      <c r="B51" s="36" t="s">
        <v>189</v>
      </c>
      <c r="C51" s="49" t="s">
        <v>162</v>
      </c>
      <c r="D51" s="53" t="s">
        <v>183</v>
      </c>
      <c r="E51" s="50" t="s">
        <v>184</v>
      </c>
      <c r="F51" s="44" t="str">
        <f>IF(AND(ISNA(VLOOKUP(E51,DataType_Platform!A:A,1,FALSE())),ISNA(VLOOKUP(E51,BaseType!A:A,1,FALSE()))),"N","Y")</f>
        <v>Y</v>
      </c>
      <c r="G51" s="51"/>
      <c r="H51" s="56" t="s">
        <v>165</v>
      </c>
      <c r="I51" s="57" t="s">
        <v>166</v>
      </c>
      <c r="J51" s="56"/>
      <c r="K51" s="52">
        <v>0</v>
      </c>
      <c r="L51" s="52">
        <v>0</v>
      </c>
      <c r="M51" s="58" t="s">
        <v>166</v>
      </c>
      <c r="N51" s="52">
        <v>0</v>
      </c>
      <c r="O51" s="52">
        <v>0</v>
      </c>
      <c r="P51" s="54"/>
      <c r="Q51" s="54"/>
      <c r="R51" s="54"/>
      <c r="S51" s="54"/>
      <c r="T51" s="54"/>
      <c r="U51" s="54"/>
    </row>
    <row r="52" spans="1:21" ht="15" customHeight="1" x14ac:dyDescent="0.2">
      <c r="A52" s="55" t="s">
        <v>279</v>
      </c>
      <c r="B52" s="36" t="s">
        <v>189</v>
      </c>
      <c r="C52" s="49" t="s">
        <v>162</v>
      </c>
      <c r="D52" s="53" t="s">
        <v>253</v>
      </c>
      <c r="E52" s="36" t="s">
        <v>254</v>
      </c>
      <c r="F52" s="44" t="str">
        <f>IF(AND(ISNA(VLOOKUP(E52,DataType_Platform!A:A,1,FALSE())),ISNA(VLOOKUP(E52,BaseType!A:A,1,FALSE()))),"N","Y")</f>
        <v>Y</v>
      </c>
      <c r="G52" s="51"/>
      <c r="H52" s="56" t="s">
        <v>165</v>
      </c>
      <c r="I52" s="57" t="s">
        <v>166</v>
      </c>
      <c r="J52" s="56"/>
      <c r="K52" s="52">
        <v>0</v>
      </c>
      <c r="L52" s="52">
        <v>0</v>
      </c>
      <c r="M52" s="58" t="s">
        <v>166</v>
      </c>
      <c r="N52" s="52">
        <v>0</v>
      </c>
      <c r="O52" s="52">
        <v>0</v>
      </c>
      <c r="P52" s="54"/>
      <c r="Q52" s="54"/>
      <c r="R52" s="54"/>
      <c r="S52" s="54"/>
      <c r="T52" s="54"/>
      <c r="U52" s="54"/>
    </row>
    <row r="53" spans="1:21" ht="15" customHeight="1" x14ac:dyDescent="0.2">
      <c r="A53" s="55" t="s">
        <v>279</v>
      </c>
      <c r="B53" s="36" t="s">
        <v>189</v>
      </c>
      <c r="C53" s="49" t="s">
        <v>162</v>
      </c>
      <c r="D53" s="53" t="s">
        <v>266</v>
      </c>
      <c r="E53" s="36" t="s">
        <v>225</v>
      </c>
      <c r="F53" s="44" t="str">
        <f>IF(AND(ISNA(VLOOKUP(E53,DataType_Platform!A:A,1,FALSE())),ISNA(VLOOKUP(E53,BaseType!A:A,1,FALSE()))),"N","Y")</f>
        <v>Y</v>
      </c>
      <c r="G53" s="51"/>
      <c r="H53" s="57" t="s">
        <v>165</v>
      </c>
      <c r="I53" s="57" t="s">
        <v>166</v>
      </c>
      <c r="J53" s="56"/>
      <c r="K53" s="52">
        <v>0</v>
      </c>
      <c r="L53" s="52">
        <v>0</v>
      </c>
      <c r="M53" s="58" t="s">
        <v>166</v>
      </c>
      <c r="N53" s="52">
        <v>0</v>
      </c>
      <c r="O53" s="52">
        <v>0</v>
      </c>
      <c r="P53" s="54"/>
      <c r="Q53" s="54"/>
      <c r="R53" s="54"/>
      <c r="S53" s="54"/>
      <c r="T53" s="54"/>
      <c r="U53" s="54"/>
    </row>
    <row r="54" spans="1:21" ht="15" customHeight="1" x14ac:dyDescent="0.2">
      <c r="A54" s="55" t="s">
        <v>279</v>
      </c>
      <c r="B54" s="36" t="s">
        <v>161</v>
      </c>
      <c r="C54" s="49" t="s">
        <v>162</v>
      </c>
      <c r="D54" s="53" t="s">
        <v>280</v>
      </c>
      <c r="E54" s="36" t="s">
        <v>246</v>
      </c>
      <c r="F54" s="44" t="str">
        <f>IF(AND(ISNA(VLOOKUP(E54,DataType_Platform!A:A,1,FALSE())),ISNA(VLOOKUP(E54,BaseType!A:A,1,FALSE()))),"N","Y")</f>
        <v>Y</v>
      </c>
      <c r="G54" s="51"/>
      <c r="H54" s="57" t="s">
        <v>165</v>
      </c>
      <c r="I54" s="57" t="s">
        <v>166</v>
      </c>
      <c r="J54" s="56"/>
      <c r="K54" s="52"/>
      <c r="L54" s="52"/>
      <c r="M54" s="58" t="s">
        <v>166</v>
      </c>
      <c r="N54" s="52"/>
      <c r="O54" s="52"/>
      <c r="P54" s="54"/>
      <c r="Q54" s="54"/>
      <c r="R54" s="54"/>
      <c r="S54" s="54"/>
      <c r="T54" s="54"/>
      <c r="U54" s="54"/>
    </row>
    <row r="55" spans="1:21" ht="15" customHeight="1" x14ac:dyDescent="0.2">
      <c r="A55" s="55" t="s">
        <v>279</v>
      </c>
      <c r="B55" s="36" t="s">
        <v>161</v>
      </c>
      <c r="C55" s="49" t="s">
        <v>162</v>
      </c>
      <c r="D55" s="53" t="s">
        <v>281</v>
      </c>
      <c r="E55" s="36" t="s">
        <v>225</v>
      </c>
      <c r="F55" s="44" t="str">
        <f>IF(AND(ISNA(VLOOKUP(E55,DataType_Platform!A:A,1,FALSE())),ISNA(VLOOKUP(E55,BaseType!A:A,1,FALSE()))),"N","Y")</f>
        <v>Y</v>
      </c>
      <c r="G55" s="51"/>
      <c r="H55" s="57" t="s">
        <v>165</v>
      </c>
      <c r="I55" s="57" t="s">
        <v>166</v>
      </c>
      <c r="J55" s="56"/>
      <c r="K55" s="52">
        <v>0</v>
      </c>
      <c r="L55" s="52">
        <v>0</v>
      </c>
      <c r="M55" s="58" t="s">
        <v>166</v>
      </c>
      <c r="N55" s="52">
        <v>0</v>
      </c>
      <c r="O55" s="52">
        <v>0</v>
      </c>
      <c r="P55" s="54"/>
      <c r="Q55" s="54"/>
      <c r="R55" s="54"/>
      <c r="S55" s="54"/>
      <c r="T55" s="54"/>
      <c r="U55" s="54"/>
    </row>
    <row r="56" spans="1:21" ht="15" customHeight="1" x14ac:dyDescent="0.2">
      <c r="A56" s="55" t="s">
        <v>279</v>
      </c>
      <c r="B56" s="36" t="s">
        <v>161</v>
      </c>
      <c r="C56" s="49" t="s">
        <v>162</v>
      </c>
      <c r="D56" s="53" t="s">
        <v>282</v>
      </c>
      <c r="E56" s="36" t="s">
        <v>225</v>
      </c>
      <c r="F56" s="44" t="str">
        <f>IF(AND(ISNA(VLOOKUP(E56,DataType_Platform!A:A,1,FALSE())),ISNA(VLOOKUP(E56,BaseType!A:A,1,FALSE()))),"N","Y")</f>
        <v>Y</v>
      </c>
      <c r="G56" s="51"/>
      <c r="H56" s="57" t="s">
        <v>165</v>
      </c>
      <c r="I56" s="57" t="s">
        <v>166</v>
      </c>
      <c r="J56" s="56"/>
      <c r="K56" s="52">
        <v>0</v>
      </c>
      <c r="L56" s="52">
        <v>0</v>
      </c>
      <c r="M56" s="58" t="s">
        <v>166</v>
      </c>
      <c r="N56" s="52">
        <v>0</v>
      </c>
      <c r="O56" s="52">
        <v>0</v>
      </c>
      <c r="P56" s="54"/>
      <c r="Q56" s="54"/>
      <c r="R56" s="54"/>
      <c r="S56" s="54"/>
      <c r="T56" s="54"/>
      <c r="U56" s="54"/>
    </row>
    <row r="57" spans="1:21" ht="15" customHeight="1" x14ac:dyDescent="0.2">
      <c r="A57" s="55" t="s">
        <v>279</v>
      </c>
      <c r="B57" s="36" t="s">
        <v>161</v>
      </c>
      <c r="C57" s="49" t="s">
        <v>162</v>
      </c>
      <c r="D57" s="53" t="s">
        <v>283</v>
      </c>
      <c r="E57" s="36" t="s">
        <v>225</v>
      </c>
      <c r="F57" s="44" t="str">
        <f>IF(AND(ISNA(VLOOKUP(E57,DataType_Platform!A:A,1,FALSE())),ISNA(VLOOKUP(E57,BaseType!A:A,1,FALSE()))),"N","Y")</f>
        <v>Y</v>
      </c>
      <c r="G57" s="51"/>
      <c r="H57" s="57" t="s">
        <v>165</v>
      </c>
      <c r="I57" s="57" t="s">
        <v>166</v>
      </c>
      <c r="J57" s="56"/>
      <c r="K57" s="52">
        <v>0</v>
      </c>
      <c r="L57" s="52">
        <v>0</v>
      </c>
      <c r="M57" s="58" t="s">
        <v>166</v>
      </c>
      <c r="N57" s="52">
        <v>0</v>
      </c>
      <c r="O57" s="52">
        <v>0</v>
      </c>
      <c r="P57" s="54"/>
      <c r="Q57" s="54"/>
      <c r="R57" s="54"/>
      <c r="S57" s="54"/>
      <c r="T57" s="54"/>
      <c r="U57" s="54"/>
    </row>
    <row r="58" spans="1:21" ht="15" customHeight="1" x14ac:dyDescent="0.2">
      <c r="A58" s="55" t="s">
        <v>279</v>
      </c>
      <c r="B58" s="36" t="s">
        <v>161</v>
      </c>
      <c r="C58" s="49" t="s">
        <v>162</v>
      </c>
      <c r="D58" s="53" t="s">
        <v>284</v>
      </c>
      <c r="E58" s="36" t="s">
        <v>225</v>
      </c>
      <c r="F58" s="44" t="str">
        <f>IF(AND(ISNA(VLOOKUP(E58,DataType_Platform!A:A,1,FALSE())),ISNA(VLOOKUP(E58,BaseType!A:A,1,FALSE()))),"N","Y")</f>
        <v>Y</v>
      </c>
      <c r="G58" s="51"/>
      <c r="H58" s="57" t="s">
        <v>165</v>
      </c>
      <c r="I58" s="57" t="s">
        <v>166</v>
      </c>
      <c r="J58" s="56"/>
      <c r="K58" s="52">
        <v>0</v>
      </c>
      <c r="L58" s="52">
        <v>0</v>
      </c>
      <c r="M58" s="58" t="s">
        <v>166</v>
      </c>
      <c r="N58" s="52">
        <v>0</v>
      </c>
      <c r="O58" s="52">
        <v>0</v>
      </c>
      <c r="P58" s="54"/>
      <c r="Q58" s="54"/>
      <c r="R58" s="54"/>
      <c r="S58" s="54"/>
      <c r="T58" s="54"/>
      <c r="U58" s="54"/>
    </row>
    <row r="59" spans="1:21" ht="15" customHeight="1" x14ac:dyDescent="0.2">
      <c r="A59" s="55" t="s">
        <v>279</v>
      </c>
      <c r="B59" s="36" t="s">
        <v>161</v>
      </c>
      <c r="C59" s="49" t="s">
        <v>162</v>
      </c>
      <c r="D59" s="53" t="s">
        <v>285</v>
      </c>
      <c r="E59" s="36" t="s">
        <v>225</v>
      </c>
      <c r="F59" s="44" t="str">
        <f>IF(AND(ISNA(VLOOKUP(E59,DataType_Platform!A:A,1,FALSE())),ISNA(VLOOKUP(E59,BaseType!A:A,1,FALSE()))),"N","Y")</f>
        <v>Y</v>
      </c>
      <c r="G59" s="51"/>
      <c r="H59" s="57" t="s">
        <v>165</v>
      </c>
      <c r="I59" s="57" t="s">
        <v>166</v>
      </c>
      <c r="J59" s="56"/>
      <c r="K59" s="52">
        <v>0</v>
      </c>
      <c r="L59" s="52">
        <v>0</v>
      </c>
      <c r="M59" s="58" t="s">
        <v>166</v>
      </c>
      <c r="N59" s="52">
        <v>0</v>
      </c>
      <c r="O59" s="52">
        <v>0</v>
      </c>
      <c r="P59" s="54"/>
      <c r="Q59" s="54"/>
      <c r="R59" s="54"/>
      <c r="S59" s="54"/>
      <c r="T59" s="54"/>
      <c r="U59" s="54"/>
    </row>
    <row r="60" spans="1:21" ht="15" customHeight="1" x14ac:dyDescent="0.2">
      <c r="A60" s="55" t="s">
        <v>279</v>
      </c>
      <c r="B60" s="36" t="s">
        <v>161</v>
      </c>
      <c r="C60" s="49" t="s">
        <v>162</v>
      </c>
      <c r="D60" s="53" t="s">
        <v>286</v>
      </c>
      <c r="E60" s="36" t="s">
        <v>225</v>
      </c>
      <c r="F60" s="44" t="str">
        <f>IF(AND(ISNA(VLOOKUP(E60,DataType_Platform!A:A,1,FALSE())),ISNA(VLOOKUP(E60,BaseType!A:A,1,FALSE()))),"N","Y")</f>
        <v>Y</v>
      </c>
      <c r="G60" s="51"/>
      <c r="H60" s="57" t="s">
        <v>165</v>
      </c>
      <c r="I60" s="57" t="s">
        <v>166</v>
      </c>
      <c r="J60" s="56"/>
      <c r="K60" s="52">
        <v>0</v>
      </c>
      <c r="L60" s="52">
        <v>0</v>
      </c>
      <c r="M60" s="58" t="s">
        <v>166</v>
      </c>
      <c r="N60" s="52">
        <v>0</v>
      </c>
      <c r="O60" s="52">
        <v>0</v>
      </c>
      <c r="P60" s="54"/>
      <c r="Q60" s="54"/>
      <c r="R60" s="54"/>
      <c r="S60" s="54"/>
      <c r="T60" s="54"/>
      <c r="U60" s="54"/>
    </row>
    <row r="61" spans="1:21" ht="15" customHeight="1" x14ac:dyDescent="0.2">
      <c r="A61" s="55" t="s">
        <v>279</v>
      </c>
      <c r="B61" s="36" t="s">
        <v>161</v>
      </c>
      <c r="C61" s="49" t="s">
        <v>162</v>
      </c>
      <c r="D61" s="53" t="s">
        <v>287</v>
      </c>
      <c r="E61" s="36" t="s">
        <v>225</v>
      </c>
      <c r="F61" s="44" t="str">
        <f>IF(AND(ISNA(VLOOKUP(E61,DataType_Platform!A:A,1,FALSE())),ISNA(VLOOKUP(E61,BaseType!A:A,1,FALSE()))),"N","Y")</f>
        <v>Y</v>
      </c>
      <c r="G61" s="51"/>
      <c r="H61" s="57" t="s">
        <v>165</v>
      </c>
      <c r="I61" s="57" t="s">
        <v>166</v>
      </c>
      <c r="J61" s="56"/>
      <c r="K61" s="52">
        <v>0</v>
      </c>
      <c r="L61" s="52">
        <v>0</v>
      </c>
      <c r="M61" s="58" t="s">
        <v>166</v>
      </c>
      <c r="N61" s="52">
        <v>0</v>
      </c>
      <c r="O61" s="52">
        <v>0</v>
      </c>
      <c r="P61" s="54"/>
      <c r="Q61" s="54"/>
      <c r="R61" s="54"/>
      <c r="S61" s="54"/>
      <c r="T61" s="54"/>
      <c r="U61" s="54"/>
    </row>
    <row r="62" spans="1:21" ht="15" customHeight="1" x14ac:dyDescent="0.2">
      <c r="A62" s="55" t="s">
        <v>279</v>
      </c>
      <c r="B62" s="36" t="s">
        <v>161</v>
      </c>
      <c r="C62" s="49" t="s">
        <v>162</v>
      </c>
      <c r="D62" s="53" t="s">
        <v>288</v>
      </c>
      <c r="E62" s="36" t="s">
        <v>225</v>
      </c>
      <c r="F62" s="44" t="str">
        <f>IF(AND(ISNA(VLOOKUP(E62,DataType_Platform!A:A,1,FALSE())),ISNA(VLOOKUP(E62,BaseType!A:A,1,FALSE()))),"N","Y")</f>
        <v>Y</v>
      </c>
      <c r="G62" s="51"/>
      <c r="H62" s="57" t="s">
        <v>165</v>
      </c>
      <c r="I62" s="57" t="s">
        <v>166</v>
      </c>
      <c r="J62" s="56"/>
      <c r="K62" s="52">
        <v>0</v>
      </c>
      <c r="L62" s="52">
        <v>0</v>
      </c>
      <c r="M62" s="58" t="s">
        <v>166</v>
      </c>
      <c r="N62" s="52">
        <v>0</v>
      </c>
      <c r="O62" s="52">
        <v>0</v>
      </c>
      <c r="P62" s="54"/>
      <c r="Q62" s="54"/>
      <c r="R62" s="54"/>
      <c r="S62" s="54"/>
      <c r="T62" s="54"/>
      <c r="U62" s="54"/>
    </row>
    <row r="63" spans="1:21" ht="15" customHeight="1" x14ac:dyDescent="0.2">
      <c r="A63" s="55" t="s">
        <v>279</v>
      </c>
      <c r="B63" s="36" t="s">
        <v>161</v>
      </c>
      <c r="C63" s="49" t="s">
        <v>162</v>
      </c>
      <c r="D63" s="53" t="s">
        <v>289</v>
      </c>
      <c r="E63" s="36" t="s">
        <v>225</v>
      </c>
      <c r="F63" s="44" t="str">
        <f>IF(AND(ISNA(VLOOKUP(E63,DataType_Platform!A:A,1,FALSE())),ISNA(VLOOKUP(E63,BaseType!A:A,1,FALSE()))),"N","Y")</f>
        <v>Y</v>
      </c>
      <c r="G63" s="51"/>
      <c r="H63" s="57" t="s">
        <v>165</v>
      </c>
      <c r="I63" s="57" t="s">
        <v>166</v>
      </c>
      <c r="J63" s="56"/>
      <c r="K63" s="52">
        <v>0</v>
      </c>
      <c r="L63" s="52">
        <v>0</v>
      </c>
      <c r="M63" s="58" t="s">
        <v>166</v>
      </c>
      <c r="N63" s="52">
        <v>0</v>
      </c>
      <c r="O63" s="52">
        <v>0</v>
      </c>
      <c r="P63" s="54"/>
      <c r="Q63" s="54"/>
      <c r="R63" s="54"/>
      <c r="S63" s="54"/>
      <c r="T63" s="54"/>
      <c r="U63" s="54"/>
    </row>
    <row r="64" spans="1:21" ht="15" customHeight="1" x14ac:dyDescent="0.2">
      <c r="A64" s="55" t="s">
        <v>279</v>
      </c>
      <c r="B64" s="36" t="s">
        <v>161</v>
      </c>
      <c r="C64" s="49" t="s">
        <v>162</v>
      </c>
      <c r="D64" s="53" t="s">
        <v>290</v>
      </c>
      <c r="E64" s="36" t="s">
        <v>225</v>
      </c>
      <c r="F64" s="44" t="str">
        <f>IF(AND(ISNA(VLOOKUP(E64,DataType_Platform!A:A,1,FALSE())),ISNA(VLOOKUP(E64,BaseType!A:A,1,FALSE()))),"N","Y")</f>
        <v>Y</v>
      </c>
      <c r="G64" s="51"/>
      <c r="H64" s="57" t="s">
        <v>165</v>
      </c>
      <c r="I64" s="57" t="s">
        <v>166</v>
      </c>
      <c r="J64" s="56"/>
      <c r="K64" s="52">
        <v>0</v>
      </c>
      <c r="L64" s="52">
        <v>0</v>
      </c>
      <c r="M64" s="58" t="s">
        <v>166</v>
      </c>
      <c r="N64" s="52">
        <v>0</v>
      </c>
      <c r="O64" s="52">
        <v>0</v>
      </c>
      <c r="P64" s="54"/>
      <c r="Q64" s="54"/>
      <c r="R64" s="54"/>
      <c r="S64" s="54"/>
      <c r="T64" s="54"/>
      <c r="U64" s="54"/>
    </row>
    <row r="65" spans="1:21" ht="15" customHeight="1" x14ac:dyDescent="0.2">
      <c r="A65" s="55" t="s">
        <v>279</v>
      </c>
      <c r="B65" s="36" t="s">
        <v>161</v>
      </c>
      <c r="C65" s="49" t="s">
        <v>162</v>
      </c>
      <c r="D65" s="53" t="s">
        <v>291</v>
      </c>
      <c r="E65" s="36" t="s">
        <v>225</v>
      </c>
      <c r="F65" s="44" t="str">
        <f>IF(AND(ISNA(VLOOKUP(E65,DataType_Platform!A:A,1,FALSE())),ISNA(VLOOKUP(E65,BaseType!A:A,1,FALSE()))),"N","Y")</f>
        <v>Y</v>
      </c>
      <c r="G65" s="51"/>
      <c r="H65" s="57" t="s">
        <v>165</v>
      </c>
      <c r="I65" s="57" t="s">
        <v>166</v>
      </c>
      <c r="J65" s="56"/>
      <c r="K65" s="52">
        <v>0</v>
      </c>
      <c r="L65" s="52">
        <v>0</v>
      </c>
      <c r="M65" s="58" t="s">
        <v>166</v>
      </c>
      <c r="N65" s="52">
        <v>0</v>
      </c>
      <c r="O65" s="52">
        <v>0</v>
      </c>
      <c r="P65" s="54"/>
      <c r="Q65" s="54"/>
      <c r="R65" s="54"/>
      <c r="S65" s="54"/>
      <c r="T65" s="54"/>
      <c r="U65" s="54"/>
    </row>
    <row r="66" spans="1:21" ht="15" customHeight="1" x14ac:dyDescent="0.2">
      <c r="A66" s="55" t="s">
        <v>279</v>
      </c>
      <c r="B66" s="36" t="s">
        <v>161</v>
      </c>
      <c r="C66" s="49" t="s">
        <v>162</v>
      </c>
      <c r="D66" s="53" t="s">
        <v>224</v>
      </c>
      <c r="E66" s="36" t="s">
        <v>225</v>
      </c>
      <c r="F66" s="44" t="str">
        <f>IF(AND(ISNA(VLOOKUP(E66,DataType_Platform!A:A,1,FALSE())),ISNA(VLOOKUP(E66,BaseType!A:A,1,FALSE()))),"N","Y")</f>
        <v>Y</v>
      </c>
      <c r="G66" s="51"/>
      <c r="H66" s="57" t="s">
        <v>165</v>
      </c>
      <c r="I66" s="57" t="s">
        <v>166</v>
      </c>
      <c r="J66" s="56"/>
      <c r="K66" s="52">
        <v>0</v>
      </c>
      <c r="L66" s="52">
        <v>0</v>
      </c>
      <c r="M66" s="58" t="s">
        <v>166</v>
      </c>
      <c r="N66" s="52">
        <v>0</v>
      </c>
      <c r="O66" s="52">
        <v>0</v>
      </c>
      <c r="P66" s="54"/>
      <c r="Q66" s="54"/>
      <c r="R66" s="54"/>
      <c r="S66" s="54"/>
      <c r="T66" s="54"/>
      <c r="U66" s="54"/>
    </row>
    <row r="67" spans="1:21" ht="15" customHeight="1" x14ac:dyDescent="0.2">
      <c r="A67" s="55" t="s">
        <v>279</v>
      </c>
      <c r="B67" s="36" t="s">
        <v>161</v>
      </c>
      <c r="C67" s="49" t="s">
        <v>162</v>
      </c>
      <c r="D67" s="53" t="s">
        <v>292</v>
      </c>
      <c r="E67" s="36" t="s">
        <v>293</v>
      </c>
      <c r="F67" s="44" t="str">
        <f>IF(AND(ISNA(VLOOKUP(E67,DataType_Platform!A:A,1,FALSE())),ISNA(VLOOKUP(E67,BaseType!A:A,1,FALSE()))),"N","Y")</f>
        <v>Y</v>
      </c>
      <c r="G67" s="51"/>
      <c r="H67" s="57" t="s">
        <v>165</v>
      </c>
      <c r="I67" s="57" t="s">
        <v>166</v>
      </c>
      <c r="J67" s="56"/>
      <c r="K67" s="52">
        <v>0</v>
      </c>
      <c r="L67" s="52">
        <v>0</v>
      </c>
      <c r="M67" s="58" t="s">
        <v>166</v>
      </c>
      <c r="N67" s="52">
        <v>0</v>
      </c>
      <c r="O67" s="52">
        <v>0</v>
      </c>
      <c r="P67" s="54"/>
      <c r="Q67" s="54"/>
      <c r="R67" s="54"/>
      <c r="S67" s="54"/>
      <c r="T67" s="54"/>
      <c r="U67" s="54"/>
    </row>
    <row r="68" spans="1:21" ht="15" customHeight="1" x14ac:dyDescent="0.2">
      <c r="A68" s="55" t="s">
        <v>279</v>
      </c>
      <c r="B68" s="36" t="s">
        <v>161</v>
      </c>
      <c r="C68" s="49" t="s">
        <v>162</v>
      </c>
      <c r="D68" s="53" t="s">
        <v>294</v>
      </c>
      <c r="E68" s="36" t="s">
        <v>225</v>
      </c>
      <c r="F68" s="44" t="str">
        <f>IF(AND(ISNA(VLOOKUP(E68,DataType_Platform!A:A,1,FALSE())),ISNA(VLOOKUP(E68,BaseType!A:A,1,FALSE()))),"N","Y")</f>
        <v>Y</v>
      </c>
      <c r="G68" s="51"/>
      <c r="H68" s="57" t="s">
        <v>165</v>
      </c>
      <c r="I68" s="57" t="s">
        <v>166</v>
      </c>
      <c r="J68" s="56"/>
      <c r="K68" s="52">
        <v>0</v>
      </c>
      <c r="L68" s="52">
        <v>0</v>
      </c>
      <c r="M68" s="58" t="s">
        <v>166</v>
      </c>
      <c r="N68" s="52">
        <v>0</v>
      </c>
      <c r="O68" s="52">
        <v>0</v>
      </c>
      <c r="P68" s="54"/>
      <c r="Q68" s="54"/>
      <c r="R68" s="54"/>
      <c r="S68" s="54"/>
      <c r="T68" s="54"/>
      <c r="U68" s="54"/>
    </row>
    <row r="69" spans="1:21" ht="15" customHeight="1" x14ac:dyDescent="0.2">
      <c r="A69" s="55" t="s">
        <v>279</v>
      </c>
      <c r="B69" s="36" t="s">
        <v>161</v>
      </c>
      <c r="C69" s="49" t="s">
        <v>162</v>
      </c>
      <c r="D69" s="53" t="s">
        <v>295</v>
      </c>
      <c r="E69" s="36" t="s">
        <v>225</v>
      </c>
      <c r="F69" s="44" t="str">
        <f>IF(AND(ISNA(VLOOKUP(E69,DataType_Platform!A:A,1,FALSE())),ISNA(VLOOKUP(E69,BaseType!A:A,1,FALSE()))),"N","Y")</f>
        <v>Y</v>
      </c>
      <c r="G69" s="51"/>
      <c r="H69" s="57" t="s">
        <v>165</v>
      </c>
      <c r="I69" s="57" t="s">
        <v>166</v>
      </c>
      <c r="J69" s="56"/>
      <c r="K69" s="52">
        <v>0</v>
      </c>
      <c r="L69" s="52">
        <v>0</v>
      </c>
      <c r="M69" s="58" t="s">
        <v>166</v>
      </c>
      <c r="N69" s="52">
        <v>0</v>
      </c>
      <c r="O69" s="52">
        <v>0</v>
      </c>
      <c r="P69" s="54"/>
      <c r="Q69" s="54"/>
      <c r="R69" s="54"/>
      <c r="S69" s="54"/>
      <c r="T69" s="54"/>
      <c r="U69" s="54"/>
    </row>
    <row r="70" spans="1:21" ht="15" customHeight="1" x14ac:dyDescent="0.2">
      <c r="A70" s="71" t="s">
        <v>296</v>
      </c>
      <c r="B70" s="49" t="s">
        <v>189</v>
      </c>
      <c r="C70" s="49" t="s">
        <v>162</v>
      </c>
      <c r="D70" s="53" t="s">
        <v>183</v>
      </c>
      <c r="E70" s="50" t="s">
        <v>184</v>
      </c>
      <c r="F70" s="44" t="str">
        <f>IF(AND(ISNA(VLOOKUP(E70,DataType_Platform!A:A,1,FALSE())),ISNA(VLOOKUP(E70,BaseType!A:A,1,FALSE()))),"N","Y")</f>
        <v>Y</v>
      </c>
      <c r="G70" s="75"/>
      <c r="H70" s="57" t="s">
        <v>165</v>
      </c>
      <c r="I70" s="56" t="s">
        <v>166</v>
      </c>
      <c r="J70" s="57"/>
      <c r="K70" s="58"/>
      <c r="L70" s="58"/>
      <c r="M70" s="58"/>
      <c r="N70" s="58"/>
      <c r="O70" s="58"/>
      <c r="P70" s="54"/>
      <c r="Q70" s="54"/>
      <c r="R70" s="54"/>
      <c r="S70" s="54"/>
      <c r="T70" s="54"/>
      <c r="U70" s="54"/>
    </row>
    <row r="71" spans="1:21" ht="15" customHeight="1" x14ac:dyDescent="0.2">
      <c r="A71" s="71" t="s">
        <v>296</v>
      </c>
      <c r="B71" s="36" t="s">
        <v>189</v>
      </c>
      <c r="C71" s="49" t="s">
        <v>162</v>
      </c>
      <c r="D71" s="53" t="s">
        <v>282</v>
      </c>
      <c r="E71" s="36" t="s">
        <v>225</v>
      </c>
      <c r="F71" s="44" t="str">
        <f>IF(AND(ISNA(VLOOKUP(E71,DataType_Platform!A:A,1,FALSE())),ISNA(VLOOKUP(E71,BaseType!A:A,1,FALSE()))),"N","Y")</f>
        <v>Y</v>
      </c>
      <c r="G71" s="51"/>
      <c r="H71" s="57" t="s">
        <v>165</v>
      </c>
      <c r="I71" s="57" t="s">
        <v>166</v>
      </c>
      <c r="J71" s="56"/>
      <c r="K71" s="52">
        <v>0</v>
      </c>
      <c r="L71" s="52">
        <v>0</v>
      </c>
      <c r="M71" s="58" t="s">
        <v>166</v>
      </c>
      <c r="N71" s="52">
        <v>0</v>
      </c>
      <c r="O71" s="52">
        <v>0</v>
      </c>
      <c r="P71" s="54"/>
      <c r="Q71" s="54"/>
      <c r="R71" s="54"/>
      <c r="S71" s="54"/>
      <c r="T71" s="54"/>
      <c r="U71" s="54"/>
    </row>
    <row r="72" spans="1:21" ht="15" customHeight="1" x14ac:dyDescent="0.2">
      <c r="A72" s="71" t="s">
        <v>296</v>
      </c>
      <c r="B72" s="36" t="s">
        <v>189</v>
      </c>
      <c r="C72" s="49" t="s">
        <v>162</v>
      </c>
      <c r="D72" s="53" t="s">
        <v>289</v>
      </c>
      <c r="E72" s="36" t="s">
        <v>225</v>
      </c>
      <c r="F72" s="44" t="str">
        <f>IF(AND(ISNA(VLOOKUP(E72,DataType_Platform!A:A,1,FALSE())),ISNA(VLOOKUP(E72,BaseType!A:A,1,FALSE()))),"N","Y")</f>
        <v>Y</v>
      </c>
      <c r="G72" s="51"/>
      <c r="H72" s="57" t="s">
        <v>165</v>
      </c>
      <c r="I72" s="57" t="s">
        <v>166</v>
      </c>
      <c r="J72" s="56"/>
      <c r="K72" s="52">
        <v>0</v>
      </c>
      <c r="L72" s="52">
        <v>0</v>
      </c>
      <c r="M72" s="58" t="s">
        <v>166</v>
      </c>
      <c r="N72" s="52">
        <v>0</v>
      </c>
      <c r="O72" s="52">
        <v>0</v>
      </c>
      <c r="P72" s="54"/>
      <c r="Q72" s="54"/>
      <c r="R72" s="54"/>
      <c r="S72" s="54"/>
      <c r="T72" s="54"/>
      <c r="U72" s="54"/>
    </row>
    <row r="73" spans="1:21" ht="15" customHeight="1" x14ac:dyDescent="0.2">
      <c r="A73" s="71" t="s">
        <v>296</v>
      </c>
      <c r="B73" s="36" t="s">
        <v>189</v>
      </c>
      <c r="C73" s="49" t="s">
        <v>162</v>
      </c>
      <c r="D73" s="53" t="s">
        <v>288</v>
      </c>
      <c r="E73" s="36" t="s">
        <v>225</v>
      </c>
      <c r="F73" s="44" t="str">
        <f>IF(AND(ISNA(VLOOKUP(E73,DataType_Platform!A:A,1,FALSE())),ISNA(VLOOKUP(E73,BaseType!A:A,1,FALSE()))),"N","Y")</f>
        <v>Y</v>
      </c>
      <c r="G73" s="51"/>
      <c r="H73" s="57" t="s">
        <v>165</v>
      </c>
      <c r="I73" s="57" t="s">
        <v>166</v>
      </c>
      <c r="J73" s="56"/>
      <c r="K73" s="52">
        <v>0</v>
      </c>
      <c r="L73" s="52">
        <v>0</v>
      </c>
      <c r="M73" s="58" t="s">
        <v>166</v>
      </c>
      <c r="N73" s="52">
        <v>0</v>
      </c>
      <c r="O73" s="52">
        <v>0</v>
      </c>
      <c r="P73" s="54"/>
      <c r="Q73" s="54"/>
      <c r="R73" s="54"/>
      <c r="S73" s="54"/>
      <c r="T73" s="54"/>
      <c r="U73" s="54"/>
    </row>
    <row r="74" spans="1:21" ht="15" customHeight="1" x14ac:dyDescent="0.2">
      <c r="A74" s="71" t="s">
        <v>296</v>
      </c>
      <c r="B74" s="36" t="s">
        <v>189</v>
      </c>
      <c r="C74" s="49" t="s">
        <v>162</v>
      </c>
      <c r="D74" s="53" t="s">
        <v>286</v>
      </c>
      <c r="E74" s="36" t="s">
        <v>225</v>
      </c>
      <c r="F74" s="44" t="str">
        <f>IF(AND(ISNA(VLOOKUP(E74,DataType_Platform!A:A,1,FALSE())),ISNA(VLOOKUP(E74,BaseType!A:A,1,FALSE()))),"N","Y")</f>
        <v>Y</v>
      </c>
      <c r="G74" s="51"/>
      <c r="H74" s="57" t="s">
        <v>165</v>
      </c>
      <c r="I74" s="57" t="s">
        <v>166</v>
      </c>
      <c r="J74" s="56"/>
      <c r="K74" s="52">
        <v>0</v>
      </c>
      <c r="L74" s="52">
        <v>0</v>
      </c>
      <c r="M74" s="58" t="s">
        <v>166</v>
      </c>
      <c r="N74" s="52">
        <v>0</v>
      </c>
      <c r="O74" s="52">
        <v>0</v>
      </c>
      <c r="P74" s="54"/>
      <c r="Q74" s="54"/>
      <c r="R74" s="54"/>
      <c r="S74" s="54"/>
      <c r="T74" s="54"/>
      <c r="U74" s="54"/>
    </row>
    <row r="75" spans="1:21" ht="15" customHeight="1" x14ac:dyDescent="0.2">
      <c r="A75" s="71" t="s">
        <v>296</v>
      </c>
      <c r="B75" s="36" t="s">
        <v>189</v>
      </c>
      <c r="C75" s="49" t="s">
        <v>162</v>
      </c>
      <c r="D75" s="53" t="s">
        <v>297</v>
      </c>
      <c r="E75" s="36" t="s">
        <v>298</v>
      </c>
      <c r="F75" s="44" t="str">
        <f>IF(AND(ISNA(VLOOKUP(E75,DataType_Platform!A:A,1,FALSE())),ISNA(VLOOKUP(E75,BaseType!A:A,1,FALSE()))),"N","Y")</f>
        <v>Y</v>
      </c>
      <c r="G75" s="51"/>
      <c r="H75" s="57" t="s">
        <v>165</v>
      </c>
      <c r="I75" s="57" t="s">
        <v>166</v>
      </c>
      <c r="J75" s="56"/>
      <c r="K75" s="52">
        <v>0</v>
      </c>
      <c r="L75" s="52">
        <v>0</v>
      </c>
      <c r="M75" s="58" t="s">
        <v>166</v>
      </c>
      <c r="N75" s="52">
        <v>0</v>
      </c>
      <c r="O75" s="52">
        <v>0</v>
      </c>
      <c r="P75" s="54"/>
      <c r="Q75" s="54"/>
      <c r="R75" s="54"/>
      <c r="S75" s="54"/>
      <c r="T75" s="54"/>
      <c r="U75" s="54"/>
    </row>
    <row r="76" spans="1:21" ht="15" customHeight="1" x14ac:dyDescent="0.2">
      <c r="A76" s="71" t="s">
        <v>296</v>
      </c>
      <c r="B76" s="36" t="s">
        <v>189</v>
      </c>
      <c r="C76" s="49" t="s">
        <v>162</v>
      </c>
      <c r="D76" s="53" t="s">
        <v>206</v>
      </c>
      <c r="E76" s="36" t="s">
        <v>207</v>
      </c>
      <c r="F76" s="44" t="str">
        <f>IF(AND(ISNA(VLOOKUP(E76,DataType_Platform!A:A,1,FALSE())),ISNA(VLOOKUP(E76,BaseType!A:A,1,FALSE()))),"N","Y")</f>
        <v>Y</v>
      </c>
      <c r="G76" s="51"/>
      <c r="H76" s="57" t="s">
        <v>165</v>
      </c>
      <c r="I76" s="57" t="s">
        <v>166</v>
      </c>
      <c r="J76" s="56"/>
      <c r="K76" s="52">
        <v>0</v>
      </c>
      <c r="L76" s="52">
        <v>0</v>
      </c>
      <c r="M76" s="58" t="s">
        <v>166</v>
      </c>
      <c r="N76" s="52">
        <v>0</v>
      </c>
      <c r="O76" s="52">
        <v>0</v>
      </c>
      <c r="P76" s="54"/>
      <c r="Q76" s="54"/>
      <c r="R76" s="54"/>
      <c r="S76" s="54"/>
      <c r="T76" s="54"/>
      <c r="U76" s="54"/>
    </row>
    <row r="77" spans="1:21" ht="15" customHeight="1" x14ac:dyDescent="0.2">
      <c r="A77" s="71" t="s">
        <v>296</v>
      </c>
      <c r="B77" s="39" t="s">
        <v>189</v>
      </c>
      <c r="C77" s="49" t="s">
        <v>162</v>
      </c>
      <c r="D77" s="68" t="s">
        <v>175</v>
      </c>
      <c r="E77" s="50" t="s">
        <v>176</v>
      </c>
      <c r="F77" s="44" t="str">
        <f>IF(AND(ISNA(VLOOKUP(E77,DataType_Platform!A:A,1,FALSE())),ISNA(VLOOKUP(E77,BaseType!A:A,1,FALSE()))),"N","Y")</f>
        <v>Y</v>
      </c>
      <c r="G77" s="80"/>
      <c r="H77" s="56" t="s">
        <v>165</v>
      </c>
      <c r="I77" s="56" t="s">
        <v>166</v>
      </c>
      <c r="J77" s="56"/>
      <c r="K77" s="63"/>
      <c r="L77" s="63"/>
      <c r="M77" s="65" t="s">
        <v>166</v>
      </c>
      <c r="N77" s="63"/>
      <c r="O77" s="63"/>
      <c r="P77" s="63"/>
      <c r="Q77" s="63"/>
      <c r="R77" s="63"/>
      <c r="S77" s="63"/>
      <c r="T77" s="63"/>
      <c r="U77" s="63"/>
    </row>
    <row r="78" spans="1:21" ht="15" customHeight="1" x14ac:dyDescent="0.2">
      <c r="A78" s="71" t="s">
        <v>296</v>
      </c>
      <c r="B78" s="36" t="s">
        <v>189</v>
      </c>
      <c r="C78" s="49" t="s">
        <v>162</v>
      </c>
      <c r="D78" s="68" t="s">
        <v>169</v>
      </c>
      <c r="E78" s="36" t="s">
        <v>170</v>
      </c>
      <c r="F78" s="44" t="str">
        <f>IF(AND(ISNA(VLOOKUP(E78,DataType_Platform!A:A,1,FALSE())),ISNA(VLOOKUP(E78,BaseType!A:A,1,FALSE()))),"N","Y")</f>
        <v>Y</v>
      </c>
      <c r="G78" s="51"/>
      <c r="H78" s="57" t="s">
        <v>165</v>
      </c>
      <c r="I78" s="57" t="s">
        <v>166</v>
      </c>
      <c r="J78" s="56"/>
      <c r="K78" s="81">
        <v>0</v>
      </c>
      <c r="L78" s="81">
        <v>0</v>
      </c>
      <c r="M78" s="58" t="s">
        <v>166</v>
      </c>
      <c r="N78" s="81">
        <v>0</v>
      </c>
      <c r="O78" s="81">
        <v>0</v>
      </c>
      <c r="P78" s="54"/>
      <c r="Q78" s="54"/>
      <c r="R78" s="54"/>
      <c r="S78" s="54"/>
      <c r="T78" s="54"/>
      <c r="U78" s="54"/>
    </row>
    <row r="79" spans="1:21" ht="15" customHeight="1" x14ac:dyDescent="0.2">
      <c r="A79" s="71" t="s">
        <v>296</v>
      </c>
      <c r="B79" s="36" t="s">
        <v>189</v>
      </c>
      <c r="C79" s="49" t="s">
        <v>162</v>
      </c>
      <c r="D79" s="53" t="s">
        <v>171</v>
      </c>
      <c r="E79" s="36" t="s">
        <v>172</v>
      </c>
      <c r="F79" s="44" t="str">
        <f>IF(AND(ISNA(VLOOKUP(E79,DataType_Platform!A:A,1,FALSE())),ISNA(VLOOKUP(E79,BaseType!A:A,1,FALSE()))),"N","Y")</f>
        <v>Y</v>
      </c>
      <c r="G79" s="51"/>
      <c r="H79" s="57" t="s">
        <v>165</v>
      </c>
      <c r="I79" s="57" t="s">
        <v>166</v>
      </c>
      <c r="J79" s="56"/>
      <c r="K79" s="81">
        <v>0</v>
      </c>
      <c r="L79" s="81">
        <v>0</v>
      </c>
      <c r="M79" s="58" t="s">
        <v>166</v>
      </c>
      <c r="N79" s="81">
        <v>0</v>
      </c>
      <c r="O79" s="81">
        <v>0</v>
      </c>
      <c r="P79" s="54"/>
      <c r="Q79" s="54"/>
      <c r="R79" s="54"/>
      <c r="S79" s="54"/>
      <c r="T79" s="54"/>
      <c r="U79" s="54"/>
    </row>
    <row r="80" spans="1:21" ht="15" customHeight="1" x14ac:dyDescent="0.2">
      <c r="A80" s="71" t="s">
        <v>296</v>
      </c>
      <c r="B80" s="36" t="s">
        <v>189</v>
      </c>
      <c r="C80" s="49" t="s">
        <v>162</v>
      </c>
      <c r="D80" s="53" t="s">
        <v>177</v>
      </c>
      <c r="E80" s="36" t="s">
        <v>178</v>
      </c>
      <c r="F80" s="44" t="str">
        <f>IF(AND(ISNA(VLOOKUP(E80,DataType_Platform!A:A,1,FALSE())),ISNA(VLOOKUP(E80,BaseType!A:A,1,FALSE()))),"N","Y")</f>
        <v>Y</v>
      </c>
      <c r="G80" s="51"/>
      <c r="H80" s="57" t="s">
        <v>165</v>
      </c>
      <c r="I80" s="57" t="s">
        <v>166</v>
      </c>
      <c r="J80" s="56"/>
      <c r="K80" s="81">
        <v>0</v>
      </c>
      <c r="L80" s="81">
        <v>0</v>
      </c>
      <c r="M80" s="58" t="s">
        <v>166</v>
      </c>
      <c r="N80" s="81">
        <v>0</v>
      </c>
      <c r="O80" s="81">
        <v>0</v>
      </c>
      <c r="P80" s="54"/>
      <c r="Q80" s="54"/>
      <c r="R80" s="54"/>
      <c r="S80" s="54"/>
      <c r="T80" s="54"/>
      <c r="U80" s="54"/>
    </row>
    <row r="81" spans="1:21" ht="15" customHeight="1" x14ac:dyDescent="0.2">
      <c r="A81" s="71" t="s">
        <v>296</v>
      </c>
      <c r="B81" s="36" t="s">
        <v>189</v>
      </c>
      <c r="C81" s="49" t="s">
        <v>162</v>
      </c>
      <c r="D81" s="66" t="s">
        <v>173</v>
      </c>
      <c r="E81" s="11" t="s">
        <v>174</v>
      </c>
      <c r="F81" s="44" t="str">
        <f>IF(AND(ISNA(VLOOKUP(E81,DataType_Platform!A:A,1,FALSE())),ISNA(VLOOKUP(E81,BaseType!A:A,1,FALSE()))),"N","Y")</f>
        <v>Y</v>
      </c>
      <c r="G81" s="64"/>
      <c r="H81" s="56" t="s">
        <v>165</v>
      </c>
      <c r="I81" s="56" t="s">
        <v>166</v>
      </c>
      <c r="J81" s="56"/>
      <c r="K81" s="65">
        <v>0</v>
      </c>
      <c r="L81" s="65">
        <v>0</v>
      </c>
      <c r="M81" s="65" t="s">
        <v>166</v>
      </c>
      <c r="N81" s="65">
        <v>0</v>
      </c>
      <c r="O81" s="65">
        <v>0</v>
      </c>
      <c r="P81" s="42"/>
      <c r="Q81" s="42"/>
      <c r="R81" s="42"/>
      <c r="S81" s="42"/>
      <c r="T81" s="42"/>
      <c r="U81" s="42"/>
    </row>
    <row r="82" spans="1:21" ht="15" customHeight="1" x14ac:dyDescent="0.2">
      <c r="A82" s="71" t="s">
        <v>296</v>
      </c>
      <c r="B82" s="36" t="s">
        <v>189</v>
      </c>
      <c r="C82" s="49" t="s">
        <v>162</v>
      </c>
      <c r="D82" s="53" t="s">
        <v>299</v>
      </c>
      <c r="E82" s="98" t="s">
        <v>300</v>
      </c>
      <c r="F82" s="44" t="str">
        <f>IF(AND(ISNA(VLOOKUP(E82,DataType_Platform!A:A,1,FALSE())),ISNA(VLOOKUP(E82,BaseType!A:A,1,FALSE()))),"N","Y")</f>
        <v>Y</v>
      </c>
      <c r="G82" s="51"/>
      <c r="H82" s="57" t="s">
        <v>165</v>
      </c>
      <c r="I82" s="57" t="s">
        <v>166</v>
      </c>
      <c r="J82" s="56"/>
      <c r="K82" s="81">
        <v>0</v>
      </c>
      <c r="L82" s="81">
        <v>0</v>
      </c>
      <c r="M82" s="58" t="s">
        <v>166</v>
      </c>
      <c r="N82" s="81">
        <v>0</v>
      </c>
      <c r="O82" s="81">
        <v>0</v>
      </c>
      <c r="P82" s="54"/>
      <c r="Q82" s="54"/>
      <c r="R82" s="54"/>
      <c r="S82" s="54"/>
      <c r="T82" s="54"/>
      <c r="U82" s="54"/>
    </row>
    <row r="83" spans="1:21" ht="15" customHeight="1" x14ac:dyDescent="0.2">
      <c r="A83" s="71" t="s">
        <v>296</v>
      </c>
      <c r="B83" s="36" t="s">
        <v>189</v>
      </c>
      <c r="C83" s="49" t="s">
        <v>162</v>
      </c>
      <c r="D83" s="68" t="s">
        <v>198</v>
      </c>
      <c r="E83" s="68" t="s">
        <v>199</v>
      </c>
      <c r="F83" s="44" t="str">
        <f>IF(AND(ISNA(VLOOKUP(E83,DataType_Platform!A:A,1,FALSE())),ISNA(VLOOKUP(E83,BaseType!A:A,1,FALSE()))),"N","Y")</f>
        <v>Y</v>
      </c>
      <c r="G83" s="80"/>
      <c r="H83" s="56" t="s">
        <v>165</v>
      </c>
      <c r="I83" s="56" t="s">
        <v>166</v>
      </c>
      <c r="J83" s="56"/>
      <c r="K83" s="81"/>
      <c r="L83" s="81"/>
      <c r="M83" s="65"/>
      <c r="N83" s="81"/>
      <c r="O83" s="81"/>
      <c r="P83" s="63"/>
      <c r="Q83" s="63"/>
      <c r="R83" s="63"/>
      <c r="S83" s="63"/>
      <c r="T83" s="63"/>
      <c r="U83" s="63"/>
    </row>
    <row r="84" spans="1:21" ht="15" customHeight="1" x14ac:dyDescent="0.2">
      <c r="A84" s="71" t="s">
        <v>296</v>
      </c>
      <c r="B84" s="36" t="s">
        <v>189</v>
      </c>
      <c r="C84" s="49" t="s">
        <v>162</v>
      </c>
      <c r="D84" s="50" t="s">
        <v>301</v>
      </c>
      <c r="E84" s="36" t="s">
        <v>302</v>
      </c>
      <c r="F84" s="44" t="str">
        <f>IF(AND(ISNA(VLOOKUP(E84,DataType_Platform!A:A,1,FALSE())),ISNA(VLOOKUP(E84,BaseType!A:A,1,FALSE()))),"N","Y")</f>
        <v>Y</v>
      </c>
      <c r="G84" s="51"/>
      <c r="H84" s="57" t="s">
        <v>165</v>
      </c>
      <c r="I84" s="57" t="s">
        <v>166</v>
      </c>
      <c r="J84" s="56"/>
      <c r="K84" s="81">
        <v>0</v>
      </c>
      <c r="L84" s="81">
        <v>0</v>
      </c>
      <c r="M84" s="58" t="s">
        <v>166</v>
      </c>
      <c r="N84" s="81">
        <v>0</v>
      </c>
      <c r="O84" s="81">
        <v>0</v>
      </c>
      <c r="P84" s="54"/>
      <c r="Q84" s="54"/>
      <c r="R84" s="54"/>
      <c r="S84" s="54"/>
      <c r="T84" s="54"/>
      <c r="U84" s="54"/>
    </row>
    <row r="85" spans="1:21" ht="15" customHeight="1" x14ac:dyDescent="0.2">
      <c r="A85" s="71" t="s">
        <v>296</v>
      </c>
      <c r="B85" s="36" t="s">
        <v>189</v>
      </c>
      <c r="C85" s="49" t="s">
        <v>162</v>
      </c>
      <c r="D85" s="50" t="s">
        <v>303</v>
      </c>
      <c r="E85" s="68" t="s">
        <v>304</v>
      </c>
      <c r="F85" s="44" t="str">
        <f>IF(AND(ISNA(VLOOKUP(E85,DataType_Platform!A:A,1,FALSE())),ISNA(VLOOKUP(E85,BaseType!A:A,1,FALSE()))),"N","Y")</f>
        <v>Y</v>
      </c>
      <c r="G85" s="51"/>
      <c r="H85" s="57" t="s">
        <v>165</v>
      </c>
      <c r="I85" s="57" t="s">
        <v>166</v>
      </c>
      <c r="J85" s="56"/>
      <c r="K85" s="81">
        <v>0</v>
      </c>
      <c r="L85" s="81">
        <v>0</v>
      </c>
      <c r="M85" s="58" t="s">
        <v>166</v>
      </c>
      <c r="N85" s="81">
        <v>0</v>
      </c>
      <c r="O85" s="81">
        <v>0</v>
      </c>
      <c r="P85" s="54"/>
      <c r="Q85" s="54"/>
      <c r="R85" s="54"/>
      <c r="S85" s="54"/>
      <c r="T85" s="54"/>
      <c r="U85" s="54"/>
    </row>
    <row r="86" spans="1:21" ht="15" customHeight="1" x14ac:dyDescent="0.2">
      <c r="A86" s="71" t="s">
        <v>296</v>
      </c>
      <c r="B86" s="36" t="s">
        <v>189</v>
      </c>
      <c r="C86" s="49" t="s">
        <v>162</v>
      </c>
      <c r="D86" s="50" t="s">
        <v>305</v>
      </c>
      <c r="E86" s="36" t="s">
        <v>306</v>
      </c>
      <c r="F86" s="44" t="str">
        <f>IF(AND(ISNA(VLOOKUP(E86,DataType_Platform!A:A,1,FALSE())),ISNA(VLOOKUP(E86,BaseType!A:A,1,FALSE()))),"N","Y")</f>
        <v>Y</v>
      </c>
      <c r="G86" s="51"/>
      <c r="H86" s="57" t="s">
        <v>165</v>
      </c>
      <c r="I86" s="57" t="s">
        <v>166</v>
      </c>
      <c r="J86" s="56"/>
      <c r="K86" s="81">
        <v>0</v>
      </c>
      <c r="L86" s="81">
        <v>0</v>
      </c>
      <c r="M86" s="58" t="s">
        <v>166</v>
      </c>
      <c r="N86" s="81">
        <v>0</v>
      </c>
      <c r="O86" s="81">
        <v>0</v>
      </c>
      <c r="P86" s="54"/>
      <c r="Q86" s="54"/>
      <c r="R86" s="54"/>
      <c r="S86" s="54"/>
      <c r="T86" s="54"/>
      <c r="U86" s="54"/>
    </row>
    <row r="87" spans="1:21" ht="15" customHeight="1" x14ac:dyDescent="0.2">
      <c r="A87" s="71" t="s">
        <v>296</v>
      </c>
      <c r="B87" s="36" t="s">
        <v>189</v>
      </c>
      <c r="C87" s="49" t="s">
        <v>162</v>
      </c>
      <c r="D87" s="50" t="s">
        <v>307</v>
      </c>
      <c r="E87" s="36" t="s">
        <v>308</v>
      </c>
      <c r="F87" s="44" t="str">
        <f>IF(AND(ISNA(VLOOKUP(E87,DataType_Platform!A:A,1,FALSE())),ISNA(VLOOKUP(E87,BaseType!A:A,1,FALSE()))),"N","Y")</f>
        <v>Y</v>
      </c>
      <c r="G87" s="51"/>
      <c r="H87" s="57" t="s">
        <v>165</v>
      </c>
      <c r="I87" s="57" t="s">
        <v>166</v>
      </c>
      <c r="J87" s="56"/>
      <c r="K87" s="81">
        <v>0</v>
      </c>
      <c r="L87" s="81">
        <v>0</v>
      </c>
      <c r="M87" s="58" t="s">
        <v>166</v>
      </c>
      <c r="N87" s="81">
        <v>0</v>
      </c>
      <c r="O87" s="81">
        <v>0</v>
      </c>
      <c r="P87" s="54"/>
      <c r="Q87" s="54"/>
      <c r="R87" s="54"/>
      <c r="S87" s="54"/>
      <c r="T87" s="54"/>
      <c r="U87" s="54"/>
    </row>
    <row r="88" spans="1:21" ht="15" customHeight="1" x14ac:dyDescent="0.2">
      <c r="A88" s="71" t="s">
        <v>296</v>
      </c>
      <c r="B88" s="36" t="s">
        <v>189</v>
      </c>
      <c r="C88" s="49" t="s">
        <v>162</v>
      </c>
      <c r="D88" s="50" t="s">
        <v>309</v>
      </c>
      <c r="E88" s="68" t="s">
        <v>310</v>
      </c>
      <c r="F88" s="44" t="str">
        <f>IF(AND(ISNA(VLOOKUP(E88,DataType_Platform!A:A,1,FALSE())),ISNA(VLOOKUP(E88,BaseType!A:A,1,FALSE()))),"N","Y")</f>
        <v>Y</v>
      </c>
      <c r="G88" s="51"/>
      <c r="H88" s="57" t="s">
        <v>165</v>
      </c>
      <c r="I88" s="57" t="s">
        <v>166</v>
      </c>
      <c r="J88" s="56"/>
      <c r="K88" s="81">
        <v>0</v>
      </c>
      <c r="L88" s="81">
        <v>0</v>
      </c>
      <c r="M88" s="58" t="s">
        <v>166</v>
      </c>
      <c r="N88" s="81">
        <v>0</v>
      </c>
      <c r="O88" s="81">
        <v>0</v>
      </c>
      <c r="P88" s="54"/>
      <c r="Q88" s="54"/>
      <c r="R88" s="54"/>
      <c r="S88" s="54"/>
      <c r="T88" s="54"/>
      <c r="U88" s="54"/>
    </row>
    <row r="89" spans="1:21" ht="15" customHeight="1" x14ac:dyDescent="0.2">
      <c r="A89" s="71" t="s">
        <v>296</v>
      </c>
      <c r="B89" s="36" t="s">
        <v>189</v>
      </c>
      <c r="C89" s="49" t="s">
        <v>162</v>
      </c>
      <c r="D89" s="50" t="s">
        <v>311</v>
      </c>
      <c r="E89" s="68" t="s">
        <v>312</v>
      </c>
      <c r="F89" s="44" t="str">
        <f>IF(AND(ISNA(VLOOKUP(E89,DataType_Platform!A:A,1,FALSE())),ISNA(VLOOKUP(E89,BaseType!A:A,1,FALSE()))),"N","Y")</f>
        <v>Y</v>
      </c>
      <c r="G89" s="51"/>
      <c r="H89" s="57" t="s">
        <v>165</v>
      </c>
      <c r="I89" s="57" t="s">
        <v>166</v>
      </c>
      <c r="J89" s="56"/>
      <c r="K89" s="81">
        <v>0</v>
      </c>
      <c r="L89" s="81">
        <v>0</v>
      </c>
      <c r="M89" s="58" t="s">
        <v>166</v>
      </c>
      <c r="N89" s="81">
        <v>0</v>
      </c>
      <c r="O89" s="81">
        <v>0</v>
      </c>
      <c r="P89" s="54"/>
      <c r="Q89" s="54"/>
      <c r="R89" s="54"/>
      <c r="S89" s="54"/>
      <c r="T89" s="54"/>
      <c r="U89" s="54"/>
    </row>
    <row r="90" spans="1:21" ht="15" customHeight="1" x14ac:dyDescent="0.2">
      <c r="A90" s="71" t="s">
        <v>296</v>
      </c>
      <c r="B90" s="36" t="s">
        <v>189</v>
      </c>
      <c r="C90" s="49" t="s">
        <v>162</v>
      </c>
      <c r="D90" s="127" t="s">
        <v>313</v>
      </c>
      <c r="E90" s="68" t="s">
        <v>314</v>
      </c>
      <c r="F90" s="44" t="str">
        <f>IF(AND(ISNA(VLOOKUP(E90,DataType_Platform!A:A,1,FALSE())),ISNA(VLOOKUP(E90,BaseType!A:A,1,FALSE()))),"N","Y")</f>
        <v>Y</v>
      </c>
      <c r="G90" s="51"/>
      <c r="H90" s="57" t="s">
        <v>165</v>
      </c>
      <c r="I90" s="57" t="s">
        <v>166</v>
      </c>
      <c r="J90" s="56"/>
      <c r="K90" s="81">
        <v>0</v>
      </c>
      <c r="L90" s="81">
        <v>0</v>
      </c>
      <c r="M90" s="58" t="s">
        <v>166</v>
      </c>
      <c r="N90" s="81">
        <v>0</v>
      </c>
      <c r="O90" s="81">
        <v>0</v>
      </c>
      <c r="P90" s="54"/>
      <c r="Q90" s="54"/>
      <c r="R90" s="54"/>
      <c r="S90" s="54"/>
      <c r="T90" s="54"/>
      <c r="U90" s="54"/>
    </row>
    <row r="91" spans="1:21" ht="15" customHeight="1" x14ac:dyDescent="0.2">
      <c r="A91" s="71" t="s">
        <v>296</v>
      </c>
      <c r="B91" s="36" t="s">
        <v>189</v>
      </c>
      <c r="C91" s="49" t="s">
        <v>162</v>
      </c>
      <c r="D91" s="53" t="s">
        <v>249</v>
      </c>
      <c r="E91" s="36" t="s">
        <v>250</v>
      </c>
      <c r="F91" s="44" t="str">
        <f>IF(AND(ISNA(VLOOKUP(E91,DataType_Platform!A:A,1,FALSE())),ISNA(VLOOKUP(E91,BaseType!A:A,1,FALSE()))),"N","Y")</f>
        <v>Y</v>
      </c>
      <c r="G91" s="51"/>
      <c r="H91" s="57" t="s">
        <v>165</v>
      </c>
      <c r="I91" s="57" t="s">
        <v>166</v>
      </c>
      <c r="J91" s="56"/>
      <c r="K91" s="52">
        <v>0</v>
      </c>
      <c r="L91" s="52">
        <v>0</v>
      </c>
      <c r="M91" s="58" t="s">
        <v>166</v>
      </c>
      <c r="N91" s="52">
        <v>0</v>
      </c>
      <c r="O91" s="52">
        <v>0</v>
      </c>
      <c r="P91" s="54"/>
      <c r="Q91" s="54"/>
      <c r="R91" s="54"/>
      <c r="S91" s="54"/>
      <c r="T91" s="54"/>
      <c r="U91" s="54"/>
    </row>
    <row r="92" spans="1:21" ht="15" customHeight="1" x14ac:dyDescent="0.2">
      <c r="A92" s="71" t="s">
        <v>296</v>
      </c>
      <c r="B92" s="36" t="s">
        <v>189</v>
      </c>
      <c r="C92" s="49" t="s">
        <v>162</v>
      </c>
      <c r="D92" s="53" t="s">
        <v>253</v>
      </c>
      <c r="E92" s="36" t="s">
        <v>254</v>
      </c>
      <c r="F92" s="44" t="str">
        <f>IF(AND(ISNA(VLOOKUP(E92,DataType_Platform!A:A,1,FALSE())),ISNA(VLOOKUP(E92,BaseType!A:A,1,FALSE()))),"N","Y")</f>
        <v>Y</v>
      </c>
      <c r="G92" s="51"/>
      <c r="H92" s="57" t="s">
        <v>165</v>
      </c>
      <c r="I92" s="57" t="s">
        <v>166</v>
      </c>
      <c r="J92" s="56"/>
      <c r="K92" s="52">
        <v>0</v>
      </c>
      <c r="L92" s="52">
        <v>0</v>
      </c>
      <c r="M92" s="58" t="s">
        <v>166</v>
      </c>
      <c r="N92" s="52">
        <v>0</v>
      </c>
      <c r="O92" s="52">
        <v>0</v>
      </c>
      <c r="P92" s="54"/>
      <c r="Q92" s="54"/>
      <c r="R92" s="54"/>
      <c r="S92" s="54"/>
      <c r="T92" s="54"/>
      <c r="U92" s="54"/>
    </row>
    <row r="93" spans="1:21" ht="15" customHeight="1" x14ac:dyDescent="0.2">
      <c r="A93" s="71" t="s">
        <v>296</v>
      </c>
      <c r="B93" s="36" t="s">
        <v>189</v>
      </c>
      <c r="C93" s="49" t="s">
        <v>162</v>
      </c>
      <c r="D93" s="53" t="s">
        <v>247</v>
      </c>
      <c r="E93" s="36" t="s">
        <v>248</v>
      </c>
      <c r="F93" s="44" t="str">
        <f>IF(AND(ISNA(VLOOKUP(E93,DataType_Platform!A:A,1,FALSE())),ISNA(VLOOKUP(E93,BaseType!A:A,1,FALSE()))),"N","Y")</f>
        <v>Y</v>
      </c>
      <c r="G93" s="51"/>
      <c r="H93" s="57" t="s">
        <v>165</v>
      </c>
      <c r="I93" s="57" t="s">
        <v>166</v>
      </c>
      <c r="J93" s="56"/>
      <c r="K93" s="52">
        <v>0</v>
      </c>
      <c r="L93" s="52">
        <v>0</v>
      </c>
      <c r="M93" s="58" t="s">
        <v>166</v>
      </c>
      <c r="N93" s="52">
        <v>0</v>
      </c>
      <c r="O93" s="52">
        <v>0</v>
      </c>
      <c r="P93" s="54"/>
      <c r="Q93" s="54"/>
      <c r="R93" s="54"/>
      <c r="S93" s="54"/>
      <c r="T93" s="54"/>
      <c r="U93" s="54"/>
    </row>
    <row r="94" spans="1:21" ht="15" customHeight="1" x14ac:dyDescent="0.2">
      <c r="A94" s="71" t="s">
        <v>296</v>
      </c>
      <c r="B94" s="36" t="s">
        <v>189</v>
      </c>
      <c r="C94" s="49" t="s">
        <v>162</v>
      </c>
      <c r="D94" s="53" t="s">
        <v>259</v>
      </c>
      <c r="E94" s="36" t="s">
        <v>260</v>
      </c>
      <c r="F94" s="44" t="str">
        <f>IF(AND(ISNA(VLOOKUP(E94,DataType_Platform!A:A,1,FALSE())),ISNA(VLOOKUP(E94,BaseType!A:A,1,FALSE()))),"N","Y")</f>
        <v>Y</v>
      </c>
      <c r="G94" s="51"/>
      <c r="H94" s="57" t="s">
        <v>165</v>
      </c>
      <c r="I94" s="57" t="s">
        <v>166</v>
      </c>
      <c r="J94" s="56"/>
      <c r="K94" s="52">
        <v>0</v>
      </c>
      <c r="L94" s="52">
        <v>0</v>
      </c>
      <c r="M94" s="58" t="s">
        <v>166</v>
      </c>
      <c r="N94" s="52">
        <v>0</v>
      </c>
      <c r="O94" s="52">
        <v>0</v>
      </c>
      <c r="P94" s="54"/>
      <c r="Q94" s="54"/>
      <c r="R94" s="54"/>
      <c r="S94" s="54"/>
      <c r="T94" s="54"/>
      <c r="U94" s="54"/>
    </row>
    <row r="95" spans="1:21" ht="15" customHeight="1" x14ac:dyDescent="0.2">
      <c r="A95" s="71" t="s">
        <v>296</v>
      </c>
      <c r="B95" s="36" t="s">
        <v>189</v>
      </c>
      <c r="C95" s="49" t="s">
        <v>162</v>
      </c>
      <c r="D95" s="53" t="s">
        <v>251</v>
      </c>
      <c r="E95" s="36" t="s">
        <v>252</v>
      </c>
      <c r="F95" s="44" t="str">
        <f>IF(AND(ISNA(VLOOKUP(E95,DataType_Platform!A:A,1,FALSE())),ISNA(VLOOKUP(E95,BaseType!A:A,1,FALSE()))),"N","Y")</f>
        <v>Y</v>
      </c>
      <c r="G95" s="51"/>
      <c r="H95" s="57" t="s">
        <v>165</v>
      </c>
      <c r="I95" s="57" t="s">
        <v>166</v>
      </c>
      <c r="J95" s="56"/>
      <c r="K95" s="52">
        <v>0</v>
      </c>
      <c r="L95" s="52">
        <v>0</v>
      </c>
      <c r="M95" s="58" t="s">
        <v>166</v>
      </c>
      <c r="N95" s="52">
        <v>0</v>
      </c>
      <c r="O95" s="52">
        <v>0</v>
      </c>
      <c r="P95" s="54"/>
      <c r="Q95" s="54"/>
      <c r="R95" s="54"/>
      <c r="S95" s="54"/>
      <c r="T95" s="54"/>
      <c r="U95" s="54"/>
    </row>
    <row r="96" spans="1:21" ht="15" customHeight="1" x14ac:dyDescent="0.2">
      <c r="A96" s="71" t="s">
        <v>296</v>
      </c>
      <c r="B96" s="36" t="s">
        <v>189</v>
      </c>
      <c r="C96" s="49" t="s">
        <v>162</v>
      </c>
      <c r="D96" s="53" t="s">
        <v>257</v>
      </c>
      <c r="E96" s="7" t="s">
        <v>258</v>
      </c>
      <c r="F96" s="44" t="str">
        <f>IF(AND(ISNA(VLOOKUP(E96,DataType_Platform!A:A,1,FALSE())),ISNA(VLOOKUP(E96,BaseType!A:A,1,FALSE()))),"N","Y")</f>
        <v>Y</v>
      </c>
      <c r="G96" s="75"/>
      <c r="H96" s="57" t="s">
        <v>165</v>
      </c>
      <c r="I96" s="57" t="s">
        <v>166</v>
      </c>
      <c r="J96" s="57"/>
      <c r="K96" s="81">
        <v>0</v>
      </c>
      <c r="L96" s="81">
        <v>0</v>
      </c>
      <c r="M96" s="58" t="s">
        <v>166</v>
      </c>
      <c r="N96" s="81">
        <v>0</v>
      </c>
      <c r="O96" s="81">
        <v>0</v>
      </c>
      <c r="P96" s="54"/>
      <c r="Q96" s="54"/>
      <c r="R96" s="54"/>
      <c r="S96" s="54"/>
      <c r="T96" s="54"/>
      <c r="U96" s="54"/>
    </row>
    <row r="97" spans="1:21" ht="15" customHeight="1" x14ac:dyDescent="0.2">
      <c r="A97" s="71" t="s">
        <v>296</v>
      </c>
      <c r="B97" s="36" t="s">
        <v>189</v>
      </c>
      <c r="C97" s="49" t="s">
        <v>162</v>
      </c>
      <c r="D97" s="63" t="s">
        <v>263</v>
      </c>
      <c r="E97" s="36" t="s">
        <v>264</v>
      </c>
      <c r="F97" s="44" t="str">
        <f>IF(AND(ISNA(VLOOKUP(E97,DataType_Platform!A:A,1,FALSE())),ISNA(VLOOKUP(E97,BaseType!A:A,1,FALSE()))),"N","Y")</f>
        <v>Y</v>
      </c>
      <c r="G97" s="51"/>
      <c r="H97" s="57" t="s">
        <v>165</v>
      </c>
      <c r="I97" s="57" t="s">
        <v>166</v>
      </c>
      <c r="J97" s="56"/>
      <c r="K97" s="52"/>
      <c r="L97" s="52"/>
      <c r="M97" s="58"/>
      <c r="N97" s="52"/>
      <c r="O97" s="52"/>
      <c r="P97" s="54"/>
      <c r="Q97" s="54"/>
      <c r="R97" s="54"/>
      <c r="S97" s="54"/>
      <c r="T97" s="54"/>
      <c r="U97" s="54"/>
    </row>
    <row r="98" spans="1:21" ht="15" customHeight="1" x14ac:dyDescent="0.2">
      <c r="A98" s="71" t="s">
        <v>296</v>
      </c>
      <c r="B98" s="36" t="s">
        <v>189</v>
      </c>
      <c r="C98" s="49" t="s">
        <v>162</v>
      </c>
      <c r="D98" s="53" t="s">
        <v>315</v>
      </c>
      <c r="E98" s="36" t="s">
        <v>316</v>
      </c>
      <c r="F98" s="44" t="str">
        <f>IF(AND(ISNA(VLOOKUP(E98,DataType_Platform!A:A,1,FALSE())),ISNA(VLOOKUP(E98,BaseType!A:A,1,FALSE()))),"N","Y")</f>
        <v>Y</v>
      </c>
      <c r="G98" s="51"/>
      <c r="H98" s="57" t="s">
        <v>165</v>
      </c>
      <c r="I98" s="57" t="s">
        <v>166</v>
      </c>
      <c r="J98" s="56"/>
      <c r="K98" s="52">
        <v>0</v>
      </c>
      <c r="L98" s="52">
        <v>0</v>
      </c>
      <c r="M98" s="58" t="s">
        <v>166</v>
      </c>
      <c r="N98" s="52">
        <v>0</v>
      </c>
      <c r="O98" s="52">
        <v>0</v>
      </c>
      <c r="P98" s="54"/>
      <c r="Q98" s="54"/>
      <c r="R98" s="54"/>
      <c r="S98" s="54"/>
      <c r="T98" s="54"/>
      <c r="U98" s="54"/>
    </row>
    <row r="99" spans="1:21" ht="15" customHeight="1" x14ac:dyDescent="0.2">
      <c r="A99" s="71" t="s">
        <v>296</v>
      </c>
      <c r="B99" s="36" t="s">
        <v>189</v>
      </c>
      <c r="C99" s="49" t="s">
        <v>162</v>
      </c>
      <c r="D99" s="53" t="s">
        <v>317</v>
      </c>
      <c r="E99" s="36" t="s">
        <v>318</v>
      </c>
      <c r="F99" s="44" t="str">
        <f>IF(AND(ISNA(VLOOKUP(E99,DataType_Platform!A:A,1,FALSE())),ISNA(VLOOKUP(E99,BaseType!A:A,1,FALSE()))),"N","Y")</f>
        <v>Y</v>
      </c>
      <c r="G99" s="51"/>
      <c r="H99" s="57" t="s">
        <v>165</v>
      </c>
      <c r="I99" s="57" t="s">
        <v>166</v>
      </c>
      <c r="J99" s="56"/>
      <c r="K99" s="52">
        <v>0</v>
      </c>
      <c r="L99" s="52">
        <v>0</v>
      </c>
      <c r="M99" s="58" t="s">
        <v>166</v>
      </c>
      <c r="N99" s="52">
        <v>0</v>
      </c>
      <c r="O99" s="52">
        <v>0</v>
      </c>
      <c r="P99" s="54"/>
      <c r="Q99" s="54"/>
      <c r="R99" s="54"/>
      <c r="S99" s="54"/>
      <c r="T99" s="54"/>
      <c r="U99" s="54"/>
    </row>
    <row r="100" spans="1:21" ht="15" customHeight="1" x14ac:dyDescent="0.2">
      <c r="A100" s="71" t="s">
        <v>296</v>
      </c>
      <c r="B100" s="36" t="s">
        <v>189</v>
      </c>
      <c r="C100" s="49" t="s">
        <v>162</v>
      </c>
      <c r="D100" s="53" t="s">
        <v>319</v>
      </c>
      <c r="E100" s="36" t="s">
        <v>320</v>
      </c>
      <c r="F100" s="44" t="str">
        <f>IF(AND(ISNA(VLOOKUP(E100,DataType_Platform!A:A,1,FALSE())),ISNA(VLOOKUP(E100,BaseType!A:A,1,FALSE()))),"N","Y")</f>
        <v>Y</v>
      </c>
      <c r="G100" s="51"/>
      <c r="H100" s="57" t="s">
        <v>165</v>
      </c>
      <c r="I100" s="57" t="s">
        <v>166</v>
      </c>
      <c r="J100" s="56"/>
      <c r="K100" s="52"/>
      <c r="L100" s="52"/>
      <c r="M100" s="58"/>
      <c r="N100" s="52"/>
      <c r="O100" s="52"/>
      <c r="P100" s="54"/>
      <c r="Q100" s="54"/>
      <c r="R100" s="54"/>
      <c r="S100" s="54"/>
      <c r="T100" s="54"/>
      <c r="U100" s="54"/>
    </row>
    <row r="101" spans="1:21" ht="15" customHeight="1" x14ac:dyDescent="0.2">
      <c r="A101" s="71" t="s">
        <v>296</v>
      </c>
      <c r="B101" s="36" t="s">
        <v>189</v>
      </c>
      <c r="C101" s="49" t="s">
        <v>162</v>
      </c>
      <c r="D101" s="53" t="s">
        <v>321</v>
      </c>
      <c r="E101" s="36" t="s">
        <v>322</v>
      </c>
      <c r="F101" s="44" t="str">
        <f>IF(AND(ISNA(VLOOKUP(E101,DataType_Platform!A:A,1,FALSE())),ISNA(VLOOKUP(E101,BaseType!A:A,1,FALSE()))),"N","Y")</f>
        <v>Y</v>
      </c>
      <c r="G101" s="51"/>
      <c r="H101" s="57" t="s">
        <v>165</v>
      </c>
      <c r="I101" s="57" t="s">
        <v>166</v>
      </c>
      <c r="J101" s="56"/>
      <c r="K101" s="52"/>
      <c r="L101" s="52"/>
      <c r="M101" s="58"/>
      <c r="N101" s="52"/>
      <c r="O101" s="52"/>
      <c r="P101" s="54"/>
      <c r="Q101" s="54"/>
      <c r="R101" s="54"/>
      <c r="S101" s="54"/>
      <c r="T101" s="54"/>
      <c r="U101" s="54"/>
    </row>
    <row r="102" spans="1:21" ht="15" customHeight="1" x14ac:dyDescent="0.2">
      <c r="A102" s="71" t="s">
        <v>296</v>
      </c>
      <c r="B102" s="36" t="s">
        <v>161</v>
      </c>
      <c r="C102" s="49" t="s">
        <v>162</v>
      </c>
      <c r="D102" s="53" t="s">
        <v>323</v>
      </c>
      <c r="E102" s="36" t="s">
        <v>246</v>
      </c>
      <c r="F102" s="44" t="str">
        <f>IF(AND(ISNA(VLOOKUP(E102,DataType_Platform!A:A,1,FALSE())),ISNA(VLOOKUP(E102,BaseType!A:A,1,FALSE()))),"N","Y")</f>
        <v>Y</v>
      </c>
      <c r="G102" s="51"/>
      <c r="H102" s="57" t="s">
        <v>165</v>
      </c>
      <c r="I102" s="57" t="s">
        <v>166</v>
      </c>
      <c r="J102" s="56"/>
      <c r="K102" s="52">
        <v>0</v>
      </c>
      <c r="L102" s="52">
        <v>0</v>
      </c>
      <c r="M102" s="58" t="s">
        <v>166</v>
      </c>
      <c r="N102" s="52">
        <v>0</v>
      </c>
      <c r="O102" s="52">
        <v>0</v>
      </c>
      <c r="P102" s="54"/>
      <c r="Q102" s="54"/>
      <c r="R102" s="54"/>
      <c r="S102" s="54"/>
      <c r="T102" s="54"/>
      <c r="U102" s="54"/>
    </row>
    <row r="103" spans="1:21" ht="15" customHeight="1" x14ac:dyDescent="0.2">
      <c r="A103" s="71" t="s">
        <v>296</v>
      </c>
      <c r="B103" s="36" t="s">
        <v>161</v>
      </c>
      <c r="C103" s="49" t="s">
        <v>162</v>
      </c>
      <c r="D103" s="53" t="s">
        <v>324</v>
      </c>
      <c r="E103" s="36" t="s">
        <v>325</v>
      </c>
      <c r="F103" s="44" t="str">
        <f>IF(AND(ISNA(VLOOKUP(E103,DataType_Platform!A:A,1,FALSE())),ISNA(VLOOKUP(E103,BaseType!A:A,1,FALSE()))),"N","Y")</f>
        <v>Y</v>
      </c>
      <c r="G103" s="51"/>
      <c r="H103" s="57" t="s">
        <v>165</v>
      </c>
      <c r="I103" s="57" t="s">
        <v>166</v>
      </c>
      <c r="J103" s="56"/>
      <c r="K103" s="52">
        <v>0</v>
      </c>
      <c r="L103" s="52">
        <v>0</v>
      </c>
      <c r="M103" s="58" t="s">
        <v>166</v>
      </c>
      <c r="N103" s="52">
        <v>0</v>
      </c>
      <c r="O103" s="52">
        <v>0</v>
      </c>
      <c r="P103" s="54"/>
      <c r="Q103" s="54"/>
      <c r="R103" s="54"/>
      <c r="S103" s="54"/>
      <c r="T103" s="54"/>
      <c r="U103" s="54"/>
    </row>
    <row r="104" spans="1:21" ht="15" customHeight="1" x14ac:dyDescent="0.2">
      <c r="A104" s="71" t="s">
        <v>296</v>
      </c>
      <c r="B104" s="36" t="s">
        <v>161</v>
      </c>
      <c r="C104" s="49" t="s">
        <v>162</v>
      </c>
      <c r="D104" s="53" t="s">
        <v>326</v>
      </c>
      <c r="E104" s="36" t="s">
        <v>327</v>
      </c>
      <c r="F104" s="44" t="str">
        <f>IF(AND(ISNA(VLOOKUP(E104,DataType_Platform!A:A,1,FALSE())),ISNA(VLOOKUP(E104,BaseType!A:A,1,FALSE()))),"N","Y")</f>
        <v>Y</v>
      </c>
      <c r="G104" s="51"/>
      <c r="H104" s="57" t="s">
        <v>165</v>
      </c>
      <c r="I104" s="57" t="s">
        <v>166</v>
      </c>
      <c r="J104" s="56"/>
      <c r="K104" s="52">
        <v>0</v>
      </c>
      <c r="L104" s="52">
        <v>0</v>
      </c>
      <c r="M104" s="58" t="s">
        <v>166</v>
      </c>
      <c r="N104" s="52">
        <v>0</v>
      </c>
      <c r="O104" s="52">
        <v>0</v>
      </c>
      <c r="P104" s="54"/>
      <c r="Q104" s="54"/>
      <c r="R104" s="54"/>
      <c r="S104" s="54"/>
      <c r="T104" s="54"/>
      <c r="U104" s="54"/>
    </row>
    <row r="105" spans="1:21" ht="15" customHeight="1" x14ac:dyDescent="0.2">
      <c r="A105" s="71" t="s">
        <v>296</v>
      </c>
      <c r="B105" s="36" t="s">
        <v>161</v>
      </c>
      <c r="C105" s="49" t="s">
        <v>162</v>
      </c>
      <c r="D105" s="53" t="s">
        <v>328</v>
      </c>
      <c r="E105" s="36" t="s">
        <v>329</v>
      </c>
      <c r="F105" s="44" t="str">
        <f>IF(AND(ISNA(VLOOKUP(E105,DataType_Platform!A:A,1,FALSE())),ISNA(VLOOKUP(E105,BaseType!A:A,1,FALSE()))),"N","Y")</f>
        <v>Y</v>
      </c>
      <c r="G105" s="51"/>
      <c r="H105" s="57" t="s">
        <v>165</v>
      </c>
      <c r="I105" s="57" t="s">
        <v>166</v>
      </c>
      <c r="J105" s="56"/>
      <c r="K105" s="52">
        <v>0</v>
      </c>
      <c r="L105" s="52">
        <v>0</v>
      </c>
      <c r="M105" s="58" t="s">
        <v>166</v>
      </c>
      <c r="N105" s="52">
        <v>0</v>
      </c>
      <c r="O105" s="52">
        <v>0</v>
      </c>
      <c r="P105" s="54"/>
      <c r="Q105" s="54"/>
      <c r="R105" s="54"/>
      <c r="S105" s="54"/>
      <c r="T105" s="54"/>
      <c r="U105" s="54"/>
    </row>
    <row r="106" spans="1:21" ht="15" customHeight="1" x14ac:dyDescent="0.2">
      <c r="A106" s="71" t="s">
        <v>296</v>
      </c>
      <c r="B106" s="36" t="s">
        <v>161</v>
      </c>
      <c r="C106" s="49" t="s">
        <v>162</v>
      </c>
      <c r="D106" s="53" t="s">
        <v>330</v>
      </c>
      <c r="E106" s="36" t="s">
        <v>331</v>
      </c>
      <c r="F106" s="44" t="str">
        <f>IF(AND(ISNA(VLOOKUP(E106,DataType_Platform!A:A,1,FALSE())),ISNA(VLOOKUP(E106,BaseType!A:A,1,FALSE()))),"N","Y")</f>
        <v>Y</v>
      </c>
      <c r="G106" s="51"/>
      <c r="H106" s="57" t="s">
        <v>165</v>
      </c>
      <c r="I106" s="57" t="s">
        <v>166</v>
      </c>
      <c r="J106" s="56"/>
      <c r="K106" s="52">
        <v>0</v>
      </c>
      <c r="L106" s="52">
        <v>0</v>
      </c>
      <c r="M106" s="58" t="s">
        <v>166</v>
      </c>
      <c r="N106" s="52">
        <v>0</v>
      </c>
      <c r="O106" s="52">
        <v>0</v>
      </c>
      <c r="P106" s="54"/>
      <c r="Q106" s="54"/>
      <c r="R106" s="54"/>
      <c r="S106" s="54"/>
      <c r="T106" s="54"/>
      <c r="U106" s="54"/>
    </row>
    <row r="107" spans="1:21" ht="15" customHeight="1" x14ac:dyDescent="0.2">
      <c r="A107" s="71" t="s">
        <v>296</v>
      </c>
      <c r="B107" s="36" t="s">
        <v>161</v>
      </c>
      <c r="C107" s="49" t="s">
        <v>162</v>
      </c>
      <c r="D107" s="133" t="s">
        <v>332</v>
      </c>
      <c r="E107" s="127" t="s">
        <v>333</v>
      </c>
      <c r="F107" s="44" t="str">
        <f>IF(AND(ISNA(VLOOKUP(E107,DataType_Platform!A:A,1,FALSE())),ISNA(VLOOKUP(E107,BaseType!A:A,1,FALSE()))),"N","Y")</f>
        <v>Y</v>
      </c>
      <c r="G107" s="51"/>
      <c r="H107" s="57" t="s">
        <v>165</v>
      </c>
      <c r="I107" s="57" t="s">
        <v>166</v>
      </c>
      <c r="J107" s="56"/>
      <c r="K107" s="52">
        <v>0</v>
      </c>
      <c r="L107" s="52">
        <v>0</v>
      </c>
      <c r="M107" s="58" t="s">
        <v>166</v>
      </c>
      <c r="N107" s="52">
        <v>0</v>
      </c>
      <c r="O107" s="52">
        <v>0</v>
      </c>
      <c r="P107" s="63"/>
      <c r="Q107" s="63"/>
      <c r="R107" s="63"/>
      <c r="S107" s="63"/>
      <c r="T107" s="63"/>
      <c r="U107" s="63"/>
    </row>
    <row r="108" spans="1:21" ht="15" customHeight="1" x14ac:dyDescent="0.2">
      <c r="A108" s="71" t="s">
        <v>296</v>
      </c>
      <c r="B108" s="36" t="s">
        <v>161</v>
      </c>
      <c r="C108" s="49" t="s">
        <v>162</v>
      </c>
      <c r="D108" s="53" t="s">
        <v>334</v>
      </c>
      <c r="E108" s="36" t="s">
        <v>193</v>
      </c>
      <c r="F108" s="44" t="str">
        <f>IF(AND(ISNA(VLOOKUP(E108,DataType_Platform!A:A,1,FALSE())),ISNA(VLOOKUP(E108,BaseType!A:A,1,FALSE()))),"N","Y")</f>
        <v>Y</v>
      </c>
      <c r="G108" s="51"/>
      <c r="H108" s="57" t="s">
        <v>165</v>
      </c>
      <c r="I108" s="57" t="s">
        <v>166</v>
      </c>
      <c r="J108" s="56"/>
      <c r="K108" s="52">
        <v>0</v>
      </c>
      <c r="L108" s="52">
        <v>0</v>
      </c>
      <c r="M108" s="58" t="s">
        <v>166</v>
      </c>
      <c r="N108" s="52">
        <v>0</v>
      </c>
      <c r="O108" s="52">
        <v>0</v>
      </c>
      <c r="P108" s="54"/>
      <c r="Q108" s="54"/>
      <c r="R108" s="54"/>
      <c r="S108" s="54"/>
      <c r="T108" s="54"/>
      <c r="U108" s="54"/>
    </row>
    <row r="109" spans="1:21" ht="15" customHeight="1" x14ac:dyDescent="0.2">
      <c r="A109" s="74" t="s">
        <v>335</v>
      </c>
      <c r="B109" s="36" t="s">
        <v>189</v>
      </c>
      <c r="C109" s="49" t="s">
        <v>162</v>
      </c>
      <c r="D109" s="53" t="s">
        <v>183</v>
      </c>
      <c r="E109" s="50" t="s">
        <v>184</v>
      </c>
      <c r="F109" s="44" t="str">
        <f>IF(AND(ISNA(VLOOKUP(E109,DataType_Platform!A:A,1,FALSE())),ISNA(VLOOKUP(E109,BaseType!A:A,1,FALSE()))),"N","Y")</f>
        <v>Y</v>
      </c>
      <c r="G109" s="51"/>
      <c r="H109" s="57" t="s">
        <v>165</v>
      </c>
      <c r="I109" s="57" t="s">
        <v>166</v>
      </c>
      <c r="J109" s="56"/>
      <c r="K109" s="52">
        <v>0</v>
      </c>
      <c r="L109" s="52">
        <v>0</v>
      </c>
      <c r="M109" s="58" t="s">
        <v>166</v>
      </c>
      <c r="N109" s="52">
        <v>0</v>
      </c>
      <c r="O109" s="52">
        <v>0</v>
      </c>
      <c r="P109" s="54"/>
      <c r="Q109" s="54"/>
      <c r="R109" s="54"/>
      <c r="S109" s="54"/>
      <c r="T109" s="54"/>
      <c r="U109" s="54"/>
    </row>
    <row r="110" spans="1:21" ht="15" customHeight="1" x14ac:dyDescent="0.2">
      <c r="A110" s="74" t="s">
        <v>335</v>
      </c>
      <c r="B110" s="36" t="s">
        <v>189</v>
      </c>
      <c r="C110" s="49" t="s">
        <v>162</v>
      </c>
      <c r="D110" s="53" t="s">
        <v>186</v>
      </c>
      <c r="E110" s="50" t="s">
        <v>187</v>
      </c>
      <c r="F110" s="44" t="str">
        <f>IF(AND(ISNA(VLOOKUP(E110,DataType_Platform!A:A,1,FALSE())),ISNA(VLOOKUP(E110,BaseType!A:A,1,FALSE()))),"N","Y")</f>
        <v>Y</v>
      </c>
      <c r="G110" s="40"/>
      <c r="H110" s="56" t="s">
        <v>165</v>
      </c>
      <c r="I110" s="57" t="s">
        <v>166</v>
      </c>
      <c r="J110" s="57"/>
      <c r="K110" s="58"/>
      <c r="L110" s="58"/>
      <c r="M110" s="58"/>
      <c r="N110" s="58"/>
      <c r="O110" s="58"/>
      <c r="P110" s="54"/>
      <c r="Q110" s="54"/>
      <c r="R110" s="54"/>
      <c r="S110" s="54"/>
      <c r="T110" s="54"/>
      <c r="U110" s="54"/>
    </row>
    <row r="111" spans="1:21" ht="15" customHeight="1" x14ac:dyDescent="0.2">
      <c r="A111" s="74" t="s">
        <v>335</v>
      </c>
      <c r="B111" s="36" t="s">
        <v>189</v>
      </c>
      <c r="C111" s="49" t="s">
        <v>162</v>
      </c>
      <c r="D111" s="53" t="s">
        <v>255</v>
      </c>
      <c r="E111" s="36" t="s">
        <v>256</v>
      </c>
      <c r="F111" s="44" t="str">
        <f>IF(AND(ISNA(VLOOKUP(E111,DataType_Platform!A:A,1,FALSE())),ISNA(VLOOKUP(E111,BaseType!A:A,1,FALSE()))),"N","Y")</f>
        <v>Y</v>
      </c>
      <c r="G111" s="51"/>
      <c r="H111" s="57" t="s">
        <v>165</v>
      </c>
      <c r="I111" s="57" t="s">
        <v>166</v>
      </c>
      <c r="J111" s="56"/>
      <c r="K111" s="52">
        <v>0</v>
      </c>
      <c r="L111" s="52">
        <v>0</v>
      </c>
      <c r="M111" s="58" t="s">
        <v>166</v>
      </c>
      <c r="N111" s="52">
        <v>0</v>
      </c>
      <c r="O111" s="52">
        <v>0</v>
      </c>
      <c r="P111" s="54"/>
      <c r="Q111" s="54"/>
      <c r="R111" s="54"/>
      <c r="S111" s="54"/>
      <c r="T111" s="54"/>
      <c r="U111" s="54"/>
    </row>
    <row r="112" spans="1:21" ht="15" customHeight="1" x14ac:dyDescent="0.2">
      <c r="A112" s="74" t="s">
        <v>335</v>
      </c>
      <c r="B112" s="36" t="s">
        <v>189</v>
      </c>
      <c r="C112" s="49" t="s">
        <v>162</v>
      </c>
      <c r="D112" s="53" t="s">
        <v>249</v>
      </c>
      <c r="E112" s="36" t="s">
        <v>250</v>
      </c>
      <c r="F112" s="44" t="str">
        <f>IF(AND(ISNA(VLOOKUP(E112,DataType_Platform!A:A,1,FALSE())),ISNA(VLOOKUP(E112,BaseType!A:A,1,FALSE()))),"N","Y")</f>
        <v>Y</v>
      </c>
      <c r="G112" s="51"/>
      <c r="H112" s="57" t="s">
        <v>165</v>
      </c>
      <c r="I112" s="57" t="s">
        <v>166</v>
      </c>
      <c r="J112" s="56"/>
      <c r="K112" s="52">
        <v>0</v>
      </c>
      <c r="L112" s="52">
        <v>0</v>
      </c>
      <c r="M112" s="58" t="s">
        <v>166</v>
      </c>
      <c r="N112" s="52">
        <v>0</v>
      </c>
      <c r="O112" s="52">
        <v>0</v>
      </c>
      <c r="P112" s="54"/>
      <c r="Q112" s="54"/>
      <c r="R112" s="54"/>
      <c r="S112" s="54"/>
      <c r="T112" s="54"/>
      <c r="U112" s="54"/>
    </row>
    <row r="113" spans="1:21" ht="15" customHeight="1" x14ac:dyDescent="0.2">
      <c r="A113" s="74" t="s">
        <v>335</v>
      </c>
      <c r="B113" s="36" t="s">
        <v>189</v>
      </c>
      <c r="C113" s="49" t="s">
        <v>162</v>
      </c>
      <c r="D113" s="53" t="s">
        <v>247</v>
      </c>
      <c r="E113" s="36" t="s">
        <v>248</v>
      </c>
      <c r="F113" s="44" t="str">
        <f>IF(AND(ISNA(VLOOKUP(E113,DataType_Platform!A:A,1,FALSE())),ISNA(VLOOKUP(E113,BaseType!A:A,1,FALSE()))),"N","Y")</f>
        <v>Y</v>
      </c>
      <c r="G113" s="51"/>
      <c r="H113" s="57" t="s">
        <v>165</v>
      </c>
      <c r="I113" s="57" t="s">
        <v>166</v>
      </c>
      <c r="J113" s="56"/>
      <c r="K113" s="52">
        <v>0</v>
      </c>
      <c r="L113" s="52">
        <v>0</v>
      </c>
      <c r="M113" s="58" t="s">
        <v>166</v>
      </c>
      <c r="N113" s="52">
        <v>0</v>
      </c>
      <c r="O113" s="52">
        <v>0</v>
      </c>
      <c r="P113" s="54"/>
      <c r="Q113" s="54"/>
      <c r="R113" s="54"/>
      <c r="S113" s="54"/>
      <c r="T113" s="54"/>
      <c r="U113" s="54"/>
    </row>
    <row r="114" spans="1:21" ht="15" customHeight="1" x14ac:dyDescent="0.2">
      <c r="A114" s="74" t="s">
        <v>335</v>
      </c>
      <c r="B114" s="36" t="s">
        <v>189</v>
      </c>
      <c r="C114" s="49" t="s">
        <v>162</v>
      </c>
      <c r="D114" s="53" t="s">
        <v>251</v>
      </c>
      <c r="E114" s="36" t="s">
        <v>252</v>
      </c>
      <c r="F114" s="44" t="str">
        <f>IF(AND(ISNA(VLOOKUP(E114,DataType_Platform!A:A,1,FALSE())),ISNA(VLOOKUP(E114,BaseType!A:A,1,FALSE()))),"N","Y")</f>
        <v>Y</v>
      </c>
      <c r="G114" s="51"/>
      <c r="H114" s="57" t="s">
        <v>165</v>
      </c>
      <c r="I114" s="57" t="s">
        <v>166</v>
      </c>
      <c r="J114" s="56"/>
      <c r="K114" s="52">
        <v>0</v>
      </c>
      <c r="L114" s="52">
        <v>0</v>
      </c>
      <c r="M114" s="58" t="s">
        <v>166</v>
      </c>
      <c r="N114" s="52">
        <v>0</v>
      </c>
      <c r="O114" s="52">
        <v>0</v>
      </c>
      <c r="P114" s="54"/>
      <c r="Q114" s="54"/>
      <c r="R114" s="54"/>
      <c r="S114" s="54"/>
      <c r="T114" s="54"/>
      <c r="U114" s="54"/>
    </row>
    <row r="115" spans="1:21" ht="15" customHeight="1" x14ac:dyDescent="0.2">
      <c r="A115" s="74" t="s">
        <v>335</v>
      </c>
      <c r="B115" s="36" t="s">
        <v>189</v>
      </c>
      <c r="C115" s="49" t="s">
        <v>162</v>
      </c>
      <c r="D115" s="53" t="s">
        <v>253</v>
      </c>
      <c r="E115" s="36" t="s">
        <v>254</v>
      </c>
      <c r="F115" s="44" t="str">
        <f>IF(AND(ISNA(VLOOKUP(E115,DataType_Platform!A:A,1,FALSE())),ISNA(VLOOKUP(E115,BaseType!A:A,1,FALSE()))),"N","Y")</f>
        <v>Y</v>
      </c>
      <c r="G115" s="51"/>
      <c r="H115" s="57" t="s">
        <v>165</v>
      </c>
      <c r="I115" s="57" t="s">
        <v>166</v>
      </c>
      <c r="J115" s="56"/>
      <c r="K115" s="52">
        <v>0</v>
      </c>
      <c r="L115" s="52">
        <v>0</v>
      </c>
      <c r="M115" s="58" t="s">
        <v>166</v>
      </c>
      <c r="N115" s="52">
        <v>0</v>
      </c>
      <c r="O115" s="52">
        <v>0</v>
      </c>
      <c r="P115" s="54"/>
      <c r="Q115" s="54"/>
      <c r="R115" s="54"/>
      <c r="S115" s="54"/>
      <c r="T115" s="54"/>
      <c r="U115" s="54"/>
    </row>
    <row r="116" spans="1:21" ht="15" customHeight="1" x14ac:dyDescent="0.2">
      <c r="A116" s="74" t="s">
        <v>335</v>
      </c>
      <c r="B116" s="36" t="s">
        <v>189</v>
      </c>
      <c r="C116" s="49" t="s">
        <v>162</v>
      </c>
      <c r="D116" s="53" t="s">
        <v>257</v>
      </c>
      <c r="E116" s="7" t="s">
        <v>258</v>
      </c>
      <c r="F116" s="44" t="str">
        <f>IF(AND(ISNA(VLOOKUP(E116,DataType_Platform!A:A,1,FALSE())),ISNA(VLOOKUP(E116,BaseType!A:A,1,FALSE()))),"N","Y")</f>
        <v>Y</v>
      </c>
      <c r="G116" s="75"/>
      <c r="H116" s="57" t="s">
        <v>165</v>
      </c>
      <c r="I116" s="57" t="s">
        <v>166</v>
      </c>
      <c r="J116" s="56"/>
      <c r="K116" s="52"/>
      <c r="L116" s="52"/>
      <c r="M116" s="58"/>
      <c r="N116" s="52"/>
      <c r="O116" s="52"/>
      <c r="P116" s="54"/>
      <c r="Q116" s="54"/>
      <c r="R116" s="54"/>
      <c r="S116" s="54"/>
      <c r="T116" s="54"/>
      <c r="U116" s="54"/>
    </row>
    <row r="117" spans="1:21" ht="15" customHeight="1" x14ac:dyDescent="0.2">
      <c r="A117" s="74" t="s">
        <v>335</v>
      </c>
      <c r="B117" s="106" t="s">
        <v>189</v>
      </c>
      <c r="C117" s="101" t="s">
        <v>162</v>
      </c>
      <c r="D117" s="68" t="s">
        <v>273</v>
      </c>
      <c r="E117" s="102" t="s">
        <v>274</v>
      </c>
      <c r="F117" s="44" t="str">
        <f>IF(AND(ISNA(VLOOKUP(E117,DataType_Platform!A:A,1,FALSE())),ISNA(VLOOKUP(E117,BaseType!A:A,1,FALSE()))),"N","Y")</f>
        <v>Y</v>
      </c>
      <c r="G117" s="89" t="s">
        <v>275</v>
      </c>
      <c r="H117" s="46" t="s">
        <v>165</v>
      </c>
      <c r="I117" s="56" t="s">
        <v>166</v>
      </c>
      <c r="J117" s="56"/>
      <c r="K117" s="81"/>
      <c r="L117" s="81"/>
      <c r="M117" s="81"/>
      <c r="N117" s="81"/>
      <c r="O117" s="81"/>
      <c r="P117" s="98"/>
      <c r="Q117" s="98"/>
      <c r="R117" s="98"/>
      <c r="S117" s="98"/>
      <c r="T117" s="98"/>
      <c r="U117" s="98"/>
    </row>
    <row r="118" spans="1:21" ht="15" customHeight="1" x14ac:dyDescent="0.2">
      <c r="A118" s="74" t="s">
        <v>335</v>
      </c>
      <c r="B118" s="36" t="s">
        <v>189</v>
      </c>
      <c r="C118" s="49" t="s">
        <v>162</v>
      </c>
      <c r="D118" s="53" t="s">
        <v>282</v>
      </c>
      <c r="E118" s="36" t="s">
        <v>225</v>
      </c>
      <c r="F118" s="44" t="str">
        <f>IF(AND(ISNA(VLOOKUP(E118,DataType_Platform!A:A,1,FALSE())),ISNA(VLOOKUP(E118,BaseType!A:A,1,FALSE()))),"N","Y")</f>
        <v>Y</v>
      </c>
      <c r="G118" s="51"/>
      <c r="H118" s="57" t="s">
        <v>165</v>
      </c>
      <c r="I118" s="57" t="s">
        <v>166</v>
      </c>
      <c r="J118" s="56"/>
      <c r="K118" s="52">
        <v>0</v>
      </c>
      <c r="L118" s="52">
        <v>0</v>
      </c>
      <c r="M118" s="58" t="s">
        <v>166</v>
      </c>
      <c r="N118" s="52">
        <v>0</v>
      </c>
      <c r="O118" s="52">
        <v>0</v>
      </c>
      <c r="P118" s="54"/>
      <c r="Q118" s="54"/>
      <c r="R118" s="54"/>
      <c r="S118" s="54"/>
      <c r="T118" s="54"/>
      <c r="U118" s="54"/>
    </row>
    <row r="119" spans="1:21" ht="15" customHeight="1" x14ac:dyDescent="0.2">
      <c r="A119" s="74" t="s">
        <v>335</v>
      </c>
      <c r="B119" s="36" t="s">
        <v>189</v>
      </c>
      <c r="C119" s="49" t="s">
        <v>162</v>
      </c>
      <c r="D119" s="53" t="s">
        <v>289</v>
      </c>
      <c r="E119" s="36" t="s">
        <v>225</v>
      </c>
      <c r="F119" s="44" t="str">
        <f>IF(AND(ISNA(VLOOKUP(E119,DataType_Platform!A:A,1,FALSE())),ISNA(VLOOKUP(E119,BaseType!A:A,1,FALSE()))),"N","Y")</f>
        <v>Y</v>
      </c>
      <c r="G119" s="51"/>
      <c r="H119" s="57" t="s">
        <v>165</v>
      </c>
      <c r="I119" s="57" t="s">
        <v>166</v>
      </c>
      <c r="J119" s="56"/>
      <c r="K119" s="52">
        <v>0</v>
      </c>
      <c r="L119" s="52">
        <v>0</v>
      </c>
      <c r="M119" s="58" t="s">
        <v>166</v>
      </c>
      <c r="N119" s="52">
        <v>0</v>
      </c>
      <c r="O119" s="52">
        <v>0</v>
      </c>
      <c r="P119" s="54"/>
      <c r="Q119" s="54"/>
      <c r="R119" s="54"/>
      <c r="S119" s="54"/>
      <c r="T119" s="54"/>
      <c r="U119" s="54"/>
    </row>
    <row r="120" spans="1:21" ht="15" customHeight="1" x14ac:dyDescent="0.2">
      <c r="A120" s="74" t="s">
        <v>335</v>
      </c>
      <c r="B120" s="36" t="s">
        <v>189</v>
      </c>
      <c r="C120" s="49" t="s">
        <v>162</v>
      </c>
      <c r="D120" s="53" t="s">
        <v>281</v>
      </c>
      <c r="E120" s="36" t="s">
        <v>225</v>
      </c>
      <c r="F120" s="44" t="str">
        <f>IF(AND(ISNA(VLOOKUP(E120,DataType_Platform!A:A,1,FALSE())),ISNA(VLOOKUP(E120,BaseType!A:A,1,FALSE()))),"N","Y")</f>
        <v>Y</v>
      </c>
      <c r="G120" s="51"/>
      <c r="H120" s="57" t="s">
        <v>165</v>
      </c>
      <c r="I120" s="57" t="s">
        <v>166</v>
      </c>
      <c r="J120" s="56"/>
      <c r="K120" s="52">
        <v>0</v>
      </c>
      <c r="L120" s="52">
        <v>0</v>
      </c>
      <c r="M120" s="58" t="s">
        <v>166</v>
      </c>
      <c r="N120" s="52">
        <v>0</v>
      </c>
      <c r="O120" s="52">
        <v>0</v>
      </c>
      <c r="P120" s="54"/>
      <c r="Q120" s="54"/>
      <c r="R120" s="54"/>
      <c r="S120" s="54"/>
      <c r="T120" s="54"/>
      <c r="U120" s="54"/>
    </row>
    <row r="121" spans="1:21" ht="15" customHeight="1" x14ac:dyDescent="0.2">
      <c r="A121" s="74" t="s">
        <v>335</v>
      </c>
      <c r="B121" s="36" t="s">
        <v>189</v>
      </c>
      <c r="C121" s="49" t="s">
        <v>162</v>
      </c>
      <c r="D121" s="53" t="s">
        <v>287</v>
      </c>
      <c r="E121" s="36" t="s">
        <v>225</v>
      </c>
      <c r="F121" s="44" t="str">
        <f>IF(AND(ISNA(VLOOKUP(E121,DataType_Platform!A:A,1,FALSE())),ISNA(VLOOKUP(E121,BaseType!A:A,1,FALSE()))),"N","Y")</f>
        <v>Y</v>
      </c>
      <c r="G121" s="51"/>
      <c r="H121" s="57" t="s">
        <v>165</v>
      </c>
      <c r="I121" s="57" t="s">
        <v>166</v>
      </c>
      <c r="J121" s="56"/>
      <c r="K121" s="52">
        <v>0</v>
      </c>
      <c r="L121" s="52">
        <v>0</v>
      </c>
      <c r="M121" s="58" t="s">
        <v>166</v>
      </c>
      <c r="N121" s="52">
        <v>0</v>
      </c>
      <c r="O121" s="52">
        <v>0</v>
      </c>
      <c r="P121" s="54"/>
      <c r="Q121" s="54"/>
      <c r="R121" s="54"/>
      <c r="S121" s="54"/>
      <c r="T121" s="54"/>
      <c r="U121" s="54"/>
    </row>
    <row r="122" spans="1:21" ht="15" customHeight="1" x14ac:dyDescent="0.2">
      <c r="A122" s="74" t="s">
        <v>335</v>
      </c>
      <c r="B122" s="36" t="s">
        <v>189</v>
      </c>
      <c r="C122" s="49" t="s">
        <v>162</v>
      </c>
      <c r="D122" s="53" t="s">
        <v>286</v>
      </c>
      <c r="E122" s="36" t="s">
        <v>225</v>
      </c>
      <c r="F122" s="44" t="str">
        <f>IF(AND(ISNA(VLOOKUP(E122,DataType_Platform!A:A,1,FALSE())),ISNA(VLOOKUP(E122,BaseType!A:A,1,FALSE()))),"N","Y")</f>
        <v>Y</v>
      </c>
      <c r="G122" s="51"/>
      <c r="H122" s="57" t="s">
        <v>165</v>
      </c>
      <c r="I122" s="57" t="s">
        <v>166</v>
      </c>
      <c r="J122" s="56"/>
      <c r="K122" s="52">
        <v>0</v>
      </c>
      <c r="L122" s="52">
        <v>0</v>
      </c>
      <c r="M122" s="58" t="s">
        <v>166</v>
      </c>
      <c r="N122" s="52">
        <v>0</v>
      </c>
      <c r="O122" s="52">
        <v>0</v>
      </c>
      <c r="P122" s="54"/>
      <c r="Q122" s="54"/>
      <c r="R122" s="54"/>
      <c r="S122" s="54"/>
      <c r="T122" s="54"/>
      <c r="U122" s="54"/>
    </row>
    <row r="123" spans="1:21" ht="15" customHeight="1" x14ac:dyDescent="0.2">
      <c r="A123" s="74" t="s">
        <v>335</v>
      </c>
      <c r="B123" s="36" t="s">
        <v>189</v>
      </c>
      <c r="C123" s="49" t="s">
        <v>162</v>
      </c>
      <c r="D123" s="53" t="s">
        <v>336</v>
      </c>
      <c r="E123" s="36" t="s">
        <v>337</v>
      </c>
      <c r="F123" s="44" t="str">
        <f>IF(AND(ISNA(VLOOKUP(E123,DataType_Platform!A:A,1,FALSE())),ISNA(VLOOKUP(E123,BaseType!A:A,1,FALSE()))),"N","Y")</f>
        <v>Y</v>
      </c>
      <c r="G123" s="51"/>
      <c r="H123" s="57" t="s">
        <v>165</v>
      </c>
      <c r="I123" s="57" t="s">
        <v>166</v>
      </c>
      <c r="J123" s="56"/>
      <c r="K123" s="52">
        <v>0</v>
      </c>
      <c r="L123" s="52">
        <v>0</v>
      </c>
      <c r="M123" s="58" t="s">
        <v>166</v>
      </c>
      <c r="N123" s="52">
        <v>0</v>
      </c>
      <c r="O123" s="52">
        <v>0</v>
      </c>
      <c r="P123" s="54"/>
      <c r="Q123" s="54"/>
      <c r="R123" s="54"/>
      <c r="S123" s="54"/>
      <c r="T123" s="54"/>
      <c r="U123" s="54"/>
    </row>
    <row r="124" spans="1:21" ht="15" customHeight="1" x14ac:dyDescent="0.2">
      <c r="A124" s="74" t="s">
        <v>335</v>
      </c>
      <c r="B124" s="36" t="s">
        <v>189</v>
      </c>
      <c r="C124" s="49" t="s">
        <v>162</v>
      </c>
      <c r="D124" s="53" t="s">
        <v>177</v>
      </c>
      <c r="E124" s="36" t="s">
        <v>178</v>
      </c>
      <c r="F124" s="44" t="str">
        <f>IF(AND(ISNA(VLOOKUP(E124,DataType_Platform!A:A,1,FALSE())),ISNA(VLOOKUP(E124,BaseType!A:A,1,FALSE()))),"N","Y")</f>
        <v>Y</v>
      </c>
      <c r="G124" s="51"/>
      <c r="H124" s="57" t="s">
        <v>165</v>
      </c>
      <c r="I124" s="57" t="s">
        <v>166</v>
      </c>
      <c r="J124" s="56"/>
      <c r="K124" s="52">
        <v>0</v>
      </c>
      <c r="L124" s="52">
        <v>0</v>
      </c>
      <c r="M124" s="58" t="s">
        <v>166</v>
      </c>
      <c r="N124" s="52">
        <v>0</v>
      </c>
      <c r="O124" s="52">
        <v>0</v>
      </c>
      <c r="P124" s="54"/>
      <c r="Q124" s="54"/>
      <c r="R124" s="54"/>
      <c r="S124" s="54"/>
      <c r="T124" s="54"/>
      <c r="U124" s="54"/>
    </row>
    <row r="125" spans="1:21" ht="15" customHeight="1" x14ac:dyDescent="0.2">
      <c r="A125" s="74" t="s">
        <v>335</v>
      </c>
      <c r="B125" s="36" t="s">
        <v>189</v>
      </c>
      <c r="C125" s="49" t="s">
        <v>162</v>
      </c>
      <c r="D125" s="53" t="s">
        <v>206</v>
      </c>
      <c r="E125" s="36" t="s">
        <v>207</v>
      </c>
      <c r="F125" s="44" t="str">
        <f>IF(AND(ISNA(VLOOKUP(E125,DataType_Platform!A:A,1,FALSE())),ISNA(VLOOKUP(E125,BaseType!A:A,1,FALSE()))),"N","Y")</f>
        <v>Y</v>
      </c>
      <c r="G125" s="51"/>
      <c r="H125" s="57" t="s">
        <v>165</v>
      </c>
      <c r="I125" s="57" t="s">
        <v>166</v>
      </c>
      <c r="J125" s="56"/>
      <c r="K125" s="52">
        <v>0</v>
      </c>
      <c r="L125" s="52">
        <v>0</v>
      </c>
      <c r="M125" s="58" t="s">
        <v>166</v>
      </c>
      <c r="N125" s="52">
        <v>0</v>
      </c>
      <c r="O125" s="52">
        <v>0</v>
      </c>
      <c r="P125" s="54"/>
      <c r="Q125" s="54"/>
      <c r="R125" s="54"/>
      <c r="S125" s="54"/>
      <c r="T125" s="54"/>
      <c r="U125" s="54"/>
    </row>
    <row r="126" spans="1:21" ht="15" customHeight="1" x14ac:dyDescent="0.2">
      <c r="A126" s="74" t="s">
        <v>335</v>
      </c>
      <c r="B126" s="36" t="s">
        <v>189</v>
      </c>
      <c r="C126" s="49" t="s">
        <v>162</v>
      </c>
      <c r="D126" s="53" t="s">
        <v>326</v>
      </c>
      <c r="E126" s="36" t="s">
        <v>327</v>
      </c>
      <c r="F126" s="44" t="str">
        <f>IF(AND(ISNA(VLOOKUP(E126,DataType_Platform!A:A,1,FALSE())),ISNA(VLOOKUP(E126,BaseType!A:A,1,FALSE()))),"N","Y")</f>
        <v>Y</v>
      </c>
      <c r="G126" s="51"/>
      <c r="H126" s="57" t="s">
        <v>165</v>
      </c>
      <c r="I126" s="57" t="s">
        <v>166</v>
      </c>
      <c r="J126" s="56"/>
      <c r="K126" s="52">
        <v>0</v>
      </c>
      <c r="L126" s="52">
        <v>0</v>
      </c>
      <c r="M126" s="58" t="s">
        <v>166</v>
      </c>
      <c r="N126" s="52">
        <v>0</v>
      </c>
      <c r="O126" s="52">
        <v>0</v>
      </c>
      <c r="P126" s="54"/>
      <c r="Q126" s="54"/>
      <c r="R126" s="54"/>
      <c r="S126" s="54"/>
      <c r="T126" s="54"/>
      <c r="U126" s="54"/>
    </row>
    <row r="127" spans="1:21" ht="15" customHeight="1" x14ac:dyDescent="0.2">
      <c r="A127" s="74" t="s">
        <v>335</v>
      </c>
      <c r="B127" s="36" t="s">
        <v>189</v>
      </c>
      <c r="C127" s="49" t="s">
        <v>162</v>
      </c>
      <c r="D127" s="53" t="s">
        <v>204</v>
      </c>
      <c r="E127" s="36" t="s">
        <v>205</v>
      </c>
      <c r="F127" s="44" t="str">
        <f>IF(AND(ISNA(VLOOKUP(E127,DataType_Platform!A:A,1,FALSE())),ISNA(VLOOKUP(E127,BaseType!A:A,1,FALSE()))),"N","Y")</f>
        <v>Y</v>
      </c>
      <c r="G127" s="51"/>
      <c r="H127" s="57" t="s">
        <v>165</v>
      </c>
      <c r="I127" s="57" t="s">
        <v>166</v>
      </c>
      <c r="J127" s="56"/>
      <c r="K127" s="52">
        <v>0</v>
      </c>
      <c r="L127" s="52">
        <v>0</v>
      </c>
      <c r="M127" s="58" t="s">
        <v>166</v>
      </c>
      <c r="N127" s="52">
        <v>0</v>
      </c>
      <c r="O127" s="52">
        <v>0</v>
      </c>
      <c r="P127" s="54"/>
      <c r="Q127" s="54"/>
      <c r="R127" s="54"/>
      <c r="S127" s="54"/>
      <c r="T127" s="54"/>
      <c r="U127" s="54"/>
    </row>
    <row r="128" spans="1:21" ht="15" customHeight="1" x14ac:dyDescent="0.2">
      <c r="A128" s="74" t="s">
        <v>335</v>
      </c>
      <c r="B128" s="36" t="s">
        <v>189</v>
      </c>
      <c r="C128" s="49" t="s">
        <v>162</v>
      </c>
      <c r="D128" s="53" t="s">
        <v>210</v>
      </c>
      <c r="E128" s="63" t="s">
        <v>211</v>
      </c>
      <c r="F128" s="44" t="str">
        <f>IF(AND(ISNA(VLOOKUP(E128,DataType_Platform!A:A,1,FALSE())),ISNA(VLOOKUP(E128,BaseType!A:A,1,FALSE()))),"N","Y")</f>
        <v>Y</v>
      </c>
      <c r="G128" s="51"/>
      <c r="H128" s="57" t="s">
        <v>165</v>
      </c>
      <c r="I128" s="57" t="s">
        <v>166</v>
      </c>
      <c r="J128" s="56"/>
      <c r="K128" s="52"/>
      <c r="L128" s="52"/>
      <c r="M128" s="58" t="s">
        <v>166</v>
      </c>
      <c r="N128" s="52"/>
      <c r="O128" s="52"/>
      <c r="P128" s="54"/>
      <c r="Q128" s="54"/>
      <c r="R128" s="54"/>
      <c r="S128" s="54"/>
      <c r="T128" s="54"/>
      <c r="U128" s="54"/>
    </row>
    <row r="129" spans="1:21" ht="15" customHeight="1" x14ac:dyDescent="0.2">
      <c r="A129" s="74" t="s">
        <v>335</v>
      </c>
      <c r="B129" s="36" t="s">
        <v>161</v>
      </c>
      <c r="C129" s="49" t="s">
        <v>162</v>
      </c>
      <c r="D129" s="53" t="s">
        <v>338</v>
      </c>
      <c r="E129" s="36" t="s">
        <v>246</v>
      </c>
      <c r="F129" s="44" t="str">
        <f>IF(AND(ISNA(VLOOKUP(E129,DataType_Platform!A:A,1,FALSE())),ISNA(VLOOKUP(E129,BaseType!A:A,1,FALSE()))),"N","Y")</f>
        <v>Y</v>
      </c>
      <c r="G129" s="51"/>
      <c r="H129" s="57" t="s">
        <v>165</v>
      </c>
      <c r="I129" s="57" t="s">
        <v>166</v>
      </c>
      <c r="J129" s="56"/>
      <c r="K129" s="52">
        <v>0</v>
      </c>
      <c r="L129" s="52">
        <v>0</v>
      </c>
      <c r="M129" s="58" t="s">
        <v>166</v>
      </c>
      <c r="N129" s="52"/>
      <c r="O129" s="52"/>
      <c r="P129" s="54"/>
      <c r="Q129" s="54"/>
      <c r="R129" s="54"/>
      <c r="S129" s="54"/>
      <c r="T129" s="54"/>
      <c r="U129" s="54"/>
    </row>
    <row r="130" spans="1:21" ht="15" customHeight="1" x14ac:dyDescent="0.2">
      <c r="A130" s="74" t="s">
        <v>335</v>
      </c>
      <c r="B130" s="36" t="s">
        <v>161</v>
      </c>
      <c r="C130" s="49" t="s">
        <v>162</v>
      </c>
      <c r="D130" s="53" t="s">
        <v>194</v>
      </c>
      <c r="E130" s="36" t="s">
        <v>195</v>
      </c>
      <c r="F130" s="44" t="str">
        <f>IF(AND(ISNA(VLOOKUP(E130,DataType_Platform!A:A,1,FALSE())),ISNA(VLOOKUP(E130,BaseType!A:A,1,FALSE()))),"N","Y")</f>
        <v>Y</v>
      </c>
      <c r="G130" s="51"/>
      <c r="H130" s="57" t="s">
        <v>165</v>
      </c>
      <c r="I130" s="57" t="s">
        <v>166</v>
      </c>
      <c r="J130" s="56"/>
      <c r="K130" s="52">
        <v>0</v>
      </c>
      <c r="L130" s="52">
        <v>0</v>
      </c>
      <c r="M130" s="58" t="s">
        <v>166</v>
      </c>
      <c r="N130" s="52">
        <v>0</v>
      </c>
      <c r="O130" s="52">
        <v>0</v>
      </c>
      <c r="P130" s="54"/>
      <c r="Q130" s="54"/>
      <c r="R130" s="54"/>
      <c r="S130" s="54"/>
      <c r="T130" s="54"/>
      <c r="U130" s="54"/>
    </row>
    <row r="131" spans="1:21" ht="15" customHeight="1" x14ac:dyDescent="0.2">
      <c r="A131" s="74" t="s">
        <v>335</v>
      </c>
      <c r="B131" s="36" t="s">
        <v>161</v>
      </c>
      <c r="C131" s="49" t="s">
        <v>162</v>
      </c>
      <c r="D131" s="53" t="s">
        <v>339</v>
      </c>
      <c r="E131" s="36" t="s">
        <v>340</v>
      </c>
      <c r="F131" s="44" t="str">
        <f>IF(AND(ISNA(VLOOKUP(E131,DataType_Platform!A:A,1,FALSE())),ISNA(VLOOKUP(E131,BaseType!A:A,1,FALSE()))),"N","Y")</f>
        <v>Y</v>
      </c>
      <c r="G131" s="51"/>
      <c r="H131" s="57" t="s">
        <v>165</v>
      </c>
      <c r="I131" s="57" t="s">
        <v>166</v>
      </c>
      <c r="J131" s="56"/>
      <c r="K131" s="52">
        <v>0</v>
      </c>
      <c r="L131" s="52">
        <v>0</v>
      </c>
      <c r="M131" s="58" t="s">
        <v>166</v>
      </c>
      <c r="N131" s="52">
        <v>0</v>
      </c>
      <c r="O131" s="52">
        <v>0</v>
      </c>
      <c r="P131" s="54"/>
      <c r="Q131" s="54"/>
      <c r="R131" s="54"/>
      <c r="S131" s="54"/>
      <c r="T131" s="54"/>
      <c r="U131" s="54"/>
    </row>
    <row r="132" spans="1:21" ht="15" customHeight="1" x14ac:dyDescent="0.2">
      <c r="A132" s="74" t="s">
        <v>335</v>
      </c>
      <c r="B132" s="36" t="s">
        <v>161</v>
      </c>
      <c r="C132" s="49" t="s">
        <v>162</v>
      </c>
      <c r="D132" s="53" t="s">
        <v>196</v>
      </c>
      <c r="E132" s="36" t="s">
        <v>197</v>
      </c>
      <c r="F132" s="44" t="str">
        <f>IF(AND(ISNA(VLOOKUP(E132,DataType_Platform!A:A,1,FALSE())),ISNA(VLOOKUP(E132,BaseType!A:A,1,FALSE()))),"N","Y")</f>
        <v>Y</v>
      </c>
      <c r="G132" s="51"/>
      <c r="H132" s="57" t="s">
        <v>165</v>
      </c>
      <c r="I132" s="57" t="s">
        <v>166</v>
      </c>
      <c r="J132" s="56"/>
      <c r="K132" s="52">
        <v>0</v>
      </c>
      <c r="L132" s="52">
        <v>0</v>
      </c>
      <c r="M132" s="58" t="s">
        <v>166</v>
      </c>
      <c r="N132" s="52">
        <v>0</v>
      </c>
      <c r="O132" s="52">
        <v>0</v>
      </c>
      <c r="P132" s="54"/>
      <c r="Q132" s="54"/>
      <c r="R132" s="54"/>
      <c r="S132" s="54"/>
      <c r="T132" s="54"/>
      <c r="U132" s="54"/>
    </row>
    <row r="133" spans="1:21" ht="15" customHeight="1" x14ac:dyDescent="0.2">
      <c r="A133" s="72" t="s">
        <v>341</v>
      </c>
      <c r="B133" s="36" t="s">
        <v>189</v>
      </c>
      <c r="C133" s="49" t="s">
        <v>162</v>
      </c>
      <c r="D133" s="53" t="s">
        <v>183</v>
      </c>
      <c r="E133" s="50" t="s">
        <v>184</v>
      </c>
      <c r="F133" s="44" t="str">
        <f>IF(AND(ISNA(VLOOKUP(E133,DataType_Platform!A:A,1,FALSE())),ISNA(VLOOKUP(E133,BaseType!A:A,1,FALSE()))),"N","Y")</f>
        <v>Y</v>
      </c>
      <c r="G133" s="51"/>
      <c r="H133" s="57" t="s">
        <v>165</v>
      </c>
      <c r="I133" s="57" t="s">
        <v>166</v>
      </c>
      <c r="J133" s="56"/>
      <c r="K133" s="52">
        <v>0</v>
      </c>
      <c r="L133" s="52">
        <v>0</v>
      </c>
      <c r="M133" s="58" t="s">
        <v>166</v>
      </c>
      <c r="N133" s="52"/>
      <c r="O133" s="52"/>
      <c r="P133" s="54"/>
      <c r="Q133" s="54"/>
      <c r="R133" s="54"/>
      <c r="S133" s="54"/>
      <c r="T133" s="54"/>
      <c r="U133" s="54"/>
    </row>
    <row r="134" spans="1:21" ht="15" customHeight="1" x14ac:dyDescent="0.2">
      <c r="A134" s="72" t="s">
        <v>341</v>
      </c>
      <c r="B134" s="36" t="s">
        <v>189</v>
      </c>
      <c r="C134" s="49" t="s">
        <v>162</v>
      </c>
      <c r="D134" s="53" t="s">
        <v>192</v>
      </c>
      <c r="E134" s="36" t="s">
        <v>193</v>
      </c>
      <c r="F134" s="44" t="str">
        <f>IF(AND(ISNA(VLOOKUP(E134,DataType_Platform!A:A,1,FALSE())),ISNA(VLOOKUP(E134,BaseType!A:A,1,FALSE()))),"N","Y")</f>
        <v>Y</v>
      </c>
      <c r="G134" s="51"/>
      <c r="H134" s="57" t="s">
        <v>165</v>
      </c>
      <c r="I134" s="57" t="s">
        <v>166</v>
      </c>
      <c r="J134" s="56"/>
      <c r="K134" s="52">
        <v>0</v>
      </c>
      <c r="L134" s="52">
        <v>0</v>
      </c>
      <c r="M134" s="58" t="s">
        <v>166</v>
      </c>
      <c r="N134" s="52">
        <v>0</v>
      </c>
      <c r="O134" s="52">
        <v>0</v>
      </c>
      <c r="P134" s="54"/>
      <c r="Q134" s="54"/>
      <c r="R134" s="54"/>
      <c r="S134" s="54"/>
      <c r="T134" s="54"/>
      <c r="U134" s="54"/>
    </row>
    <row r="135" spans="1:21" ht="15" customHeight="1" x14ac:dyDescent="0.2">
      <c r="A135" s="72" t="s">
        <v>341</v>
      </c>
      <c r="B135" s="36" t="s">
        <v>189</v>
      </c>
      <c r="C135" s="49" t="s">
        <v>162</v>
      </c>
      <c r="D135" s="53" t="s">
        <v>186</v>
      </c>
      <c r="E135" s="50" t="s">
        <v>187</v>
      </c>
      <c r="F135" s="44" t="str">
        <f>IF(AND(ISNA(VLOOKUP(E135,DataType_Platform!A:A,1,FALSE())),ISNA(VLOOKUP(E135,BaseType!A:A,1,FALSE()))),"N","Y")</f>
        <v>Y</v>
      </c>
      <c r="G135" s="40"/>
      <c r="H135" s="56" t="s">
        <v>165</v>
      </c>
      <c r="I135" s="57" t="s">
        <v>166</v>
      </c>
      <c r="J135" s="57"/>
      <c r="K135" s="58"/>
      <c r="L135" s="58"/>
      <c r="M135" s="58"/>
      <c r="N135" s="58"/>
      <c r="O135" s="58"/>
      <c r="P135" s="54"/>
      <c r="Q135" s="54"/>
      <c r="R135" s="54"/>
      <c r="S135" s="54"/>
      <c r="T135" s="54"/>
      <c r="U135" s="54"/>
    </row>
    <row r="136" spans="1:21" ht="15" customHeight="1" x14ac:dyDescent="0.2">
      <c r="A136" s="72" t="s">
        <v>341</v>
      </c>
      <c r="B136" s="36" t="s">
        <v>189</v>
      </c>
      <c r="C136" s="49" t="s">
        <v>162</v>
      </c>
      <c r="D136" s="53" t="s">
        <v>253</v>
      </c>
      <c r="E136" s="36" t="s">
        <v>254</v>
      </c>
      <c r="F136" s="44" t="str">
        <f>IF(AND(ISNA(VLOOKUP(E136,DataType_Platform!A:A,1,FALSE())),ISNA(VLOOKUP(E136,BaseType!A:A,1,FALSE()))),"N","Y")</f>
        <v>Y</v>
      </c>
      <c r="G136" s="51"/>
      <c r="H136" s="57" t="s">
        <v>165</v>
      </c>
      <c r="I136" s="57" t="s">
        <v>166</v>
      </c>
      <c r="J136" s="56"/>
      <c r="K136" s="52">
        <v>0</v>
      </c>
      <c r="L136" s="52">
        <v>0</v>
      </c>
      <c r="M136" s="58" t="s">
        <v>166</v>
      </c>
      <c r="N136" s="52">
        <v>0</v>
      </c>
      <c r="O136" s="52">
        <v>0</v>
      </c>
      <c r="P136" s="54"/>
      <c r="Q136" s="54"/>
      <c r="R136" s="54"/>
      <c r="S136" s="54"/>
      <c r="T136" s="54"/>
      <c r="U136" s="54"/>
    </row>
    <row r="137" spans="1:21" ht="15" customHeight="1" x14ac:dyDescent="0.2">
      <c r="A137" s="72" t="s">
        <v>341</v>
      </c>
      <c r="B137" s="36" t="s">
        <v>189</v>
      </c>
      <c r="C137" s="49" t="s">
        <v>162</v>
      </c>
      <c r="D137" s="53" t="s">
        <v>257</v>
      </c>
      <c r="E137" s="36" t="s">
        <v>258</v>
      </c>
      <c r="F137" s="44" t="str">
        <f>IF(AND(ISNA(VLOOKUP(E137,DataType_Platform!A:A,1,FALSE())),ISNA(VLOOKUP(E137,BaseType!A:A,1,FALSE()))),"N","Y")</f>
        <v>Y</v>
      </c>
      <c r="G137" s="51"/>
      <c r="H137" s="57" t="s">
        <v>165</v>
      </c>
      <c r="I137" s="57" t="s">
        <v>166</v>
      </c>
      <c r="J137" s="56"/>
      <c r="K137" s="52">
        <v>0</v>
      </c>
      <c r="L137" s="52">
        <v>0</v>
      </c>
      <c r="M137" s="58" t="s">
        <v>166</v>
      </c>
      <c r="N137" s="52">
        <v>0</v>
      </c>
      <c r="O137" s="52">
        <v>0</v>
      </c>
      <c r="P137" s="54"/>
      <c r="Q137" s="54"/>
      <c r="R137" s="54"/>
      <c r="S137" s="54"/>
      <c r="T137" s="54"/>
      <c r="U137" s="54"/>
    </row>
    <row r="138" spans="1:21" ht="15" customHeight="1" x14ac:dyDescent="0.2">
      <c r="A138" s="72" t="s">
        <v>341</v>
      </c>
      <c r="B138" s="36" t="s">
        <v>189</v>
      </c>
      <c r="C138" s="49" t="s">
        <v>162</v>
      </c>
      <c r="D138" s="53" t="s">
        <v>255</v>
      </c>
      <c r="E138" s="36" t="s">
        <v>256</v>
      </c>
      <c r="F138" s="44" t="str">
        <f>IF(AND(ISNA(VLOOKUP(E138,DataType_Platform!A:A,1,FALSE())),ISNA(VLOOKUP(E138,BaseType!A:A,1,FALSE()))),"N","Y")</f>
        <v>Y</v>
      </c>
      <c r="G138" s="51"/>
      <c r="H138" s="57" t="s">
        <v>165</v>
      </c>
      <c r="I138" s="57" t="s">
        <v>166</v>
      </c>
      <c r="J138" s="56"/>
      <c r="K138" s="52">
        <v>0</v>
      </c>
      <c r="L138" s="52">
        <v>0</v>
      </c>
      <c r="M138" s="58" t="s">
        <v>166</v>
      </c>
      <c r="N138" s="52">
        <v>0</v>
      </c>
      <c r="O138" s="52">
        <v>0</v>
      </c>
      <c r="P138" s="54"/>
      <c r="Q138" s="54"/>
      <c r="R138" s="54"/>
      <c r="S138" s="54"/>
      <c r="T138" s="54"/>
      <c r="U138" s="54"/>
    </row>
    <row r="139" spans="1:21" ht="15" customHeight="1" x14ac:dyDescent="0.2">
      <c r="A139" s="72" t="s">
        <v>341</v>
      </c>
      <c r="B139" s="36" t="s">
        <v>189</v>
      </c>
      <c r="C139" s="49" t="s">
        <v>162</v>
      </c>
      <c r="D139" s="53" t="s">
        <v>249</v>
      </c>
      <c r="E139" s="36" t="s">
        <v>250</v>
      </c>
      <c r="F139" s="44" t="str">
        <f>IF(AND(ISNA(VLOOKUP(E139,DataType_Platform!A:A,1,FALSE())),ISNA(VLOOKUP(E139,BaseType!A:A,1,FALSE()))),"N","Y")</f>
        <v>Y</v>
      </c>
      <c r="G139" s="51"/>
      <c r="H139" s="57" t="s">
        <v>165</v>
      </c>
      <c r="I139" s="57" t="s">
        <v>166</v>
      </c>
      <c r="J139" s="56"/>
      <c r="K139" s="52">
        <v>0</v>
      </c>
      <c r="L139" s="52">
        <v>0</v>
      </c>
      <c r="M139" s="58" t="s">
        <v>166</v>
      </c>
      <c r="N139" s="52">
        <v>0</v>
      </c>
      <c r="O139" s="52">
        <v>0</v>
      </c>
      <c r="P139" s="54"/>
      <c r="Q139" s="54"/>
      <c r="R139" s="54"/>
      <c r="S139" s="54"/>
      <c r="T139" s="54"/>
      <c r="U139" s="54"/>
    </row>
    <row r="140" spans="1:21" ht="15" customHeight="1" x14ac:dyDescent="0.2">
      <c r="A140" s="72" t="s">
        <v>341</v>
      </c>
      <c r="B140" s="36" t="s">
        <v>189</v>
      </c>
      <c r="C140" s="49" t="s">
        <v>162</v>
      </c>
      <c r="D140" s="53" t="s">
        <v>247</v>
      </c>
      <c r="E140" s="36" t="s">
        <v>248</v>
      </c>
      <c r="F140" s="44" t="str">
        <f>IF(AND(ISNA(VLOOKUP(E140,DataType_Platform!A:A,1,FALSE())),ISNA(VLOOKUP(E140,BaseType!A:A,1,FALSE()))),"N","Y")</f>
        <v>Y</v>
      </c>
      <c r="G140" s="51"/>
      <c r="H140" s="57" t="s">
        <v>165</v>
      </c>
      <c r="I140" s="57" t="s">
        <v>166</v>
      </c>
      <c r="J140" s="56"/>
      <c r="K140" s="52">
        <v>0</v>
      </c>
      <c r="L140" s="52">
        <v>0</v>
      </c>
      <c r="M140" s="58" t="s">
        <v>166</v>
      </c>
      <c r="N140" s="52">
        <v>0</v>
      </c>
      <c r="O140" s="52">
        <v>0</v>
      </c>
      <c r="P140" s="54"/>
      <c r="Q140" s="54"/>
      <c r="R140" s="54"/>
      <c r="S140" s="54"/>
      <c r="T140" s="54"/>
      <c r="U140" s="54"/>
    </row>
    <row r="141" spans="1:21" ht="15" customHeight="1" x14ac:dyDescent="0.2">
      <c r="A141" s="72" t="s">
        <v>341</v>
      </c>
      <c r="B141" s="36" t="s">
        <v>189</v>
      </c>
      <c r="C141" s="49" t="s">
        <v>162</v>
      </c>
      <c r="D141" s="53" t="s">
        <v>251</v>
      </c>
      <c r="E141" s="36" t="s">
        <v>252</v>
      </c>
      <c r="F141" s="44" t="str">
        <f>IF(AND(ISNA(VLOOKUP(E141,DataType_Platform!A:A,1,FALSE())),ISNA(VLOOKUP(E141,BaseType!A:A,1,FALSE()))),"N","Y")</f>
        <v>Y</v>
      </c>
      <c r="G141" s="51"/>
      <c r="H141" s="57" t="s">
        <v>165</v>
      </c>
      <c r="I141" s="57" t="s">
        <v>166</v>
      </c>
      <c r="J141" s="56"/>
      <c r="K141" s="52">
        <v>0</v>
      </c>
      <c r="L141" s="52">
        <v>0</v>
      </c>
      <c r="M141" s="58" t="s">
        <v>166</v>
      </c>
      <c r="N141" s="52">
        <v>0</v>
      </c>
      <c r="O141" s="52">
        <v>0</v>
      </c>
      <c r="P141" s="54"/>
      <c r="Q141" s="54"/>
      <c r="R141" s="54"/>
      <c r="S141" s="54"/>
      <c r="T141" s="54"/>
      <c r="U141" s="54"/>
    </row>
    <row r="142" spans="1:21" ht="15" customHeight="1" x14ac:dyDescent="0.2">
      <c r="A142" s="72" t="s">
        <v>341</v>
      </c>
      <c r="B142" s="36" t="s">
        <v>189</v>
      </c>
      <c r="C142" s="49" t="s">
        <v>162</v>
      </c>
      <c r="D142" s="53" t="s">
        <v>259</v>
      </c>
      <c r="E142" s="36" t="s">
        <v>260</v>
      </c>
      <c r="F142" s="44" t="str">
        <f>IF(AND(ISNA(VLOOKUP(E142,DataType_Platform!A:A,1,FALSE())),ISNA(VLOOKUP(E142,BaseType!A:A,1,FALSE()))),"N","Y")</f>
        <v>Y</v>
      </c>
      <c r="G142" s="51"/>
      <c r="H142" s="57" t="s">
        <v>165</v>
      </c>
      <c r="I142" s="57" t="s">
        <v>166</v>
      </c>
      <c r="J142" s="56"/>
      <c r="K142" s="52">
        <v>0</v>
      </c>
      <c r="L142" s="52">
        <v>0</v>
      </c>
      <c r="M142" s="58" t="s">
        <v>166</v>
      </c>
      <c r="N142" s="52">
        <v>0</v>
      </c>
      <c r="O142" s="52">
        <v>0</v>
      </c>
      <c r="P142" s="54"/>
      <c r="Q142" s="54"/>
      <c r="R142" s="54"/>
      <c r="S142" s="54"/>
      <c r="T142" s="54"/>
      <c r="U142" s="54"/>
    </row>
    <row r="143" spans="1:21" ht="15" customHeight="1" x14ac:dyDescent="0.2">
      <c r="A143" s="72" t="s">
        <v>341</v>
      </c>
      <c r="B143" s="36" t="s">
        <v>189</v>
      </c>
      <c r="C143" s="49" t="s">
        <v>162</v>
      </c>
      <c r="D143" s="53" t="s">
        <v>265</v>
      </c>
      <c r="E143" s="36" t="s">
        <v>227</v>
      </c>
      <c r="F143" s="44" t="str">
        <f>IF(AND(ISNA(VLOOKUP(E143,DataType_Platform!A:A,1,FALSE())),ISNA(VLOOKUP(E143,BaseType!A:A,1,FALSE()))),"N","Y")</f>
        <v>Y</v>
      </c>
      <c r="G143" s="51"/>
      <c r="H143" s="57" t="s">
        <v>165</v>
      </c>
      <c r="I143" s="57" t="s">
        <v>166</v>
      </c>
      <c r="J143" s="56"/>
      <c r="K143" s="52">
        <v>0</v>
      </c>
      <c r="L143" s="52">
        <v>0</v>
      </c>
      <c r="M143" s="58" t="s">
        <v>166</v>
      </c>
      <c r="N143" s="52">
        <v>0</v>
      </c>
      <c r="O143" s="52">
        <v>0</v>
      </c>
      <c r="P143" s="54"/>
      <c r="Q143" s="54"/>
      <c r="R143" s="54"/>
      <c r="S143" s="54"/>
      <c r="T143" s="54"/>
      <c r="U143" s="54"/>
    </row>
    <row r="144" spans="1:21" ht="15" customHeight="1" x14ac:dyDescent="0.2">
      <c r="A144" s="72" t="s">
        <v>341</v>
      </c>
      <c r="B144" s="36" t="s">
        <v>189</v>
      </c>
      <c r="C144" s="49" t="s">
        <v>162</v>
      </c>
      <c r="D144" s="53" t="s">
        <v>267</v>
      </c>
      <c r="E144" s="36" t="s">
        <v>193</v>
      </c>
      <c r="F144" s="44" t="str">
        <f>IF(AND(ISNA(VLOOKUP(E144,DataType_Platform!A:A,1,FALSE())),ISNA(VLOOKUP(E144,BaseType!A:A,1,FALSE()))),"N","Y")</f>
        <v>Y</v>
      </c>
      <c r="G144" s="51"/>
      <c r="H144" s="57" t="s">
        <v>165</v>
      </c>
      <c r="I144" s="57" t="s">
        <v>166</v>
      </c>
      <c r="J144" s="56"/>
      <c r="K144" s="52">
        <v>0</v>
      </c>
      <c r="L144" s="52">
        <v>0</v>
      </c>
      <c r="M144" s="58" t="s">
        <v>166</v>
      </c>
      <c r="N144" s="52">
        <v>0</v>
      </c>
      <c r="O144" s="52">
        <v>0</v>
      </c>
      <c r="P144" s="54"/>
      <c r="Q144" s="54"/>
      <c r="R144" s="54"/>
      <c r="S144" s="54"/>
      <c r="T144" s="54"/>
      <c r="U144" s="54"/>
    </row>
    <row r="145" spans="1:21" ht="15" customHeight="1" x14ac:dyDescent="0.2">
      <c r="A145" s="72" t="s">
        <v>341</v>
      </c>
      <c r="B145" s="36" t="s">
        <v>189</v>
      </c>
      <c r="C145" s="49" t="s">
        <v>162</v>
      </c>
      <c r="D145" s="53" t="s">
        <v>268</v>
      </c>
      <c r="E145" s="36" t="s">
        <v>193</v>
      </c>
      <c r="F145" s="44" t="str">
        <f>IF(AND(ISNA(VLOOKUP(E145,DataType_Platform!A:A,1,FALSE())),ISNA(VLOOKUP(E145,BaseType!A:A,1,FALSE()))),"N","Y")</f>
        <v>Y</v>
      </c>
      <c r="G145" s="51"/>
      <c r="H145" s="57" t="s">
        <v>165</v>
      </c>
      <c r="I145" s="57" t="s">
        <v>166</v>
      </c>
      <c r="J145" s="56"/>
      <c r="K145" s="52">
        <v>0</v>
      </c>
      <c r="L145" s="52">
        <v>0</v>
      </c>
      <c r="M145" s="58" t="s">
        <v>166</v>
      </c>
      <c r="N145" s="52">
        <v>0</v>
      </c>
      <c r="O145" s="52">
        <v>0</v>
      </c>
      <c r="P145" s="54"/>
      <c r="Q145" s="54"/>
      <c r="R145" s="54"/>
      <c r="S145" s="54"/>
      <c r="T145" s="54"/>
      <c r="U145" s="54"/>
    </row>
    <row r="146" spans="1:21" ht="15" customHeight="1" x14ac:dyDescent="0.2">
      <c r="A146" s="72" t="s">
        <v>341</v>
      </c>
      <c r="B146" s="36" t="s">
        <v>189</v>
      </c>
      <c r="C146" s="49" t="s">
        <v>162</v>
      </c>
      <c r="D146" s="53" t="s">
        <v>269</v>
      </c>
      <c r="E146" s="36" t="s">
        <v>193</v>
      </c>
      <c r="F146" s="44" t="str">
        <f>IF(AND(ISNA(VLOOKUP(E146,DataType_Platform!A:A,1,FALSE())),ISNA(VLOOKUP(E146,BaseType!A:A,1,FALSE()))),"N","Y")</f>
        <v>Y</v>
      </c>
      <c r="G146" s="51"/>
      <c r="H146" s="57" t="s">
        <v>165</v>
      </c>
      <c r="I146" s="57" t="s">
        <v>166</v>
      </c>
      <c r="J146" s="56"/>
      <c r="K146" s="52">
        <v>0</v>
      </c>
      <c r="L146" s="52">
        <v>0</v>
      </c>
      <c r="M146" s="58" t="s">
        <v>166</v>
      </c>
      <c r="N146" s="52">
        <v>0</v>
      </c>
      <c r="O146" s="52">
        <v>0</v>
      </c>
      <c r="P146" s="54"/>
      <c r="Q146" s="54"/>
      <c r="R146" s="54"/>
      <c r="S146" s="54"/>
      <c r="T146" s="54"/>
      <c r="U146" s="54"/>
    </row>
    <row r="147" spans="1:21" ht="15" customHeight="1" x14ac:dyDescent="0.2">
      <c r="A147" s="72" t="s">
        <v>341</v>
      </c>
      <c r="B147" s="89" t="s">
        <v>189</v>
      </c>
      <c r="C147" s="101" t="s">
        <v>162</v>
      </c>
      <c r="D147" s="68" t="s">
        <v>273</v>
      </c>
      <c r="E147" s="102" t="s">
        <v>274</v>
      </c>
      <c r="F147" s="44" t="str">
        <f>IF(AND(ISNA(VLOOKUP(E147,DataType_Platform!A:A,1,FALSE())),ISNA(VLOOKUP(E147,BaseType!A:A,1,FALSE()))),"N","Y")</f>
        <v>Y</v>
      </c>
      <c r="G147" s="89" t="s">
        <v>275</v>
      </c>
      <c r="H147" s="46" t="s">
        <v>165</v>
      </c>
      <c r="I147" s="56" t="s">
        <v>166</v>
      </c>
      <c r="J147" s="56"/>
      <c r="K147" s="81"/>
      <c r="L147" s="81"/>
      <c r="M147" s="81"/>
      <c r="N147" s="81"/>
      <c r="O147" s="81"/>
    </row>
    <row r="148" spans="1:21" ht="15" customHeight="1" x14ac:dyDescent="0.2">
      <c r="A148" s="72" t="s">
        <v>341</v>
      </c>
      <c r="B148" s="36" t="s">
        <v>189</v>
      </c>
      <c r="C148" s="49" t="s">
        <v>162</v>
      </c>
      <c r="D148" s="53" t="s">
        <v>281</v>
      </c>
      <c r="E148" s="36" t="s">
        <v>225</v>
      </c>
      <c r="F148" s="44" t="str">
        <f>IF(AND(ISNA(VLOOKUP(E148,DataType_Platform!A:A,1,FALSE())),ISNA(VLOOKUP(E148,BaseType!A:A,1,FALSE()))),"N","Y")</f>
        <v>Y</v>
      </c>
      <c r="G148" s="51"/>
      <c r="H148" s="57" t="s">
        <v>165</v>
      </c>
      <c r="I148" s="57" t="s">
        <v>166</v>
      </c>
      <c r="J148" s="56"/>
      <c r="K148" s="52">
        <v>0</v>
      </c>
      <c r="L148" s="52">
        <v>0</v>
      </c>
      <c r="M148" s="58" t="s">
        <v>166</v>
      </c>
      <c r="N148" s="52">
        <v>0</v>
      </c>
      <c r="O148" s="52">
        <v>0</v>
      </c>
      <c r="P148" s="54"/>
      <c r="Q148" s="54"/>
      <c r="R148" s="54"/>
      <c r="S148" s="54"/>
      <c r="T148" s="54"/>
      <c r="U148" s="54"/>
    </row>
    <row r="149" spans="1:21" ht="15" customHeight="1" x14ac:dyDescent="0.2">
      <c r="A149" s="72" t="s">
        <v>341</v>
      </c>
      <c r="B149" s="36" t="s">
        <v>189</v>
      </c>
      <c r="C149" s="49" t="s">
        <v>162</v>
      </c>
      <c r="D149" s="53" t="s">
        <v>287</v>
      </c>
      <c r="E149" s="36" t="s">
        <v>225</v>
      </c>
      <c r="F149" s="44" t="str">
        <f>IF(AND(ISNA(VLOOKUP(E149,DataType_Platform!A:A,1,FALSE())),ISNA(VLOOKUP(E149,BaseType!A:A,1,FALSE()))),"N","Y")</f>
        <v>Y</v>
      </c>
      <c r="G149" s="51"/>
      <c r="H149" s="57" t="s">
        <v>165</v>
      </c>
      <c r="I149" s="57" t="s">
        <v>166</v>
      </c>
      <c r="J149" s="56"/>
      <c r="K149" s="52">
        <v>0</v>
      </c>
      <c r="L149" s="52">
        <v>0</v>
      </c>
      <c r="M149" s="58" t="s">
        <v>166</v>
      </c>
      <c r="N149" s="52">
        <v>0</v>
      </c>
      <c r="O149" s="52">
        <v>0</v>
      </c>
      <c r="P149" s="54"/>
      <c r="Q149" s="54"/>
      <c r="R149" s="54"/>
      <c r="S149" s="54"/>
      <c r="T149" s="54"/>
      <c r="U149" s="54"/>
    </row>
    <row r="150" spans="1:21" ht="15" customHeight="1" x14ac:dyDescent="0.2">
      <c r="A150" s="72" t="s">
        <v>341</v>
      </c>
      <c r="B150" s="36" t="s">
        <v>189</v>
      </c>
      <c r="C150" s="49" t="s">
        <v>162</v>
      </c>
      <c r="D150" s="53" t="s">
        <v>282</v>
      </c>
      <c r="E150" s="36" t="s">
        <v>225</v>
      </c>
      <c r="F150" s="44" t="str">
        <f>IF(AND(ISNA(VLOOKUP(E150,DataType_Platform!A:A,1,FALSE())),ISNA(VLOOKUP(E150,BaseType!A:A,1,FALSE()))),"N","Y")</f>
        <v>Y</v>
      </c>
      <c r="G150" s="51"/>
      <c r="H150" s="57" t="s">
        <v>165</v>
      </c>
      <c r="I150" s="57" t="s">
        <v>166</v>
      </c>
      <c r="J150" s="56"/>
      <c r="K150" s="52">
        <v>0</v>
      </c>
      <c r="L150" s="52">
        <v>0</v>
      </c>
      <c r="M150" s="58" t="s">
        <v>166</v>
      </c>
      <c r="N150" s="52">
        <v>0</v>
      </c>
      <c r="O150" s="52">
        <v>0</v>
      </c>
      <c r="P150" s="54"/>
      <c r="Q150" s="54"/>
      <c r="R150" s="54"/>
      <c r="S150" s="54"/>
      <c r="T150" s="54"/>
      <c r="U150" s="54"/>
    </row>
    <row r="151" spans="1:21" ht="15" customHeight="1" x14ac:dyDescent="0.2">
      <c r="A151" s="72" t="s">
        <v>341</v>
      </c>
      <c r="B151" s="36" t="s">
        <v>189</v>
      </c>
      <c r="C151" s="49" t="s">
        <v>162</v>
      </c>
      <c r="D151" s="53" t="s">
        <v>289</v>
      </c>
      <c r="E151" s="36" t="s">
        <v>225</v>
      </c>
      <c r="F151" s="44" t="str">
        <f>IF(AND(ISNA(VLOOKUP(E151,DataType_Platform!A:A,1,FALSE())),ISNA(VLOOKUP(E151,BaseType!A:A,1,FALSE()))),"N","Y")</f>
        <v>Y</v>
      </c>
      <c r="G151" s="51"/>
      <c r="H151" s="57" t="s">
        <v>165</v>
      </c>
      <c r="I151" s="57" t="s">
        <v>166</v>
      </c>
      <c r="J151" s="56"/>
      <c r="K151" s="52">
        <v>0</v>
      </c>
      <c r="L151" s="52">
        <v>0</v>
      </c>
      <c r="M151" s="58" t="s">
        <v>166</v>
      </c>
      <c r="N151" s="52">
        <v>0</v>
      </c>
      <c r="O151" s="52">
        <v>0</v>
      </c>
      <c r="P151" s="54"/>
      <c r="Q151" s="54"/>
      <c r="R151" s="54"/>
      <c r="S151" s="54"/>
      <c r="T151" s="54"/>
      <c r="U151" s="54"/>
    </row>
    <row r="152" spans="1:21" ht="15" customHeight="1" x14ac:dyDescent="0.2">
      <c r="A152" s="72" t="s">
        <v>341</v>
      </c>
      <c r="B152" s="36" t="s">
        <v>189</v>
      </c>
      <c r="C152" s="49" t="s">
        <v>162</v>
      </c>
      <c r="D152" s="53" t="s">
        <v>286</v>
      </c>
      <c r="E152" s="36" t="s">
        <v>225</v>
      </c>
      <c r="F152" s="44" t="str">
        <f>IF(AND(ISNA(VLOOKUP(E152,DataType_Platform!A:A,1,FALSE())),ISNA(VLOOKUP(E152,BaseType!A:A,1,FALSE()))),"N","Y")</f>
        <v>Y</v>
      </c>
      <c r="G152" s="51"/>
      <c r="H152" s="57" t="s">
        <v>165</v>
      </c>
      <c r="I152" s="57" t="s">
        <v>166</v>
      </c>
      <c r="J152" s="56"/>
      <c r="K152" s="52">
        <v>0</v>
      </c>
      <c r="L152" s="52">
        <v>0</v>
      </c>
      <c r="M152" s="58" t="s">
        <v>166</v>
      </c>
      <c r="N152" s="52">
        <v>0</v>
      </c>
      <c r="O152" s="52">
        <v>0</v>
      </c>
      <c r="P152" s="54"/>
      <c r="Q152" s="54"/>
      <c r="R152" s="54"/>
      <c r="S152" s="54"/>
      <c r="T152" s="54"/>
      <c r="U152" s="54"/>
    </row>
    <row r="153" spans="1:21" ht="15" customHeight="1" x14ac:dyDescent="0.2">
      <c r="A153" s="72" t="s">
        <v>341</v>
      </c>
      <c r="B153" s="36" t="s">
        <v>189</v>
      </c>
      <c r="C153" s="49" t="s">
        <v>162</v>
      </c>
      <c r="D153" s="53" t="s">
        <v>292</v>
      </c>
      <c r="E153" s="36" t="s">
        <v>293</v>
      </c>
      <c r="F153" s="44" t="str">
        <f>IF(AND(ISNA(VLOOKUP(E153,DataType_Platform!A:A,1,FALSE())),ISNA(VLOOKUP(E153,BaseType!A:A,1,FALSE()))),"N","Y")</f>
        <v>Y</v>
      </c>
      <c r="G153" s="51"/>
      <c r="H153" s="57" t="s">
        <v>165</v>
      </c>
      <c r="I153" s="57" t="s">
        <v>166</v>
      </c>
      <c r="J153" s="56"/>
      <c r="K153" s="52">
        <v>0</v>
      </c>
      <c r="L153" s="52">
        <v>0</v>
      </c>
      <c r="M153" s="58" t="s">
        <v>166</v>
      </c>
      <c r="N153" s="52">
        <v>0</v>
      </c>
      <c r="O153" s="52">
        <v>0</v>
      </c>
      <c r="P153" s="54"/>
      <c r="Q153" s="54"/>
      <c r="R153" s="54"/>
      <c r="S153" s="54"/>
      <c r="T153" s="54"/>
      <c r="U153" s="54"/>
    </row>
    <row r="154" spans="1:21" ht="15" customHeight="1" x14ac:dyDescent="0.2">
      <c r="A154" s="72" t="s">
        <v>341</v>
      </c>
      <c r="B154" s="36" t="s">
        <v>189</v>
      </c>
      <c r="C154" s="49" t="s">
        <v>162</v>
      </c>
      <c r="D154" s="53" t="s">
        <v>342</v>
      </c>
      <c r="E154" s="36" t="s">
        <v>343</v>
      </c>
      <c r="F154" s="44" t="str">
        <f>IF(AND(ISNA(VLOOKUP(E154,DataType_Platform!A:A,1,FALSE())),ISNA(VLOOKUP(E154,BaseType!A:A,1,FALSE()))),"N","Y")</f>
        <v>Y</v>
      </c>
      <c r="G154" s="51"/>
      <c r="H154" s="57" t="s">
        <v>165</v>
      </c>
      <c r="I154" s="57" t="s">
        <v>166</v>
      </c>
      <c r="J154" s="56"/>
      <c r="K154" s="52">
        <v>0</v>
      </c>
      <c r="L154" s="52">
        <v>0</v>
      </c>
      <c r="M154" s="58" t="s">
        <v>166</v>
      </c>
      <c r="N154" s="52">
        <v>0</v>
      </c>
      <c r="O154" s="52">
        <v>0</v>
      </c>
      <c r="P154" s="54"/>
      <c r="Q154" s="54"/>
      <c r="R154" s="54"/>
      <c r="S154" s="54"/>
      <c r="T154" s="54"/>
      <c r="U154" s="54"/>
    </row>
    <row r="155" spans="1:21" ht="15" customHeight="1" x14ac:dyDescent="0.2">
      <c r="A155" s="72" t="s">
        <v>341</v>
      </c>
      <c r="B155" s="36" t="s">
        <v>189</v>
      </c>
      <c r="C155" s="49" t="s">
        <v>162</v>
      </c>
      <c r="D155" s="53" t="s">
        <v>336</v>
      </c>
      <c r="E155" s="36" t="s">
        <v>337</v>
      </c>
      <c r="F155" s="44" t="str">
        <f>IF(AND(ISNA(VLOOKUP(E155,DataType_Platform!A:A,1,FALSE())),ISNA(VLOOKUP(E155,BaseType!A:A,1,FALSE()))),"N","Y")</f>
        <v>Y</v>
      </c>
      <c r="G155" s="51"/>
      <c r="H155" s="57" t="s">
        <v>165</v>
      </c>
      <c r="I155" s="57" t="s">
        <v>166</v>
      </c>
      <c r="J155" s="56"/>
      <c r="K155" s="52">
        <v>0</v>
      </c>
      <c r="L155" s="52">
        <v>0</v>
      </c>
      <c r="M155" s="58" t="s">
        <v>166</v>
      </c>
      <c r="N155" s="52">
        <v>0</v>
      </c>
      <c r="O155" s="52">
        <v>0</v>
      </c>
      <c r="P155" s="54"/>
      <c r="Q155" s="54"/>
      <c r="R155" s="54"/>
      <c r="S155" s="54"/>
      <c r="T155" s="54"/>
      <c r="U155" s="54"/>
    </row>
    <row r="156" spans="1:21" ht="15" customHeight="1" x14ac:dyDescent="0.2">
      <c r="A156" s="72" t="s">
        <v>341</v>
      </c>
      <c r="B156" s="36" t="s">
        <v>189</v>
      </c>
      <c r="C156" s="49" t="s">
        <v>162</v>
      </c>
      <c r="D156" s="53" t="s">
        <v>204</v>
      </c>
      <c r="E156" s="36" t="s">
        <v>205</v>
      </c>
      <c r="F156" s="44" t="str">
        <f>IF(AND(ISNA(VLOOKUP(E156,DataType_Platform!A:A,1,FALSE())),ISNA(VLOOKUP(E156,BaseType!A:A,1,FALSE()))),"N","Y")</f>
        <v>Y</v>
      </c>
      <c r="G156" s="51"/>
      <c r="H156" s="57" t="s">
        <v>165</v>
      </c>
      <c r="I156" s="57" t="s">
        <v>166</v>
      </c>
      <c r="J156" s="56"/>
      <c r="K156" s="52">
        <v>0</v>
      </c>
      <c r="L156" s="52">
        <v>0</v>
      </c>
      <c r="M156" s="58" t="s">
        <v>166</v>
      </c>
      <c r="N156" s="52">
        <v>0</v>
      </c>
      <c r="O156" s="52">
        <v>0</v>
      </c>
      <c r="P156" s="54"/>
      <c r="Q156" s="54"/>
      <c r="R156" s="54"/>
      <c r="S156" s="54"/>
      <c r="T156" s="54"/>
      <c r="U156" s="54"/>
    </row>
    <row r="157" spans="1:21" ht="15" customHeight="1" x14ac:dyDescent="0.2">
      <c r="A157" s="72" t="s">
        <v>341</v>
      </c>
      <c r="B157" s="36" t="s">
        <v>189</v>
      </c>
      <c r="C157" s="49" t="s">
        <v>162</v>
      </c>
      <c r="D157" s="53" t="s">
        <v>202</v>
      </c>
      <c r="E157" s="36" t="s">
        <v>203</v>
      </c>
      <c r="F157" s="44" t="str">
        <f>IF(AND(ISNA(VLOOKUP(E157,DataType_Platform!A:A,1,FALSE())),ISNA(VLOOKUP(E157,BaseType!A:A,1,FALSE()))),"N","Y")</f>
        <v>Y</v>
      </c>
      <c r="G157" s="51"/>
      <c r="H157" s="57" t="s">
        <v>165</v>
      </c>
      <c r="I157" s="57" t="s">
        <v>166</v>
      </c>
      <c r="J157" s="56"/>
      <c r="K157" s="52">
        <v>0</v>
      </c>
      <c r="L157" s="52">
        <v>0</v>
      </c>
      <c r="M157" s="58" t="s">
        <v>166</v>
      </c>
      <c r="N157" s="52">
        <v>0</v>
      </c>
      <c r="O157" s="52">
        <v>0</v>
      </c>
      <c r="P157" s="54"/>
      <c r="Q157" s="54"/>
      <c r="R157" s="54"/>
      <c r="S157" s="54"/>
      <c r="T157" s="54"/>
      <c r="U157" s="54"/>
    </row>
    <row r="158" spans="1:21" ht="15" customHeight="1" x14ac:dyDescent="0.2">
      <c r="A158" s="72" t="s">
        <v>341</v>
      </c>
      <c r="B158" s="36" t="s">
        <v>189</v>
      </c>
      <c r="C158" s="49" t="s">
        <v>162</v>
      </c>
      <c r="D158" s="53" t="s">
        <v>299</v>
      </c>
      <c r="E158" s="53" t="s">
        <v>300</v>
      </c>
      <c r="F158" s="44" t="str">
        <f>IF(AND(ISNA(VLOOKUP(E158,DataType_Platform!A:A,1,FALSE())),ISNA(VLOOKUP(E158,BaseType!A:A,1,FALSE()))),"N","Y")</f>
        <v>Y</v>
      </c>
      <c r="G158" s="51"/>
      <c r="H158" s="57" t="s">
        <v>165</v>
      </c>
      <c r="I158" s="57" t="s">
        <v>166</v>
      </c>
      <c r="J158" s="56"/>
      <c r="K158" s="52">
        <v>0</v>
      </c>
      <c r="L158" s="52">
        <v>0</v>
      </c>
      <c r="M158" s="58" t="s">
        <v>166</v>
      </c>
      <c r="N158" s="52">
        <v>0</v>
      </c>
      <c r="O158" s="52">
        <v>0</v>
      </c>
      <c r="P158" s="54"/>
      <c r="Q158" s="54"/>
      <c r="R158" s="54"/>
      <c r="S158" s="54"/>
      <c r="T158" s="54"/>
      <c r="U158" s="54"/>
    </row>
    <row r="159" spans="1:21" ht="15" customHeight="1" x14ac:dyDescent="0.2">
      <c r="A159" s="72" t="s">
        <v>341</v>
      </c>
      <c r="B159" s="36" t="s">
        <v>189</v>
      </c>
      <c r="C159" s="49" t="s">
        <v>162</v>
      </c>
      <c r="D159" s="68" t="s">
        <v>198</v>
      </c>
      <c r="E159" s="68" t="s">
        <v>199</v>
      </c>
      <c r="F159" s="44" t="str">
        <f>IF(AND(ISNA(VLOOKUP(E159,DataType_Platform!A:A,1,FALSE())),ISNA(VLOOKUP(E159,BaseType!A:A,1,FALSE()))),"N","Y")</f>
        <v>Y</v>
      </c>
      <c r="G159" s="80"/>
      <c r="H159" s="57" t="s">
        <v>165</v>
      </c>
      <c r="I159" s="57" t="s">
        <v>166</v>
      </c>
      <c r="J159" s="56"/>
      <c r="K159" s="52">
        <v>0</v>
      </c>
      <c r="L159" s="52">
        <v>0</v>
      </c>
      <c r="M159" s="58" t="s">
        <v>166</v>
      </c>
      <c r="N159" s="52">
        <v>0</v>
      </c>
      <c r="O159" s="52">
        <v>0</v>
      </c>
      <c r="P159" s="63"/>
      <c r="Q159" s="63"/>
      <c r="R159" s="63"/>
      <c r="S159" s="63"/>
      <c r="T159" s="63"/>
      <c r="U159" s="63"/>
    </row>
    <row r="160" spans="1:21" ht="15" customHeight="1" x14ac:dyDescent="0.2">
      <c r="A160" s="72" t="s">
        <v>341</v>
      </c>
      <c r="B160" s="36" t="s">
        <v>189</v>
      </c>
      <c r="C160" s="49" t="s">
        <v>162</v>
      </c>
      <c r="D160" s="53" t="s">
        <v>344</v>
      </c>
      <c r="E160" s="36" t="s">
        <v>345</v>
      </c>
      <c r="F160" s="44" t="str">
        <f>IF(AND(ISNA(VLOOKUP(E160,DataType_Platform!A:A,1,FALSE())),ISNA(VLOOKUP(E160,BaseType!A:A,1,FALSE()))),"N","Y")</f>
        <v>Y</v>
      </c>
      <c r="G160" s="51"/>
      <c r="H160" s="57" t="s">
        <v>165</v>
      </c>
      <c r="I160" s="57" t="s">
        <v>166</v>
      </c>
      <c r="J160" s="56"/>
      <c r="K160" s="52">
        <v>0</v>
      </c>
      <c r="L160" s="52">
        <v>0</v>
      </c>
      <c r="M160" s="58" t="s">
        <v>166</v>
      </c>
      <c r="N160" s="52">
        <v>0</v>
      </c>
      <c r="O160" s="52">
        <v>0</v>
      </c>
      <c r="P160" s="54"/>
      <c r="Q160" s="54"/>
      <c r="R160" s="54"/>
      <c r="S160" s="54"/>
      <c r="T160" s="54"/>
      <c r="U160" s="54"/>
    </row>
    <row r="161" spans="1:21" ht="15" customHeight="1" x14ac:dyDescent="0.2">
      <c r="A161" s="72" t="s">
        <v>341</v>
      </c>
      <c r="B161" s="36" t="s">
        <v>189</v>
      </c>
      <c r="C161" s="49" t="s">
        <v>162</v>
      </c>
      <c r="D161" s="53" t="s">
        <v>326</v>
      </c>
      <c r="E161" s="36" t="s">
        <v>327</v>
      </c>
      <c r="F161" s="44" t="str">
        <f>IF(AND(ISNA(VLOOKUP(E161,DataType_Platform!A:A,1,FALSE())),ISNA(VLOOKUP(E161,BaseType!A:A,1,FALSE()))),"N","Y")</f>
        <v>Y</v>
      </c>
      <c r="G161" s="51"/>
      <c r="H161" s="57" t="s">
        <v>165</v>
      </c>
      <c r="I161" s="57" t="s">
        <v>166</v>
      </c>
      <c r="J161" s="56"/>
      <c r="K161" s="52">
        <v>0</v>
      </c>
      <c r="L161" s="52">
        <v>0</v>
      </c>
      <c r="M161" s="58" t="s">
        <v>166</v>
      </c>
      <c r="N161" s="52">
        <v>0</v>
      </c>
      <c r="O161" s="52">
        <v>0</v>
      </c>
      <c r="P161" s="54"/>
      <c r="Q161" s="54"/>
      <c r="R161" s="54"/>
      <c r="S161" s="54"/>
      <c r="T161" s="54"/>
      <c r="U161" s="54"/>
    </row>
    <row r="162" spans="1:21" ht="15" customHeight="1" x14ac:dyDescent="0.2">
      <c r="A162" s="72" t="s">
        <v>341</v>
      </c>
      <c r="B162" s="36" t="s">
        <v>189</v>
      </c>
      <c r="C162" s="49" t="s">
        <v>162</v>
      </c>
      <c r="D162" s="53" t="s">
        <v>324</v>
      </c>
      <c r="E162" s="36" t="s">
        <v>325</v>
      </c>
      <c r="F162" s="44" t="str">
        <f>IF(AND(ISNA(VLOOKUP(E162,DataType_Platform!A:A,1,FALSE())),ISNA(VLOOKUP(E162,BaseType!A:A,1,FALSE()))),"N","Y")</f>
        <v>Y</v>
      </c>
      <c r="G162" s="51"/>
      <c r="H162" s="57" t="s">
        <v>165</v>
      </c>
      <c r="I162" s="57" t="s">
        <v>166</v>
      </c>
      <c r="J162" s="56"/>
      <c r="K162" s="52">
        <v>0</v>
      </c>
      <c r="L162" s="52">
        <v>0</v>
      </c>
      <c r="M162" s="58" t="s">
        <v>166</v>
      </c>
      <c r="N162" s="52">
        <v>0</v>
      </c>
      <c r="O162" s="52">
        <v>0</v>
      </c>
      <c r="P162" s="54"/>
      <c r="Q162" s="54"/>
      <c r="R162" s="54"/>
      <c r="S162" s="54"/>
      <c r="T162" s="54"/>
      <c r="U162" s="54"/>
    </row>
    <row r="163" spans="1:21" ht="15" customHeight="1" x14ac:dyDescent="0.2">
      <c r="A163" s="72" t="s">
        <v>341</v>
      </c>
      <c r="B163" s="36" t="s">
        <v>189</v>
      </c>
      <c r="C163" s="49" t="s">
        <v>162</v>
      </c>
      <c r="D163" s="53" t="s">
        <v>328</v>
      </c>
      <c r="E163" s="63" t="s">
        <v>329</v>
      </c>
      <c r="F163" s="44" t="str">
        <f>IF(AND(ISNA(VLOOKUP(E163,DataType_Platform!A:A,1,FALSE())),ISNA(VLOOKUP(E163,BaseType!A:A,1,FALSE()))),"N","Y")</f>
        <v>Y</v>
      </c>
      <c r="G163" s="51"/>
      <c r="H163" s="57" t="s">
        <v>165</v>
      </c>
      <c r="I163" s="57" t="s">
        <v>166</v>
      </c>
      <c r="J163" s="56"/>
      <c r="K163" s="52">
        <v>0</v>
      </c>
      <c r="L163" s="52">
        <v>0</v>
      </c>
      <c r="M163" s="58" t="s">
        <v>166</v>
      </c>
      <c r="N163" s="52">
        <v>0</v>
      </c>
      <c r="O163" s="52">
        <v>0</v>
      </c>
      <c r="P163" s="54"/>
      <c r="Q163" s="54"/>
      <c r="R163" s="54"/>
      <c r="S163" s="54"/>
      <c r="T163" s="54"/>
      <c r="U163" s="54"/>
    </row>
    <row r="164" spans="1:21" ht="15" customHeight="1" x14ac:dyDescent="0.2">
      <c r="A164" s="72" t="s">
        <v>341</v>
      </c>
      <c r="B164" s="36" t="s">
        <v>189</v>
      </c>
      <c r="C164" s="49" t="s">
        <v>162</v>
      </c>
      <c r="D164" s="53" t="s">
        <v>330</v>
      </c>
      <c r="E164" s="36" t="s">
        <v>331</v>
      </c>
      <c r="F164" s="44" t="str">
        <f>IF(AND(ISNA(VLOOKUP(E164,DataType_Platform!A:A,1,FALSE())),ISNA(VLOOKUP(E164,BaseType!A:A,1,FALSE()))),"N","Y")</f>
        <v>Y</v>
      </c>
      <c r="G164" s="51"/>
      <c r="H164" s="57" t="s">
        <v>165</v>
      </c>
      <c r="I164" s="57" t="s">
        <v>166</v>
      </c>
      <c r="J164" s="56"/>
      <c r="K164" s="52"/>
      <c r="L164" s="52"/>
      <c r="M164" s="58"/>
      <c r="N164" s="52"/>
      <c r="O164" s="52"/>
      <c r="P164" s="54"/>
      <c r="Q164" s="54"/>
      <c r="R164" s="54"/>
      <c r="S164" s="54"/>
      <c r="T164" s="54"/>
      <c r="U164" s="54"/>
    </row>
    <row r="165" spans="1:21" ht="15" customHeight="1" x14ac:dyDescent="0.2">
      <c r="A165" s="72" t="s">
        <v>341</v>
      </c>
      <c r="B165" s="36" t="s">
        <v>189</v>
      </c>
      <c r="C165" s="49" t="s">
        <v>162</v>
      </c>
      <c r="D165" s="80" t="s">
        <v>346</v>
      </c>
      <c r="E165" s="63" t="s">
        <v>347</v>
      </c>
      <c r="F165" s="44" t="str">
        <f>IF(AND(ISNA(VLOOKUP(E165,DataType_Platform!A:A,1,FALSE())),ISNA(VLOOKUP(E165,BaseType!A:A,1,FALSE()))),"N","Y")</f>
        <v>Y</v>
      </c>
      <c r="G165" s="75"/>
      <c r="H165" s="57" t="s">
        <v>165</v>
      </c>
      <c r="I165" s="57" t="s">
        <v>166</v>
      </c>
      <c r="J165" s="56"/>
      <c r="K165" s="58">
        <v>0</v>
      </c>
      <c r="L165" s="58">
        <v>0</v>
      </c>
      <c r="M165" s="58" t="s">
        <v>166</v>
      </c>
      <c r="N165" s="58">
        <v>0</v>
      </c>
      <c r="O165" s="58">
        <v>0</v>
      </c>
      <c r="P165" s="54"/>
      <c r="Q165" s="54"/>
      <c r="R165" s="54"/>
      <c r="S165" s="54"/>
      <c r="T165" s="54"/>
      <c r="U165" s="54"/>
    </row>
    <row r="166" spans="1:21" ht="15" customHeight="1" x14ac:dyDescent="0.2">
      <c r="A166" s="72" t="s">
        <v>341</v>
      </c>
      <c r="B166" s="36" t="s">
        <v>189</v>
      </c>
      <c r="C166" s="49" t="s">
        <v>162</v>
      </c>
      <c r="D166" s="53" t="s">
        <v>210</v>
      </c>
      <c r="E166" s="36" t="s">
        <v>211</v>
      </c>
      <c r="F166" s="44" t="str">
        <f>IF(AND(ISNA(VLOOKUP(E166,DataType_Platform!A:A,1,FALSE())),ISNA(VLOOKUP(E166,BaseType!A:A,1,FALSE()))),"N","Y")</f>
        <v>Y</v>
      </c>
      <c r="G166" s="51"/>
      <c r="H166" s="57" t="s">
        <v>165</v>
      </c>
      <c r="I166" s="57" t="s">
        <v>166</v>
      </c>
      <c r="J166" s="56"/>
      <c r="K166" s="52">
        <v>0</v>
      </c>
      <c r="L166" s="52">
        <v>0</v>
      </c>
      <c r="M166" s="58" t="s">
        <v>166</v>
      </c>
      <c r="N166" s="52">
        <v>0</v>
      </c>
      <c r="O166" s="52">
        <v>0</v>
      </c>
      <c r="P166" s="54"/>
      <c r="Q166" s="54"/>
      <c r="R166" s="54"/>
      <c r="S166" s="54"/>
      <c r="T166" s="54"/>
      <c r="U166" s="54"/>
    </row>
    <row r="167" spans="1:21" ht="15" customHeight="1" x14ac:dyDescent="0.2">
      <c r="A167" s="72" t="s">
        <v>341</v>
      </c>
      <c r="B167" s="36" t="s">
        <v>189</v>
      </c>
      <c r="C167" s="49" t="s">
        <v>162</v>
      </c>
      <c r="D167" s="53" t="s">
        <v>194</v>
      </c>
      <c r="E167" s="36" t="s">
        <v>195</v>
      </c>
      <c r="F167" s="44" t="str">
        <f>IF(AND(ISNA(VLOOKUP(E167,DataType_Platform!A:A,1,FALSE())),ISNA(VLOOKUP(E167,BaseType!A:A,1,FALSE()))),"N","Y")</f>
        <v>Y</v>
      </c>
      <c r="G167" s="51"/>
      <c r="H167" s="57" t="s">
        <v>165</v>
      </c>
      <c r="I167" s="57" t="s">
        <v>166</v>
      </c>
      <c r="J167" s="56"/>
      <c r="K167" s="52">
        <v>0</v>
      </c>
      <c r="L167" s="52">
        <v>0</v>
      </c>
      <c r="M167" s="58" t="s">
        <v>166</v>
      </c>
      <c r="N167" s="52">
        <v>0</v>
      </c>
      <c r="O167" s="52">
        <v>0</v>
      </c>
      <c r="P167" s="54"/>
      <c r="Q167" s="54"/>
      <c r="R167" s="54"/>
      <c r="S167" s="54"/>
      <c r="T167" s="54"/>
      <c r="U167" s="54"/>
    </row>
    <row r="168" spans="1:21" ht="15" customHeight="1" x14ac:dyDescent="0.2">
      <c r="A168" s="72" t="s">
        <v>341</v>
      </c>
      <c r="B168" s="36" t="s">
        <v>189</v>
      </c>
      <c r="C168" s="49" t="s">
        <v>162</v>
      </c>
      <c r="D168" s="68" t="s">
        <v>167</v>
      </c>
      <c r="E168" s="50" t="s">
        <v>168</v>
      </c>
      <c r="F168" s="44" t="str">
        <f>IF(AND(ISNA(VLOOKUP(E168,DataType_Platform!A:A,1,FALSE())),ISNA(VLOOKUP(E168,BaseType!A:A,1,FALSE()))),"N","Y")</f>
        <v>Y</v>
      </c>
      <c r="G168" s="51"/>
      <c r="H168" s="57" t="s">
        <v>165</v>
      </c>
      <c r="I168" s="57" t="s">
        <v>166</v>
      </c>
      <c r="J168" s="56"/>
      <c r="K168" s="52">
        <v>0</v>
      </c>
      <c r="L168" s="52">
        <v>0</v>
      </c>
      <c r="M168" s="58" t="s">
        <v>166</v>
      </c>
      <c r="N168" s="52">
        <v>0</v>
      </c>
      <c r="O168" s="52">
        <v>0</v>
      </c>
      <c r="P168" s="54"/>
      <c r="Q168" s="54"/>
      <c r="R168" s="54"/>
      <c r="S168" s="54"/>
      <c r="T168" s="54"/>
      <c r="U168" s="54"/>
    </row>
    <row r="169" spans="1:21" ht="15" customHeight="1" x14ac:dyDescent="0.2">
      <c r="A169" s="72" t="s">
        <v>341</v>
      </c>
      <c r="B169" s="36" t="s">
        <v>189</v>
      </c>
      <c r="C169" s="49" t="s">
        <v>162</v>
      </c>
      <c r="D169" s="68" t="s">
        <v>200</v>
      </c>
      <c r="E169" s="68" t="s">
        <v>201</v>
      </c>
      <c r="F169" s="44" t="str">
        <f>IF(AND(ISNA(VLOOKUP(E169,DataType_Platform!A:A,1,FALSE())),ISNA(VLOOKUP(E169,BaseType!A:A,1,FALSE()))),"N","Y")</f>
        <v>Y</v>
      </c>
      <c r="G169" s="51"/>
      <c r="H169" s="57" t="s">
        <v>165</v>
      </c>
      <c r="I169" s="57" t="s">
        <v>166</v>
      </c>
      <c r="J169" s="56"/>
      <c r="K169" s="52">
        <v>0</v>
      </c>
      <c r="L169" s="52">
        <v>0</v>
      </c>
      <c r="M169" s="58" t="s">
        <v>166</v>
      </c>
      <c r="N169" s="52">
        <v>0</v>
      </c>
      <c r="O169" s="52">
        <v>0</v>
      </c>
      <c r="P169" s="54"/>
      <c r="Q169" s="54"/>
      <c r="R169" s="54"/>
      <c r="S169" s="54"/>
      <c r="T169" s="54"/>
      <c r="U169" s="54"/>
    </row>
    <row r="170" spans="1:21" ht="15" customHeight="1" x14ac:dyDescent="0.2">
      <c r="A170" s="72" t="s">
        <v>341</v>
      </c>
      <c r="B170" s="36" t="s">
        <v>189</v>
      </c>
      <c r="C170" s="49" t="s">
        <v>162</v>
      </c>
      <c r="D170" s="68" t="s">
        <v>348</v>
      </c>
      <c r="E170" s="50" t="s">
        <v>349</v>
      </c>
      <c r="F170" s="44" t="str">
        <f>IF(AND(ISNA(VLOOKUP(E170,DataType_Platform!A:A,1,FALSE())),ISNA(VLOOKUP(E170,BaseType!A:A,1,FALSE()))),"N","Y")</f>
        <v>Y</v>
      </c>
      <c r="G170" s="80"/>
      <c r="H170" s="56" t="s">
        <v>165</v>
      </c>
      <c r="I170" s="56" t="s">
        <v>166</v>
      </c>
      <c r="J170" s="56"/>
      <c r="K170" s="81"/>
      <c r="L170" s="81"/>
      <c r="M170" s="65"/>
      <c r="N170" s="81"/>
      <c r="O170" s="81"/>
      <c r="P170" s="63"/>
      <c r="Q170" s="63"/>
      <c r="R170" s="63"/>
      <c r="S170" s="63"/>
      <c r="T170" s="63"/>
      <c r="U170" s="63"/>
    </row>
    <row r="171" spans="1:21" ht="15" customHeight="1" x14ac:dyDescent="0.2">
      <c r="A171" s="72" t="s">
        <v>341</v>
      </c>
      <c r="B171" s="36" t="s">
        <v>161</v>
      </c>
      <c r="C171" s="49" t="s">
        <v>162</v>
      </c>
      <c r="D171" s="53" t="s">
        <v>350</v>
      </c>
      <c r="E171" s="36" t="s">
        <v>246</v>
      </c>
      <c r="F171" s="44" t="str">
        <f>IF(AND(ISNA(VLOOKUP(E171,DataType_Platform!A:A,1,FALSE())),ISNA(VLOOKUP(E171,BaseType!A:A,1,FALSE()))),"N","Y")</f>
        <v>Y</v>
      </c>
      <c r="G171" s="51"/>
      <c r="H171" s="57" t="s">
        <v>165</v>
      </c>
      <c r="I171" s="57" t="s">
        <v>166</v>
      </c>
      <c r="J171" s="56"/>
      <c r="K171" s="52">
        <v>0</v>
      </c>
      <c r="L171" s="52">
        <v>0</v>
      </c>
      <c r="M171" s="58" t="s">
        <v>166</v>
      </c>
      <c r="N171" s="52">
        <v>0</v>
      </c>
      <c r="O171" s="52">
        <v>0</v>
      </c>
      <c r="P171" s="54"/>
      <c r="Q171" s="54"/>
      <c r="R171" s="54"/>
      <c r="S171" s="54"/>
      <c r="T171" s="54"/>
      <c r="U171" s="54"/>
    </row>
    <row r="172" spans="1:21" ht="15" customHeight="1" x14ac:dyDescent="0.2">
      <c r="A172" s="72" t="s">
        <v>341</v>
      </c>
      <c r="B172" s="36" t="s">
        <v>161</v>
      </c>
      <c r="C172" s="49" t="s">
        <v>162</v>
      </c>
      <c r="D172" s="53" t="s">
        <v>206</v>
      </c>
      <c r="E172" s="36" t="s">
        <v>207</v>
      </c>
      <c r="F172" s="44" t="str">
        <f>IF(AND(ISNA(VLOOKUP(E172,DataType_Platform!A:A,1,FALSE())),ISNA(VLOOKUP(E172,BaseType!A:A,1,FALSE()))),"N","Y")</f>
        <v>Y</v>
      </c>
      <c r="G172" s="51"/>
      <c r="H172" s="57" t="s">
        <v>165</v>
      </c>
      <c r="I172" s="57" t="s">
        <v>166</v>
      </c>
      <c r="J172" s="56"/>
      <c r="K172" s="52">
        <v>0</v>
      </c>
      <c r="L172" s="52">
        <v>0</v>
      </c>
      <c r="M172" s="58" t="s">
        <v>166</v>
      </c>
      <c r="N172" s="52">
        <v>0</v>
      </c>
      <c r="O172" s="52">
        <v>0</v>
      </c>
      <c r="P172" s="54"/>
      <c r="Q172" s="54"/>
      <c r="R172" s="54"/>
      <c r="S172" s="54"/>
      <c r="T172" s="54"/>
      <c r="U172" s="54"/>
    </row>
    <row r="173" spans="1:21" ht="15" customHeight="1" x14ac:dyDescent="0.2">
      <c r="A173" s="72" t="s">
        <v>341</v>
      </c>
      <c r="B173" s="36" t="s">
        <v>161</v>
      </c>
      <c r="C173" s="49" t="s">
        <v>162</v>
      </c>
      <c r="D173" s="53" t="s">
        <v>208</v>
      </c>
      <c r="E173" s="36" t="s">
        <v>209</v>
      </c>
      <c r="F173" s="44" t="str">
        <f>IF(AND(ISNA(VLOOKUP(E173,DataType_Platform!A:A,1,FALSE())),ISNA(VLOOKUP(E173,BaseType!A:A,1,FALSE()))),"N","Y")</f>
        <v>Y</v>
      </c>
      <c r="G173" s="51"/>
      <c r="H173" s="57" t="s">
        <v>165</v>
      </c>
      <c r="I173" s="57" t="s">
        <v>166</v>
      </c>
      <c r="J173" s="56"/>
      <c r="K173" s="52">
        <v>0</v>
      </c>
      <c r="L173" s="52">
        <v>0</v>
      </c>
      <c r="M173" s="58" t="s">
        <v>166</v>
      </c>
      <c r="N173" s="52">
        <v>0</v>
      </c>
      <c r="O173" s="52">
        <v>0</v>
      </c>
      <c r="P173" s="54"/>
      <c r="Q173" s="54"/>
      <c r="R173" s="54"/>
      <c r="S173" s="54"/>
      <c r="T173" s="54"/>
      <c r="U173" s="54"/>
    </row>
    <row r="174" spans="1:21" ht="15" customHeight="1" x14ac:dyDescent="0.2">
      <c r="A174" s="72" t="s">
        <v>341</v>
      </c>
      <c r="B174" s="36" t="s">
        <v>161</v>
      </c>
      <c r="C174" s="49" t="s">
        <v>162</v>
      </c>
      <c r="D174" s="53" t="s">
        <v>315</v>
      </c>
      <c r="E174" s="36" t="s">
        <v>316</v>
      </c>
      <c r="F174" s="44" t="str">
        <f>IF(AND(ISNA(VLOOKUP(E174,DataType_Platform!A:A,1,FALSE())),ISNA(VLOOKUP(E174,BaseType!A:A,1,FALSE()))),"N","Y")</f>
        <v>Y</v>
      </c>
      <c r="G174" s="51"/>
      <c r="H174" s="57" t="s">
        <v>165</v>
      </c>
      <c r="I174" s="57" t="s">
        <v>166</v>
      </c>
      <c r="J174" s="56"/>
      <c r="K174" s="52">
        <v>0</v>
      </c>
      <c r="L174" s="52">
        <v>0</v>
      </c>
      <c r="M174" s="58" t="s">
        <v>166</v>
      </c>
      <c r="N174" s="52">
        <v>0</v>
      </c>
      <c r="O174" s="52">
        <v>0</v>
      </c>
      <c r="P174" s="54"/>
      <c r="Q174" s="54"/>
      <c r="R174" s="54"/>
      <c r="S174" s="54"/>
      <c r="T174" s="54"/>
      <c r="U174" s="54"/>
    </row>
    <row r="175" spans="1:21" ht="15" customHeight="1" x14ac:dyDescent="0.2">
      <c r="A175" s="72" t="s">
        <v>341</v>
      </c>
      <c r="B175" s="36" t="s">
        <v>161</v>
      </c>
      <c r="C175" s="49" t="s">
        <v>162</v>
      </c>
      <c r="D175" s="53" t="s">
        <v>214</v>
      </c>
      <c r="E175" s="36" t="s">
        <v>215</v>
      </c>
      <c r="F175" s="44" t="str">
        <f>IF(AND(ISNA(VLOOKUP(E175,DataType_Platform!A:A,1,FALSE())),ISNA(VLOOKUP(E175,BaseType!A:A,1,FALSE()))),"N","Y")</f>
        <v>Y</v>
      </c>
      <c r="G175" s="51"/>
      <c r="H175" s="57" t="s">
        <v>165</v>
      </c>
      <c r="I175" s="57" t="s">
        <v>166</v>
      </c>
      <c r="J175" s="56"/>
      <c r="K175" s="52">
        <v>0</v>
      </c>
      <c r="L175" s="52">
        <v>0</v>
      </c>
      <c r="M175" s="58" t="s">
        <v>166</v>
      </c>
      <c r="N175" s="52">
        <v>0</v>
      </c>
      <c r="O175" s="52">
        <v>0</v>
      </c>
      <c r="P175" s="54"/>
      <c r="Q175" s="54"/>
      <c r="R175" s="54"/>
      <c r="S175" s="54"/>
      <c r="T175" s="54"/>
      <c r="U175" s="54"/>
    </row>
    <row r="176" spans="1:21" ht="15" customHeight="1" x14ac:dyDescent="0.2">
      <c r="A176" s="72" t="s">
        <v>341</v>
      </c>
      <c r="B176" s="36" t="s">
        <v>161</v>
      </c>
      <c r="C176" s="49" t="s">
        <v>162</v>
      </c>
      <c r="D176" s="53" t="s">
        <v>351</v>
      </c>
      <c r="E176" s="36" t="s">
        <v>352</v>
      </c>
      <c r="F176" s="44" t="str">
        <f>IF(AND(ISNA(VLOOKUP(E176,DataType_Platform!A:A,1,FALSE())),ISNA(VLOOKUP(E176,BaseType!A:A,1,FALSE()))),"N","Y")</f>
        <v>Y</v>
      </c>
      <c r="G176" s="51"/>
      <c r="H176" s="57" t="s">
        <v>165</v>
      </c>
      <c r="I176" s="57" t="s">
        <v>166</v>
      </c>
      <c r="J176" s="56"/>
      <c r="K176" s="52">
        <v>0</v>
      </c>
      <c r="L176" s="52">
        <v>0</v>
      </c>
      <c r="M176" s="58" t="s">
        <v>166</v>
      </c>
      <c r="N176" s="52">
        <v>0</v>
      </c>
      <c r="O176" s="52">
        <v>0</v>
      </c>
      <c r="P176" s="54"/>
      <c r="Q176" s="54"/>
      <c r="R176" s="54"/>
      <c r="S176" s="54"/>
      <c r="T176" s="54"/>
      <c r="U176" s="54"/>
    </row>
    <row r="177" spans="1:21" ht="15" customHeight="1" x14ac:dyDescent="0.2">
      <c r="A177" s="72" t="s">
        <v>341</v>
      </c>
      <c r="B177" s="36" t="s">
        <v>161</v>
      </c>
      <c r="C177" s="49" t="s">
        <v>162</v>
      </c>
      <c r="D177" s="53" t="s">
        <v>353</v>
      </c>
      <c r="E177" s="36" t="s">
        <v>193</v>
      </c>
      <c r="F177" s="44" t="str">
        <f>IF(AND(ISNA(VLOOKUP(E177,DataType_Platform!A:A,1,FALSE())),ISNA(VLOOKUP(E177,BaseType!A:A,1,FALSE()))),"N","Y")</f>
        <v>Y</v>
      </c>
      <c r="G177" s="51"/>
      <c r="H177" s="57" t="s">
        <v>165</v>
      </c>
      <c r="I177" s="57" t="s">
        <v>166</v>
      </c>
      <c r="J177" s="56"/>
      <c r="K177" s="52">
        <v>0</v>
      </c>
      <c r="L177" s="52">
        <v>0</v>
      </c>
      <c r="M177" s="58" t="s">
        <v>166</v>
      </c>
      <c r="N177" s="52">
        <v>0</v>
      </c>
      <c r="O177" s="52">
        <v>0</v>
      </c>
      <c r="P177" s="54"/>
      <c r="Q177" s="54"/>
      <c r="R177" s="54"/>
      <c r="S177" s="54"/>
      <c r="T177" s="54"/>
      <c r="U177" s="54"/>
    </row>
    <row r="178" spans="1:21" ht="15" customHeight="1" x14ac:dyDescent="0.2">
      <c r="A178" s="72" t="s">
        <v>341</v>
      </c>
      <c r="B178" s="36" t="s">
        <v>161</v>
      </c>
      <c r="C178" s="49" t="s">
        <v>162</v>
      </c>
      <c r="D178" s="53" t="s">
        <v>226</v>
      </c>
      <c r="E178" s="36" t="s">
        <v>227</v>
      </c>
      <c r="F178" s="44" t="str">
        <f>IF(AND(ISNA(VLOOKUP(E178,DataType_Platform!A:A,1,FALSE())),ISNA(VLOOKUP(E178,BaseType!A:A,1,FALSE()))),"N","Y")</f>
        <v>Y</v>
      </c>
      <c r="G178" s="51"/>
      <c r="H178" s="57" t="s">
        <v>165</v>
      </c>
      <c r="I178" s="57" t="s">
        <v>166</v>
      </c>
      <c r="J178" s="56"/>
      <c r="K178" s="52">
        <v>0</v>
      </c>
      <c r="L178" s="52">
        <v>0</v>
      </c>
      <c r="M178" s="58" t="s">
        <v>166</v>
      </c>
      <c r="N178" s="52">
        <v>0</v>
      </c>
      <c r="O178" s="52">
        <v>0</v>
      </c>
      <c r="P178" s="54"/>
      <c r="Q178" s="54"/>
      <c r="R178" s="54"/>
      <c r="S178" s="54"/>
      <c r="T178" s="54"/>
      <c r="U178" s="54"/>
    </row>
    <row r="179" spans="1:21" ht="15" customHeight="1" x14ac:dyDescent="0.2">
      <c r="A179" s="72" t="s">
        <v>341</v>
      </c>
      <c r="B179" s="36" t="s">
        <v>161</v>
      </c>
      <c r="C179" s="49" t="s">
        <v>162</v>
      </c>
      <c r="D179" s="53" t="s">
        <v>229</v>
      </c>
      <c r="E179" s="36" t="s">
        <v>193</v>
      </c>
      <c r="F179" s="44" t="str">
        <f>IF(AND(ISNA(VLOOKUP(E179,DataType_Platform!A:A,1,FALSE())),ISNA(VLOOKUP(E179,BaseType!A:A,1,FALSE()))),"N","Y")</f>
        <v>Y</v>
      </c>
      <c r="G179" s="51"/>
      <c r="H179" s="57" t="s">
        <v>165</v>
      </c>
      <c r="I179" s="57" t="s">
        <v>166</v>
      </c>
      <c r="J179" s="56"/>
      <c r="K179" s="52">
        <v>0</v>
      </c>
      <c r="L179" s="52">
        <v>0</v>
      </c>
      <c r="M179" s="58" t="s">
        <v>166</v>
      </c>
      <c r="N179" s="52">
        <v>0</v>
      </c>
      <c r="O179" s="52">
        <v>0</v>
      </c>
      <c r="P179" s="54"/>
      <c r="Q179" s="54"/>
      <c r="R179" s="54"/>
      <c r="S179" s="54"/>
      <c r="T179" s="54"/>
      <c r="U179" s="54"/>
    </row>
    <row r="180" spans="1:21" ht="15" customHeight="1" x14ac:dyDescent="0.2">
      <c r="A180" s="72" t="s">
        <v>341</v>
      </c>
      <c r="B180" s="36" t="s">
        <v>161</v>
      </c>
      <c r="C180" s="49" t="s">
        <v>162</v>
      </c>
      <c r="D180" s="53" t="s">
        <v>228</v>
      </c>
      <c r="E180" s="36" t="s">
        <v>193</v>
      </c>
      <c r="F180" s="44" t="str">
        <f>IF(AND(ISNA(VLOOKUP(E180,DataType_Platform!A:A,1,FALSE())),ISNA(VLOOKUP(E180,BaseType!A:A,1,FALSE()))),"N","Y")</f>
        <v>Y</v>
      </c>
      <c r="G180" s="51"/>
      <c r="H180" s="57" t="s">
        <v>165</v>
      </c>
      <c r="I180" s="57" t="s">
        <v>166</v>
      </c>
      <c r="J180" s="56"/>
      <c r="K180" s="52">
        <v>0</v>
      </c>
      <c r="L180" s="52">
        <v>0</v>
      </c>
      <c r="M180" s="58" t="s">
        <v>166</v>
      </c>
      <c r="N180" s="52">
        <v>0</v>
      </c>
      <c r="O180" s="52">
        <v>0</v>
      </c>
      <c r="P180" s="54"/>
      <c r="Q180" s="54"/>
      <c r="R180" s="54"/>
      <c r="S180" s="54"/>
      <c r="T180" s="54"/>
      <c r="U180" s="54"/>
    </row>
    <row r="181" spans="1:21" ht="15" customHeight="1" x14ac:dyDescent="0.2">
      <c r="A181" s="72" t="s">
        <v>341</v>
      </c>
      <c r="B181" s="36" t="s">
        <v>161</v>
      </c>
      <c r="C181" s="49" t="s">
        <v>162</v>
      </c>
      <c r="D181" s="53" t="s">
        <v>230</v>
      </c>
      <c r="E181" s="36" t="s">
        <v>193</v>
      </c>
      <c r="F181" s="44" t="str">
        <f>IF(AND(ISNA(VLOOKUP(E181,DataType_Platform!A:A,1,FALSE())),ISNA(VLOOKUP(E181,BaseType!A:A,1,FALSE()))),"N","Y")</f>
        <v>Y</v>
      </c>
      <c r="G181" s="51"/>
      <c r="H181" s="57" t="s">
        <v>165</v>
      </c>
      <c r="I181" s="57" t="s">
        <v>166</v>
      </c>
      <c r="J181" s="56"/>
      <c r="K181" s="52">
        <v>0</v>
      </c>
      <c r="L181" s="52">
        <v>0</v>
      </c>
      <c r="M181" s="58" t="s">
        <v>166</v>
      </c>
      <c r="N181" s="52">
        <v>0</v>
      </c>
      <c r="O181" s="52">
        <v>0</v>
      </c>
      <c r="P181" s="54"/>
      <c r="Q181" s="54"/>
      <c r="R181" s="54"/>
      <c r="S181" s="54"/>
      <c r="T181" s="54"/>
      <c r="U181" s="54"/>
    </row>
    <row r="182" spans="1:21" ht="15" customHeight="1" x14ac:dyDescent="0.2">
      <c r="A182" s="55" t="s">
        <v>354</v>
      </c>
      <c r="B182" s="36" t="s">
        <v>189</v>
      </c>
      <c r="C182" s="49" t="s">
        <v>162</v>
      </c>
      <c r="D182" s="53" t="s">
        <v>183</v>
      </c>
      <c r="E182" s="50" t="s">
        <v>184</v>
      </c>
      <c r="F182" s="44" t="str">
        <f>IF(AND(ISNA(VLOOKUP(E182,DataType_Platform!A:A,1,FALSE())),ISNA(VLOOKUP(E182,BaseType!A:A,1,FALSE()))),"N","Y")</f>
        <v>Y</v>
      </c>
      <c r="G182" s="51"/>
      <c r="H182" s="57" t="s">
        <v>165</v>
      </c>
      <c r="I182" s="57" t="s">
        <v>166</v>
      </c>
      <c r="J182" s="56"/>
      <c r="K182" s="52">
        <v>0</v>
      </c>
      <c r="L182" s="52">
        <v>0</v>
      </c>
      <c r="M182" s="58" t="s">
        <v>166</v>
      </c>
      <c r="N182" s="52">
        <v>0</v>
      </c>
      <c r="O182" s="52">
        <v>0</v>
      </c>
      <c r="P182" s="54"/>
      <c r="Q182" s="54"/>
      <c r="R182" s="54"/>
      <c r="S182" s="54"/>
      <c r="T182" s="54"/>
      <c r="U182" s="54"/>
    </row>
    <row r="183" spans="1:21" ht="15" customHeight="1" x14ac:dyDescent="0.2">
      <c r="A183" s="55" t="s">
        <v>354</v>
      </c>
      <c r="B183" s="36" t="s">
        <v>189</v>
      </c>
      <c r="C183" s="49" t="s">
        <v>162</v>
      </c>
      <c r="D183" s="53" t="s">
        <v>206</v>
      </c>
      <c r="E183" s="36" t="s">
        <v>207</v>
      </c>
      <c r="F183" s="44" t="str">
        <f>IF(AND(ISNA(VLOOKUP(E183,DataType_Platform!A:A,1,FALSE())),ISNA(VLOOKUP(E183,BaseType!A:A,1,FALSE()))),"N","Y")</f>
        <v>Y</v>
      </c>
      <c r="G183" s="51"/>
      <c r="H183" s="57" t="s">
        <v>165</v>
      </c>
      <c r="I183" s="57" t="s">
        <v>166</v>
      </c>
      <c r="J183" s="56"/>
      <c r="K183" s="52">
        <v>0</v>
      </c>
      <c r="L183" s="52">
        <v>0</v>
      </c>
      <c r="M183" s="58" t="s">
        <v>166</v>
      </c>
      <c r="N183" s="52">
        <v>0</v>
      </c>
      <c r="O183" s="52">
        <v>0</v>
      </c>
      <c r="P183" s="54"/>
      <c r="Q183" s="54"/>
      <c r="R183" s="54"/>
      <c r="S183" s="54"/>
      <c r="T183" s="54"/>
      <c r="U183" s="54"/>
    </row>
    <row r="184" spans="1:21" ht="15" customHeight="1" x14ac:dyDescent="0.2">
      <c r="A184" s="55" t="s">
        <v>354</v>
      </c>
      <c r="B184" s="36" t="s">
        <v>189</v>
      </c>
      <c r="C184" s="49" t="s">
        <v>162</v>
      </c>
      <c r="D184" s="53" t="s">
        <v>326</v>
      </c>
      <c r="E184" s="36" t="s">
        <v>327</v>
      </c>
      <c r="F184" s="44" t="str">
        <f>IF(AND(ISNA(VLOOKUP(E184,DataType_Platform!A:A,1,FALSE())),ISNA(VLOOKUP(E184,BaseType!A:A,1,FALSE()))),"N","Y")</f>
        <v>Y</v>
      </c>
      <c r="G184" s="51"/>
      <c r="H184" s="57" t="s">
        <v>165</v>
      </c>
      <c r="I184" s="57" t="s">
        <v>166</v>
      </c>
      <c r="J184" s="56"/>
      <c r="K184" s="52">
        <v>0</v>
      </c>
      <c r="L184" s="52">
        <v>0</v>
      </c>
      <c r="M184" s="58" t="s">
        <v>166</v>
      </c>
      <c r="N184" s="52">
        <v>0</v>
      </c>
      <c r="O184" s="52">
        <v>0</v>
      </c>
      <c r="P184" s="54"/>
      <c r="Q184" s="54"/>
      <c r="R184" s="54"/>
      <c r="S184" s="54"/>
      <c r="T184" s="54"/>
      <c r="U184" s="54"/>
    </row>
    <row r="185" spans="1:21" ht="15" customHeight="1" x14ac:dyDescent="0.2">
      <c r="A185" s="55" t="s">
        <v>354</v>
      </c>
      <c r="B185" s="36" t="s">
        <v>189</v>
      </c>
      <c r="C185" s="49" t="s">
        <v>162</v>
      </c>
      <c r="D185" s="53" t="s">
        <v>194</v>
      </c>
      <c r="E185" s="36" t="s">
        <v>195</v>
      </c>
      <c r="F185" s="44" t="str">
        <f>IF(AND(ISNA(VLOOKUP(E185,DataType_Platform!A:A,1,FALSE())),ISNA(VLOOKUP(E185,BaseType!A:A,1,FALSE()))),"N","Y")</f>
        <v>Y</v>
      </c>
      <c r="G185" s="51"/>
      <c r="H185" s="57" t="s">
        <v>165</v>
      </c>
      <c r="I185" s="57" t="s">
        <v>166</v>
      </c>
      <c r="J185" s="56"/>
      <c r="K185" s="52">
        <v>0</v>
      </c>
      <c r="L185" s="52">
        <v>0</v>
      </c>
      <c r="M185" s="58" t="s">
        <v>166</v>
      </c>
      <c r="N185" s="52">
        <v>0</v>
      </c>
      <c r="O185" s="52">
        <v>0</v>
      </c>
      <c r="P185" s="54"/>
      <c r="Q185" s="54"/>
      <c r="R185" s="54"/>
      <c r="S185" s="54"/>
      <c r="T185" s="54"/>
      <c r="U185" s="54"/>
    </row>
    <row r="186" spans="1:21" ht="15" customHeight="1" x14ac:dyDescent="0.2">
      <c r="A186" s="55" t="s">
        <v>354</v>
      </c>
      <c r="B186" s="36" t="s">
        <v>189</v>
      </c>
      <c r="C186" s="49" t="s">
        <v>162</v>
      </c>
      <c r="D186" s="53" t="s">
        <v>339</v>
      </c>
      <c r="E186" s="36" t="s">
        <v>340</v>
      </c>
      <c r="F186" s="44" t="str">
        <f>IF(AND(ISNA(VLOOKUP(E186,DataType_Platform!A:A,1,FALSE())),ISNA(VLOOKUP(E186,BaseType!A:A,1,FALSE()))),"N","Y")</f>
        <v>Y</v>
      </c>
      <c r="G186" s="51"/>
      <c r="H186" s="57" t="s">
        <v>165</v>
      </c>
      <c r="I186" s="57" t="s">
        <v>166</v>
      </c>
      <c r="J186" s="56"/>
      <c r="K186" s="52">
        <v>0</v>
      </c>
      <c r="L186" s="52">
        <v>0</v>
      </c>
      <c r="M186" s="58" t="s">
        <v>166</v>
      </c>
      <c r="N186" s="52">
        <v>0</v>
      </c>
      <c r="O186" s="52">
        <v>0</v>
      </c>
      <c r="P186" s="54"/>
      <c r="Q186" s="54"/>
      <c r="R186" s="54"/>
      <c r="S186" s="54"/>
      <c r="T186" s="54"/>
      <c r="U186" s="54"/>
    </row>
    <row r="187" spans="1:21" ht="15" customHeight="1" x14ac:dyDescent="0.2">
      <c r="A187" s="55" t="s">
        <v>354</v>
      </c>
      <c r="B187" s="36" t="s">
        <v>189</v>
      </c>
      <c r="C187" s="49" t="s">
        <v>162</v>
      </c>
      <c r="D187" s="53" t="s">
        <v>282</v>
      </c>
      <c r="E187" s="36" t="s">
        <v>225</v>
      </c>
      <c r="F187" s="44" t="str">
        <f>IF(AND(ISNA(VLOOKUP(E187,DataType_Platform!A:A,1,FALSE())),ISNA(VLOOKUP(E187,BaseType!A:A,1,FALSE()))),"N","Y")</f>
        <v>Y</v>
      </c>
      <c r="G187" s="51"/>
      <c r="H187" s="57" t="s">
        <v>165</v>
      </c>
      <c r="I187" s="57" t="s">
        <v>166</v>
      </c>
      <c r="J187" s="56"/>
      <c r="K187" s="52">
        <v>0</v>
      </c>
      <c r="L187" s="52">
        <v>0</v>
      </c>
      <c r="M187" s="58" t="s">
        <v>166</v>
      </c>
      <c r="N187" s="52">
        <v>0</v>
      </c>
      <c r="O187" s="52">
        <v>0</v>
      </c>
      <c r="P187" s="54"/>
      <c r="Q187" s="54"/>
      <c r="R187" s="54"/>
      <c r="S187" s="54"/>
      <c r="T187" s="54"/>
      <c r="U187" s="54"/>
    </row>
    <row r="188" spans="1:21" ht="15" customHeight="1" x14ac:dyDescent="0.2">
      <c r="A188" s="55" t="s">
        <v>354</v>
      </c>
      <c r="B188" s="36" t="s">
        <v>189</v>
      </c>
      <c r="C188" s="49" t="s">
        <v>162</v>
      </c>
      <c r="D188" s="53" t="s">
        <v>289</v>
      </c>
      <c r="E188" s="36" t="s">
        <v>225</v>
      </c>
      <c r="F188" s="44" t="str">
        <f>IF(AND(ISNA(VLOOKUP(E188,DataType_Platform!A:A,1,FALSE())),ISNA(VLOOKUP(E188,BaseType!A:A,1,FALSE()))),"N","Y")</f>
        <v>Y</v>
      </c>
      <c r="G188" s="51"/>
      <c r="H188" s="57" t="s">
        <v>165</v>
      </c>
      <c r="I188" s="57" t="s">
        <v>166</v>
      </c>
      <c r="J188" s="56"/>
      <c r="K188" s="52">
        <v>0</v>
      </c>
      <c r="L188" s="52">
        <v>0</v>
      </c>
      <c r="M188" s="58" t="s">
        <v>166</v>
      </c>
      <c r="N188" s="52">
        <v>0</v>
      </c>
      <c r="O188" s="52">
        <v>0</v>
      </c>
      <c r="P188" s="54"/>
      <c r="Q188" s="54"/>
      <c r="R188" s="54"/>
      <c r="S188" s="54"/>
      <c r="T188" s="54"/>
      <c r="U188" s="54"/>
    </row>
    <row r="189" spans="1:21" ht="15" customHeight="1" x14ac:dyDescent="0.2">
      <c r="A189" s="55" t="s">
        <v>354</v>
      </c>
      <c r="B189" s="36" t="s">
        <v>189</v>
      </c>
      <c r="C189" s="49" t="s">
        <v>162</v>
      </c>
      <c r="D189" s="53" t="s">
        <v>281</v>
      </c>
      <c r="E189" s="36" t="s">
        <v>225</v>
      </c>
      <c r="F189" s="44" t="str">
        <f>IF(AND(ISNA(VLOOKUP(E189,DataType_Platform!A:A,1,FALSE())),ISNA(VLOOKUP(E189,BaseType!A:A,1,FALSE()))),"N","Y")</f>
        <v>Y</v>
      </c>
      <c r="G189" s="51"/>
      <c r="H189" s="57" t="s">
        <v>165</v>
      </c>
      <c r="I189" s="57" t="s">
        <v>166</v>
      </c>
      <c r="J189" s="56"/>
      <c r="K189" s="52">
        <v>0</v>
      </c>
      <c r="L189" s="52">
        <v>0</v>
      </c>
      <c r="M189" s="58" t="s">
        <v>166</v>
      </c>
      <c r="N189" s="52">
        <v>0</v>
      </c>
      <c r="O189" s="52">
        <v>0</v>
      </c>
      <c r="P189" s="54"/>
      <c r="Q189" s="54"/>
      <c r="R189" s="54"/>
      <c r="S189" s="54"/>
      <c r="T189" s="54"/>
      <c r="U189" s="54"/>
    </row>
    <row r="190" spans="1:21" ht="15" customHeight="1" x14ac:dyDescent="0.2">
      <c r="A190" s="55" t="s">
        <v>354</v>
      </c>
      <c r="B190" s="36" t="s">
        <v>189</v>
      </c>
      <c r="C190" s="49" t="s">
        <v>162</v>
      </c>
      <c r="D190" s="53" t="s">
        <v>286</v>
      </c>
      <c r="E190" s="36" t="s">
        <v>225</v>
      </c>
      <c r="F190" s="44" t="str">
        <f>IF(AND(ISNA(VLOOKUP(E190,DataType_Platform!A:A,1,FALSE())),ISNA(VLOOKUP(E190,BaseType!A:A,1,FALSE()))),"N","Y")</f>
        <v>Y</v>
      </c>
      <c r="G190" s="51"/>
      <c r="H190" s="57" t="s">
        <v>165</v>
      </c>
      <c r="I190" s="57" t="s">
        <v>166</v>
      </c>
      <c r="J190" s="56"/>
      <c r="K190" s="52">
        <v>0</v>
      </c>
      <c r="L190" s="52">
        <v>0</v>
      </c>
      <c r="M190" s="58" t="s">
        <v>166</v>
      </c>
      <c r="N190" s="52">
        <v>0</v>
      </c>
      <c r="O190" s="52">
        <v>0</v>
      </c>
      <c r="P190" s="54"/>
      <c r="Q190" s="54"/>
      <c r="R190" s="54"/>
      <c r="S190" s="54"/>
      <c r="T190" s="54"/>
      <c r="U190" s="54"/>
    </row>
    <row r="191" spans="1:21" ht="15" customHeight="1" x14ac:dyDescent="0.2">
      <c r="A191" s="55" t="s">
        <v>354</v>
      </c>
      <c r="B191" s="36" t="s">
        <v>189</v>
      </c>
      <c r="C191" s="49" t="s">
        <v>162</v>
      </c>
      <c r="D191" s="53" t="s">
        <v>287</v>
      </c>
      <c r="E191" s="36" t="s">
        <v>225</v>
      </c>
      <c r="F191" s="44" t="str">
        <f>IF(AND(ISNA(VLOOKUP(E191,DataType_Platform!A:A,1,FALSE())),ISNA(VLOOKUP(E191,BaseType!A:A,1,FALSE()))),"N","Y")</f>
        <v>Y</v>
      </c>
      <c r="G191" s="51"/>
      <c r="H191" s="57" t="s">
        <v>165</v>
      </c>
      <c r="I191" s="57" t="s">
        <v>166</v>
      </c>
      <c r="J191" s="56"/>
      <c r="K191" s="52">
        <v>0</v>
      </c>
      <c r="L191" s="52">
        <v>0</v>
      </c>
      <c r="M191" s="58" t="s">
        <v>166</v>
      </c>
      <c r="N191" s="52">
        <v>0</v>
      </c>
      <c r="O191" s="52">
        <v>0</v>
      </c>
      <c r="P191" s="54"/>
      <c r="Q191" s="54"/>
      <c r="R191" s="54"/>
      <c r="S191" s="54"/>
      <c r="T191" s="54"/>
      <c r="U191" s="54"/>
    </row>
    <row r="192" spans="1:21" ht="15" customHeight="1" x14ac:dyDescent="0.2">
      <c r="A192" s="55" t="s">
        <v>354</v>
      </c>
      <c r="B192" s="36" t="s">
        <v>189</v>
      </c>
      <c r="C192" s="49" t="s">
        <v>162</v>
      </c>
      <c r="D192" s="53" t="s">
        <v>288</v>
      </c>
      <c r="E192" s="36" t="s">
        <v>225</v>
      </c>
      <c r="F192" s="44" t="str">
        <f>IF(AND(ISNA(VLOOKUP(E192,DataType_Platform!A:A,1,FALSE())),ISNA(VLOOKUP(E192,BaseType!A:A,1,FALSE()))),"N","Y")</f>
        <v>Y</v>
      </c>
      <c r="G192" s="51"/>
      <c r="H192" s="57" t="s">
        <v>165</v>
      </c>
      <c r="I192" s="57" t="s">
        <v>166</v>
      </c>
      <c r="J192" s="56"/>
      <c r="K192" s="52">
        <v>0</v>
      </c>
      <c r="L192" s="52">
        <v>0</v>
      </c>
      <c r="M192" s="58" t="s">
        <v>166</v>
      </c>
      <c r="N192" s="52">
        <v>0</v>
      </c>
      <c r="O192" s="52">
        <v>0</v>
      </c>
      <c r="P192" s="54"/>
      <c r="Q192" s="54"/>
      <c r="R192" s="54"/>
      <c r="S192" s="54"/>
      <c r="T192" s="54"/>
      <c r="U192" s="54"/>
    </row>
    <row r="193" spans="1:21" ht="15" customHeight="1" x14ac:dyDescent="0.2">
      <c r="A193" s="55" t="s">
        <v>354</v>
      </c>
      <c r="B193" s="36" t="s">
        <v>189</v>
      </c>
      <c r="C193" s="49" t="s">
        <v>162</v>
      </c>
      <c r="D193" s="53" t="s">
        <v>283</v>
      </c>
      <c r="E193" s="36" t="s">
        <v>225</v>
      </c>
      <c r="F193" s="44" t="str">
        <f>IF(AND(ISNA(VLOOKUP(E193,DataType_Platform!A:A,1,FALSE())),ISNA(VLOOKUP(E193,BaseType!A:A,1,FALSE()))),"N","Y")</f>
        <v>Y</v>
      </c>
      <c r="G193" s="51"/>
      <c r="H193" s="57" t="s">
        <v>165</v>
      </c>
      <c r="I193" s="57" t="s">
        <v>166</v>
      </c>
      <c r="J193" s="56"/>
      <c r="K193" s="52">
        <v>0</v>
      </c>
      <c r="L193" s="52">
        <v>0</v>
      </c>
      <c r="M193" s="58" t="s">
        <v>166</v>
      </c>
      <c r="N193" s="52">
        <v>0</v>
      </c>
      <c r="O193" s="52">
        <v>0</v>
      </c>
      <c r="P193" s="54"/>
      <c r="Q193" s="54"/>
      <c r="R193" s="54"/>
      <c r="S193" s="54"/>
      <c r="T193" s="54"/>
      <c r="U193" s="54"/>
    </row>
    <row r="194" spans="1:21" ht="15" customHeight="1" x14ac:dyDescent="0.2">
      <c r="A194" s="55" t="s">
        <v>354</v>
      </c>
      <c r="B194" s="36" t="s">
        <v>189</v>
      </c>
      <c r="C194" s="49" t="s">
        <v>162</v>
      </c>
      <c r="D194" s="53" t="s">
        <v>204</v>
      </c>
      <c r="E194" s="36" t="s">
        <v>205</v>
      </c>
      <c r="F194" s="44" t="str">
        <f>IF(AND(ISNA(VLOOKUP(E194,DataType_Platform!A:A,1,FALSE())),ISNA(VLOOKUP(E194,BaseType!A:A,1,FALSE()))),"N","Y")</f>
        <v>Y</v>
      </c>
      <c r="G194" s="51"/>
      <c r="H194" s="57" t="s">
        <v>165</v>
      </c>
      <c r="I194" s="57" t="s">
        <v>166</v>
      </c>
      <c r="J194" s="56"/>
      <c r="K194" s="52">
        <v>0</v>
      </c>
      <c r="L194" s="52">
        <v>0</v>
      </c>
      <c r="M194" s="58" t="s">
        <v>166</v>
      </c>
      <c r="N194" s="52">
        <v>0</v>
      </c>
      <c r="O194" s="52">
        <v>0</v>
      </c>
      <c r="P194" s="54"/>
      <c r="Q194" s="54"/>
      <c r="R194" s="54"/>
      <c r="S194" s="54"/>
      <c r="T194" s="54"/>
      <c r="U194" s="54"/>
    </row>
    <row r="195" spans="1:21" ht="15" customHeight="1" x14ac:dyDescent="0.2">
      <c r="A195" s="55" t="s">
        <v>354</v>
      </c>
      <c r="B195" s="36" t="s">
        <v>189</v>
      </c>
      <c r="C195" s="49" t="s">
        <v>162</v>
      </c>
      <c r="D195" s="76" t="s">
        <v>247</v>
      </c>
      <c r="E195" s="7" t="s">
        <v>248</v>
      </c>
      <c r="F195" s="44" t="str">
        <f>IF(AND(ISNA(VLOOKUP(E195,DataType_Platform!A:A,1,FALSE())),ISNA(VLOOKUP(E195,BaseType!A:A,1,FALSE()))),"N","Y")</f>
        <v>Y</v>
      </c>
      <c r="G195" s="75"/>
      <c r="H195" s="57" t="s">
        <v>165</v>
      </c>
      <c r="I195" s="57" t="s">
        <v>166</v>
      </c>
      <c r="J195" s="56"/>
      <c r="K195" s="58">
        <v>0</v>
      </c>
      <c r="L195" s="58">
        <v>0</v>
      </c>
      <c r="M195" s="58" t="s">
        <v>166</v>
      </c>
      <c r="N195" s="58">
        <v>0</v>
      </c>
      <c r="O195" s="58">
        <v>0</v>
      </c>
      <c r="P195" s="54"/>
      <c r="Q195" s="54"/>
      <c r="R195" s="54"/>
      <c r="S195" s="54"/>
      <c r="T195" s="54"/>
      <c r="U195" s="54"/>
    </row>
    <row r="196" spans="1:21" ht="15" customHeight="1" x14ac:dyDescent="0.2">
      <c r="A196" s="55" t="s">
        <v>354</v>
      </c>
      <c r="B196" s="36" t="s">
        <v>189</v>
      </c>
      <c r="C196" s="49" t="s">
        <v>162</v>
      </c>
      <c r="D196" s="53" t="s">
        <v>253</v>
      </c>
      <c r="E196" s="36" t="s">
        <v>254</v>
      </c>
      <c r="F196" s="44" t="str">
        <f>IF(AND(ISNA(VLOOKUP(E196,DataType_Platform!A:A,1,FALSE())),ISNA(VLOOKUP(E196,BaseType!A:A,1,FALSE()))),"N","Y")</f>
        <v>Y</v>
      </c>
      <c r="G196" s="51"/>
      <c r="H196" s="57" t="s">
        <v>165</v>
      </c>
      <c r="I196" s="57" t="s">
        <v>166</v>
      </c>
      <c r="J196" s="56"/>
      <c r="K196" s="52">
        <v>0</v>
      </c>
      <c r="L196" s="52">
        <v>0</v>
      </c>
      <c r="M196" s="58" t="s">
        <v>166</v>
      </c>
      <c r="N196" s="52">
        <v>0</v>
      </c>
      <c r="O196" s="52">
        <v>0</v>
      </c>
      <c r="P196" s="54"/>
      <c r="Q196" s="54"/>
      <c r="R196" s="54"/>
      <c r="S196" s="54"/>
      <c r="T196" s="54"/>
      <c r="U196" s="54"/>
    </row>
    <row r="197" spans="1:21" ht="15" customHeight="1" x14ac:dyDescent="0.2">
      <c r="A197" s="55" t="s">
        <v>354</v>
      </c>
      <c r="B197" s="36" t="s">
        <v>189</v>
      </c>
      <c r="C197" s="49" t="s">
        <v>162</v>
      </c>
      <c r="D197" s="53" t="s">
        <v>255</v>
      </c>
      <c r="E197" s="36" t="s">
        <v>256</v>
      </c>
      <c r="F197" s="44" t="str">
        <f>IF(AND(ISNA(VLOOKUP(E197,DataType_Platform!A:A,1,FALSE())),ISNA(VLOOKUP(E197,BaseType!A:A,1,FALSE()))),"N","Y")</f>
        <v>Y</v>
      </c>
      <c r="G197" s="51"/>
      <c r="H197" s="57" t="s">
        <v>165</v>
      </c>
      <c r="I197" s="57" t="s">
        <v>166</v>
      </c>
      <c r="J197" s="56"/>
      <c r="K197" s="52">
        <v>0</v>
      </c>
      <c r="L197" s="52">
        <v>0</v>
      </c>
      <c r="M197" s="58" t="s">
        <v>166</v>
      </c>
      <c r="N197" s="52">
        <v>0</v>
      </c>
      <c r="O197" s="52">
        <v>0</v>
      </c>
      <c r="P197" s="54"/>
      <c r="Q197" s="54"/>
      <c r="R197" s="54"/>
      <c r="S197" s="54"/>
      <c r="T197" s="54"/>
      <c r="U197" s="54"/>
    </row>
    <row r="198" spans="1:21" ht="15" customHeight="1" x14ac:dyDescent="0.2">
      <c r="A198" s="55" t="s">
        <v>354</v>
      </c>
      <c r="B198" s="36" t="s">
        <v>189</v>
      </c>
      <c r="C198" s="49" t="s">
        <v>162</v>
      </c>
      <c r="D198" s="92" t="s">
        <v>342</v>
      </c>
      <c r="E198" s="36" t="s">
        <v>343</v>
      </c>
      <c r="F198" s="44" t="str">
        <f>IF(AND(ISNA(VLOOKUP(E198,DataType_Platform!A:A,1,FALSE())),ISNA(VLOOKUP(E198,BaseType!A:A,1,FALSE()))),"N","Y")</f>
        <v>Y</v>
      </c>
      <c r="G198" s="51"/>
      <c r="H198" s="57" t="s">
        <v>165</v>
      </c>
      <c r="I198" s="57" t="s">
        <v>166</v>
      </c>
      <c r="J198" s="56"/>
      <c r="K198" s="52">
        <v>0</v>
      </c>
      <c r="L198" s="52">
        <v>0</v>
      </c>
      <c r="M198" s="58" t="s">
        <v>166</v>
      </c>
      <c r="N198" s="52">
        <v>0</v>
      </c>
      <c r="O198" s="52">
        <v>0</v>
      </c>
      <c r="P198" s="54"/>
      <c r="Q198" s="54"/>
      <c r="R198" s="54"/>
      <c r="S198" s="54"/>
      <c r="T198" s="54"/>
      <c r="U198" s="54"/>
    </row>
    <row r="199" spans="1:21" ht="15" customHeight="1" x14ac:dyDescent="0.2">
      <c r="A199" s="55" t="s">
        <v>354</v>
      </c>
      <c r="B199" s="36" t="s">
        <v>189</v>
      </c>
      <c r="C199" s="49" t="s">
        <v>162</v>
      </c>
      <c r="D199" s="53" t="s">
        <v>355</v>
      </c>
      <c r="E199" s="36" t="s">
        <v>343</v>
      </c>
      <c r="F199" s="44" t="str">
        <f>IF(AND(ISNA(VLOOKUP(E199,DataType_Platform!A:A,1,FALSE())),ISNA(VLOOKUP(E199,BaseType!A:A,1,FALSE()))),"N","Y")</f>
        <v>Y</v>
      </c>
      <c r="G199" s="51"/>
      <c r="H199" s="57" t="s">
        <v>165</v>
      </c>
      <c r="I199" s="57" t="s">
        <v>166</v>
      </c>
      <c r="J199" s="56"/>
      <c r="K199" s="52">
        <v>0</v>
      </c>
      <c r="L199" s="52">
        <v>0</v>
      </c>
      <c r="M199" s="58" t="s">
        <v>166</v>
      </c>
      <c r="N199" s="52">
        <v>0</v>
      </c>
      <c r="O199" s="52">
        <v>0</v>
      </c>
      <c r="P199" s="54"/>
      <c r="Q199" s="54"/>
      <c r="R199" s="54"/>
      <c r="S199" s="54"/>
      <c r="T199" s="54"/>
      <c r="U199" s="54"/>
    </row>
    <row r="200" spans="1:21" ht="15" customHeight="1" x14ac:dyDescent="0.2">
      <c r="A200" s="55" t="s">
        <v>354</v>
      </c>
      <c r="B200" s="36" t="s">
        <v>189</v>
      </c>
      <c r="C200" s="49" t="s">
        <v>162</v>
      </c>
      <c r="D200" s="53" t="s">
        <v>356</v>
      </c>
      <c r="E200" s="36" t="s">
        <v>343</v>
      </c>
      <c r="F200" s="44" t="str">
        <f>IF(AND(ISNA(VLOOKUP(E200,DataType_Platform!A:A,1,FALSE())),ISNA(VLOOKUP(E200,BaseType!A:A,1,FALSE()))),"N","Y")</f>
        <v>Y</v>
      </c>
      <c r="G200" s="51"/>
      <c r="H200" s="57" t="s">
        <v>165</v>
      </c>
      <c r="I200" s="57" t="s">
        <v>166</v>
      </c>
      <c r="J200" s="56"/>
      <c r="K200" s="52">
        <v>0</v>
      </c>
      <c r="L200" s="52">
        <v>0</v>
      </c>
      <c r="M200" s="58" t="s">
        <v>166</v>
      </c>
      <c r="N200" s="52">
        <v>0</v>
      </c>
      <c r="O200" s="52">
        <v>0</v>
      </c>
      <c r="P200" s="54"/>
      <c r="Q200" s="54"/>
      <c r="R200" s="54"/>
      <c r="S200" s="54"/>
      <c r="T200" s="54"/>
      <c r="U200" s="54"/>
    </row>
    <row r="201" spans="1:21" ht="15" customHeight="1" x14ac:dyDescent="0.2">
      <c r="A201" s="55" t="s">
        <v>354</v>
      </c>
      <c r="B201" s="36" t="s">
        <v>189</v>
      </c>
      <c r="C201" s="49" t="s">
        <v>162</v>
      </c>
      <c r="D201" s="53" t="s">
        <v>357</v>
      </c>
      <c r="E201" s="36" t="s">
        <v>343</v>
      </c>
      <c r="F201" s="44" t="str">
        <f>IF(AND(ISNA(VLOOKUP(E201,DataType_Platform!A:A,1,FALSE())),ISNA(VLOOKUP(E201,BaseType!A:A,1,FALSE()))),"N","Y")</f>
        <v>Y</v>
      </c>
      <c r="G201" s="51"/>
      <c r="H201" s="57" t="s">
        <v>165</v>
      </c>
      <c r="I201" s="57" t="s">
        <v>166</v>
      </c>
      <c r="J201" s="56"/>
      <c r="K201" s="52">
        <v>0</v>
      </c>
      <c r="L201" s="52">
        <v>0</v>
      </c>
      <c r="M201" s="58" t="s">
        <v>166</v>
      </c>
      <c r="N201" s="52">
        <v>0</v>
      </c>
      <c r="O201" s="52">
        <v>0</v>
      </c>
      <c r="P201" s="54"/>
      <c r="Q201" s="54" t="s">
        <v>358</v>
      </c>
      <c r="R201" s="54"/>
      <c r="S201" s="54"/>
      <c r="T201" s="54"/>
      <c r="U201" s="54"/>
    </row>
    <row r="202" spans="1:21" ht="15" customHeight="1" x14ac:dyDescent="0.2">
      <c r="A202" s="55" t="s">
        <v>354</v>
      </c>
      <c r="B202" s="36" t="s">
        <v>189</v>
      </c>
      <c r="C202" s="49" t="s">
        <v>162</v>
      </c>
      <c r="D202" s="53" t="s">
        <v>297</v>
      </c>
      <c r="E202" s="36" t="s">
        <v>298</v>
      </c>
      <c r="F202" s="44" t="str">
        <f>IF(AND(ISNA(VLOOKUP(E202,DataType_Platform!A:A,1,FALSE())),ISNA(VLOOKUP(E202,BaseType!A:A,1,FALSE()))),"N","Y")</f>
        <v>Y</v>
      </c>
      <c r="G202" s="51"/>
      <c r="H202" s="57" t="s">
        <v>165</v>
      </c>
      <c r="I202" s="57" t="s">
        <v>166</v>
      </c>
      <c r="J202" s="56"/>
      <c r="K202" s="52">
        <v>0</v>
      </c>
      <c r="L202" s="52">
        <v>0</v>
      </c>
      <c r="M202" s="58" t="s">
        <v>166</v>
      </c>
      <c r="N202" s="52">
        <v>0</v>
      </c>
      <c r="O202" s="52">
        <v>0</v>
      </c>
      <c r="P202" s="54"/>
      <c r="Q202" s="54"/>
      <c r="R202" s="54"/>
      <c r="S202" s="54"/>
      <c r="T202" s="54"/>
      <c r="U202" s="54"/>
    </row>
    <row r="203" spans="1:21" ht="15" customHeight="1" x14ac:dyDescent="0.2">
      <c r="A203" s="55" t="s">
        <v>354</v>
      </c>
      <c r="B203" s="36" t="s">
        <v>189</v>
      </c>
      <c r="C203" s="49" t="s">
        <v>162</v>
      </c>
      <c r="D203" s="53" t="s">
        <v>315</v>
      </c>
      <c r="E203" s="36" t="s">
        <v>316</v>
      </c>
      <c r="F203" s="44" t="str">
        <f>IF(AND(ISNA(VLOOKUP(E203,DataType_Platform!A:A,1,FALSE())),ISNA(VLOOKUP(E203,BaseType!A:A,1,FALSE()))),"N","Y")</f>
        <v>Y</v>
      </c>
      <c r="G203" s="51"/>
      <c r="H203" s="57" t="s">
        <v>165</v>
      </c>
      <c r="I203" s="57" t="s">
        <v>166</v>
      </c>
      <c r="J203" s="56"/>
      <c r="K203" s="52">
        <v>0</v>
      </c>
      <c r="L203" s="52">
        <v>0</v>
      </c>
      <c r="M203" s="58" t="s">
        <v>166</v>
      </c>
      <c r="N203" s="52">
        <v>0</v>
      </c>
      <c r="O203" s="52">
        <v>0</v>
      </c>
      <c r="P203" s="54"/>
      <c r="Q203" s="54"/>
      <c r="R203" s="54"/>
      <c r="S203" s="54"/>
      <c r="T203" s="54"/>
      <c r="U203" s="54"/>
    </row>
    <row r="204" spans="1:21" ht="15" customHeight="1" x14ac:dyDescent="0.2">
      <c r="A204" s="55" t="s">
        <v>354</v>
      </c>
      <c r="B204" s="36" t="s">
        <v>189</v>
      </c>
      <c r="C204" s="49" t="s">
        <v>162</v>
      </c>
      <c r="D204" s="53" t="s">
        <v>359</v>
      </c>
      <c r="E204" s="36" t="s">
        <v>360</v>
      </c>
      <c r="F204" s="44" t="str">
        <f>IF(AND(ISNA(VLOOKUP(E204,DataType_Platform!A:A,1,FALSE())),ISNA(VLOOKUP(E204,BaseType!A:A,1,FALSE()))),"N","Y")</f>
        <v>Y</v>
      </c>
      <c r="G204" s="51"/>
      <c r="H204" s="57" t="s">
        <v>165</v>
      </c>
      <c r="I204" s="57" t="s">
        <v>166</v>
      </c>
      <c r="J204" s="56"/>
      <c r="K204" s="52">
        <v>0</v>
      </c>
      <c r="L204" s="52">
        <v>0</v>
      </c>
      <c r="M204" s="58" t="s">
        <v>166</v>
      </c>
      <c r="N204" s="52">
        <v>0</v>
      </c>
      <c r="O204" s="52">
        <v>0</v>
      </c>
      <c r="P204" s="54"/>
      <c r="Q204" s="54"/>
      <c r="R204" s="54"/>
      <c r="S204" s="54"/>
      <c r="T204" s="54"/>
      <c r="U204" s="54"/>
    </row>
    <row r="205" spans="1:21" ht="15" customHeight="1" x14ac:dyDescent="0.2">
      <c r="A205" s="55" t="s">
        <v>354</v>
      </c>
      <c r="B205" s="105" t="s">
        <v>189</v>
      </c>
      <c r="C205" s="49" t="s">
        <v>162</v>
      </c>
      <c r="D205" s="80" t="s">
        <v>346</v>
      </c>
      <c r="E205" s="63" t="s">
        <v>347</v>
      </c>
      <c r="F205" s="44" t="str">
        <f>IF(AND(ISNA(VLOOKUP(E205,DataType_Platform!A:A,1,FALSE())),ISNA(VLOOKUP(E205,BaseType!A:A,1,FALSE()))),"N","Y")</f>
        <v>Y</v>
      </c>
      <c r="G205" s="75"/>
      <c r="H205" s="57" t="s">
        <v>165</v>
      </c>
      <c r="I205" s="57" t="s">
        <v>166</v>
      </c>
      <c r="J205" s="56"/>
      <c r="K205" s="58">
        <v>0</v>
      </c>
      <c r="L205" s="58">
        <v>0</v>
      </c>
      <c r="M205" s="58" t="s">
        <v>166</v>
      </c>
      <c r="N205" s="58">
        <v>0</v>
      </c>
      <c r="O205" s="58">
        <v>0</v>
      </c>
      <c r="P205" s="54"/>
      <c r="Q205" s="54"/>
      <c r="R205" s="54"/>
      <c r="S205" s="54"/>
      <c r="T205" s="54"/>
      <c r="U205" s="54"/>
    </row>
    <row r="206" spans="1:21" ht="15" customHeight="1" x14ac:dyDescent="0.2">
      <c r="A206" s="55" t="s">
        <v>354</v>
      </c>
      <c r="B206" s="36" t="s">
        <v>189</v>
      </c>
      <c r="C206" s="49" t="s">
        <v>162</v>
      </c>
      <c r="D206" s="53" t="s">
        <v>324</v>
      </c>
      <c r="E206" s="36" t="s">
        <v>325</v>
      </c>
      <c r="F206" s="44" t="str">
        <f>IF(AND(ISNA(VLOOKUP(E206,DataType_Platform!A:A,1,FALSE())),ISNA(VLOOKUP(E206,BaseType!A:A,1,FALSE()))),"N","Y")</f>
        <v>Y</v>
      </c>
      <c r="G206" s="51"/>
      <c r="H206" s="57" t="s">
        <v>165</v>
      </c>
      <c r="I206" s="57" t="s">
        <v>166</v>
      </c>
      <c r="J206" s="56"/>
      <c r="K206" s="52">
        <v>0</v>
      </c>
      <c r="L206" s="52">
        <v>0</v>
      </c>
      <c r="M206" s="58" t="s">
        <v>166</v>
      </c>
      <c r="N206" s="52">
        <v>0</v>
      </c>
      <c r="O206" s="52">
        <v>0</v>
      </c>
      <c r="P206" s="54"/>
      <c r="Q206" s="54"/>
      <c r="R206" s="54"/>
      <c r="S206" s="54"/>
      <c r="T206" s="54"/>
      <c r="U206" s="54"/>
    </row>
    <row r="207" spans="1:21" ht="15" customHeight="1" x14ac:dyDescent="0.2">
      <c r="A207" s="55" t="s">
        <v>354</v>
      </c>
      <c r="B207" s="36" t="s">
        <v>189</v>
      </c>
      <c r="C207" s="49" t="s">
        <v>162</v>
      </c>
      <c r="D207" s="76" t="s">
        <v>332</v>
      </c>
      <c r="E207" s="77" t="s">
        <v>333</v>
      </c>
      <c r="F207" s="44" t="str">
        <f>IF(AND(ISNA(VLOOKUP(E207,DataType_Platform!A:A,1,FALSE())),ISNA(VLOOKUP(E207,BaseType!A:A,1,FALSE()))),"N","Y")</f>
        <v>Y</v>
      </c>
      <c r="G207" s="51"/>
      <c r="H207" s="57" t="s">
        <v>165</v>
      </c>
      <c r="I207" s="57" t="s">
        <v>166</v>
      </c>
      <c r="J207" s="56"/>
      <c r="K207" s="54"/>
      <c r="L207" s="54"/>
      <c r="M207" s="58" t="s">
        <v>166</v>
      </c>
      <c r="N207" s="54"/>
      <c r="O207" s="54"/>
      <c r="P207" s="54"/>
      <c r="Q207" s="54"/>
      <c r="R207" s="54"/>
      <c r="S207" s="54"/>
      <c r="T207" s="54"/>
      <c r="U207" s="54"/>
    </row>
    <row r="208" spans="1:21" ht="15" customHeight="1" x14ac:dyDescent="0.2">
      <c r="A208" s="55" t="s">
        <v>354</v>
      </c>
      <c r="B208" s="36" t="s">
        <v>189</v>
      </c>
      <c r="C208" s="49" t="s">
        <v>162</v>
      </c>
      <c r="D208" s="66" t="s">
        <v>163</v>
      </c>
      <c r="E208" s="11" t="s">
        <v>164</v>
      </c>
      <c r="F208" s="44" t="str">
        <f>IF(AND(ISNA(VLOOKUP(E208,DataType_Platform!A:A,1,FALSE())),ISNA(VLOOKUP(E208,BaseType!A:A,1,FALSE()))),"N","Y")</f>
        <v>Y</v>
      </c>
      <c r="G208" s="64"/>
      <c r="H208" s="56" t="s">
        <v>165</v>
      </c>
      <c r="I208" s="56" t="s">
        <v>166</v>
      </c>
      <c r="J208" s="56"/>
      <c r="K208" s="65">
        <v>0</v>
      </c>
      <c r="L208" s="65">
        <v>0</v>
      </c>
      <c r="M208" s="65" t="s">
        <v>166</v>
      </c>
      <c r="N208" s="65">
        <v>0</v>
      </c>
      <c r="O208" s="65">
        <v>0</v>
      </c>
      <c r="P208" s="42"/>
      <c r="Q208" s="42"/>
      <c r="R208" s="42"/>
      <c r="S208" s="42"/>
      <c r="T208" s="42"/>
      <c r="U208" s="42"/>
    </row>
    <row r="209" spans="1:21" ht="15" customHeight="1" x14ac:dyDescent="0.2">
      <c r="A209" s="55" t="s">
        <v>354</v>
      </c>
      <c r="B209" s="36" t="s">
        <v>189</v>
      </c>
      <c r="C209" s="49" t="s">
        <v>162</v>
      </c>
      <c r="D209" s="80" t="s">
        <v>361</v>
      </c>
      <c r="E209" s="80" t="s">
        <v>362</v>
      </c>
      <c r="F209" s="44" t="str">
        <f>IF(AND(ISNA(VLOOKUP(E209,DataType_Platform!A:A,1,FALSE())),ISNA(VLOOKUP(E209,BaseType!A:A,1,FALSE()))),"N","Y")</f>
        <v>Y</v>
      </c>
      <c r="G209" s="80"/>
      <c r="H209" s="56" t="s">
        <v>165</v>
      </c>
      <c r="I209" s="56" t="s">
        <v>166</v>
      </c>
      <c r="J209" s="56"/>
      <c r="K209" s="81"/>
      <c r="L209" s="81"/>
      <c r="M209" s="65"/>
      <c r="N209" s="81"/>
      <c r="O209" s="81"/>
      <c r="P209" s="63"/>
      <c r="Q209" s="63"/>
      <c r="R209" s="63"/>
      <c r="S209" s="63"/>
      <c r="T209" s="63"/>
      <c r="U209" s="63"/>
    </row>
    <row r="210" spans="1:21" ht="15" customHeight="1" x14ac:dyDescent="0.2">
      <c r="A210" s="55" t="s">
        <v>354</v>
      </c>
      <c r="B210" s="126" t="s">
        <v>161</v>
      </c>
      <c r="C210" s="49" t="s">
        <v>162</v>
      </c>
      <c r="D210" s="51" t="s">
        <v>363</v>
      </c>
      <c r="E210" s="107" t="s">
        <v>246</v>
      </c>
      <c r="F210" s="44" t="str">
        <f>IF(AND(ISNA(VLOOKUP(E210,DataType_Platform!A:A,1,FALSE())),ISNA(VLOOKUP(E210,BaseType!A:A,1,FALSE()))),"N","Y")</f>
        <v>Y</v>
      </c>
      <c r="G210" s="51"/>
      <c r="H210" s="57" t="s">
        <v>165</v>
      </c>
      <c r="I210" s="57" t="s">
        <v>166</v>
      </c>
      <c r="J210" s="56"/>
      <c r="K210" s="52">
        <v>0</v>
      </c>
      <c r="L210" s="52">
        <v>0</v>
      </c>
      <c r="M210" s="58" t="s">
        <v>166</v>
      </c>
      <c r="N210" s="52">
        <v>0</v>
      </c>
      <c r="O210" s="52">
        <v>0</v>
      </c>
      <c r="P210" s="63"/>
      <c r="Q210" s="63"/>
      <c r="R210" s="63"/>
      <c r="S210" s="63"/>
      <c r="T210" s="63"/>
      <c r="U210" s="63"/>
    </row>
    <row r="211" spans="1:21" ht="15" customHeight="1" x14ac:dyDescent="0.2">
      <c r="A211" s="55" t="s">
        <v>354</v>
      </c>
      <c r="B211" s="105" t="s">
        <v>161</v>
      </c>
      <c r="C211" s="49" t="s">
        <v>162</v>
      </c>
      <c r="D211" s="53" t="s">
        <v>299</v>
      </c>
      <c r="E211" s="53" t="s">
        <v>300</v>
      </c>
      <c r="F211" s="44" t="str">
        <f>IF(AND(ISNA(VLOOKUP(E211,DataType_Platform!A:A,1,FALSE())),ISNA(VLOOKUP(E211,BaseType!A:A,1,FALSE()))),"N","Y")</f>
        <v>Y</v>
      </c>
      <c r="G211" s="51"/>
      <c r="H211" s="57" t="s">
        <v>165</v>
      </c>
      <c r="I211" s="57" t="s">
        <v>166</v>
      </c>
      <c r="J211" s="56"/>
      <c r="K211" s="52">
        <v>0</v>
      </c>
      <c r="L211" s="52">
        <v>0</v>
      </c>
      <c r="M211" s="58" t="s">
        <v>166</v>
      </c>
      <c r="N211" s="52">
        <v>0</v>
      </c>
      <c r="O211" s="52">
        <v>0</v>
      </c>
      <c r="P211" s="54"/>
      <c r="Q211" s="54"/>
      <c r="R211" s="54"/>
      <c r="S211" s="54"/>
      <c r="T211" s="54"/>
      <c r="U211" s="54"/>
    </row>
    <row r="212" spans="1:21" ht="15" customHeight="1" x14ac:dyDescent="0.2">
      <c r="A212" s="55" t="s">
        <v>354</v>
      </c>
      <c r="B212" s="105" t="s">
        <v>161</v>
      </c>
      <c r="C212" s="49" t="s">
        <v>162</v>
      </c>
      <c r="D212" s="53" t="s">
        <v>198</v>
      </c>
      <c r="E212" s="53" t="s">
        <v>199</v>
      </c>
      <c r="F212" s="44" t="str">
        <f>IF(AND(ISNA(VLOOKUP(E212,DataType_Platform!A:A,1,FALSE())),ISNA(VLOOKUP(E212,BaseType!A:A,1,FALSE()))),"N","Y")</f>
        <v>Y</v>
      </c>
      <c r="G212" s="51"/>
      <c r="H212" s="57" t="s">
        <v>165</v>
      </c>
      <c r="I212" s="57" t="s">
        <v>166</v>
      </c>
      <c r="J212" s="56"/>
      <c r="K212" s="52"/>
      <c r="L212" s="52"/>
      <c r="M212" s="58"/>
      <c r="N212" s="52"/>
      <c r="O212" s="52"/>
      <c r="P212" s="54"/>
      <c r="Q212" s="54"/>
      <c r="R212" s="54"/>
      <c r="S212" s="54"/>
      <c r="T212" s="54"/>
      <c r="U212" s="54"/>
    </row>
    <row r="213" spans="1:21" ht="15" customHeight="1" x14ac:dyDescent="0.2">
      <c r="A213" s="55" t="s">
        <v>354</v>
      </c>
      <c r="B213" s="105" t="s">
        <v>161</v>
      </c>
      <c r="C213" s="49" t="s">
        <v>162</v>
      </c>
      <c r="D213" s="53" t="s">
        <v>200</v>
      </c>
      <c r="E213" s="53" t="s">
        <v>201</v>
      </c>
      <c r="F213" s="44" t="str">
        <f>IF(AND(ISNA(VLOOKUP(E213,DataType_Platform!A:A,1,FALSE())),ISNA(VLOOKUP(E213,BaseType!A:A,1,FALSE()))),"N","Y")</f>
        <v>Y</v>
      </c>
      <c r="G213" s="51"/>
      <c r="H213" s="57" t="s">
        <v>165</v>
      </c>
      <c r="I213" s="57" t="s">
        <v>166</v>
      </c>
      <c r="J213" s="56"/>
      <c r="K213" s="52">
        <v>0</v>
      </c>
      <c r="L213" s="52">
        <v>0</v>
      </c>
      <c r="M213" s="58" t="s">
        <v>166</v>
      </c>
      <c r="N213" s="52">
        <v>0</v>
      </c>
      <c r="O213" s="52">
        <v>0</v>
      </c>
      <c r="P213" s="54"/>
      <c r="Q213" s="54"/>
      <c r="R213" s="54"/>
      <c r="S213" s="54"/>
      <c r="T213" s="54"/>
      <c r="U213" s="54"/>
    </row>
    <row r="214" spans="1:21" ht="15" customHeight="1" x14ac:dyDescent="0.2">
      <c r="A214" s="55" t="s">
        <v>354</v>
      </c>
      <c r="B214" s="36" t="s">
        <v>161</v>
      </c>
      <c r="C214" s="49" t="s">
        <v>162</v>
      </c>
      <c r="D214" s="53" t="s">
        <v>344</v>
      </c>
      <c r="E214" s="53" t="s">
        <v>345</v>
      </c>
      <c r="F214" s="44" t="str">
        <f>IF(AND(ISNA(VLOOKUP(E214,DataType_Platform!A:A,1,FALSE())),ISNA(VLOOKUP(E214,BaseType!A:A,1,FALSE()))),"N","Y")</f>
        <v>Y</v>
      </c>
      <c r="G214" s="51"/>
      <c r="H214" s="57" t="s">
        <v>165</v>
      </c>
      <c r="I214" s="57" t="s">
        <v>166</v>
      </c>
      <c r="J214" s="56"/>
      <c r="K214" s="52">
        <v>0</v>
      </c>
      <c r="L214" s="52">
        <v>0</v>
      </c>
      <c r="M214" s="58" t="s">
        <v>166</v>
      </c>
      <c r="N214" s="52">
        <v>0</v>
      </c>
      <c r="O214" s="52">
        <v>0</v>
      </c>
      <c r="P214" s="54"/>
      <c r="Q214" s="54"/>
      <c r="R214" s="54"/>
      <c r="S214" s="54"/>
      <c r="T214" s="54"/>
      <c r="U214" s="54"/>
    </row>
    <row r="215" spans="1:21" ht="15" customHeight="1" x14ac:dyDescent="0.2">
      <c r="A215" s="55" t="s">
        <v>354</v>
      </c>
      <c r="B215" s="36" t="s">
        <v>161</v>
      </c>
      <c r="C215" s="49" t="s">
        <v>162</v>
      </c>
      <c r="D215" s="53" t="s">
        <v>364</v>
      </c>
      <c r="E215" s="53" t="s">
        <v>365</v>
      </c>
      <c r="F215" s="44" t="str">
        <f>IF(AND(ISNA(VLOOKUP(E215,DataType_Platform!A:A,1,FALSE())),ISNA(VLOOKUP(E215,BaseType!A:A,1,FALSE()))),"N","Y")</f>
        <v>Y</v>
      </c>
      <c r="G215" s="51"/>
      <c r="H215" s="57" t="s">
        <v>165</v>
      </c>
      <c r="I215" s="57" t="s">
        <v>166</v>
      </c>
      <c r="J215" s="56"/>
      <c r="K215" s="52">
        <v>0</v>
      </c>
      <c r="L215" s="52">
        <v>0</v>
      </c>
      <c r="M215" s="58" t="s">
        <v>166</v>
      </c>
      <c r="N215" s="52">
        <v>0</v>
      </c>
      <c r="O215" s="52">
        <v>0</v>
      </c>
      <c r="P215" s="54"/>
      <c r="Q215" s="54"/>
      <c r="R215" s="54"/>
      <c r="S215" s="54"/>
      <c r="T215" s="54"/>
      <c r="U215" s="54"/>
    </row>
    <row r="216" spans="1:21" ht="15" customHeight="1" x14ac:dyDescent="0.2">
      <c r="A216" s="72" t="s">
        <v>366</v>
      </c>
      <c r="B216" s="36" t="s">
        <v>189</v>
      </c>
      <c r="C216" s="49" t="s">
        <v>162</v>
      </c>
      <c r="D216" s="53" t="s">
        <v>183</v>
      </c>
      <c r="E216" s="50" t="s">
        <v>184</v>
      </c>
      <c r="F216" s="44" t="str">
        <f>IF(AND(ISNA(VLOOKUP(E216,DataType_Platform!A:A,1,FALSE())),ISNA(VLOOKUP(E216,BaseType!A:A,1,FALSE()))),"N","Y")</f>
        <v>Y</v>
      </c>
      <c r="G216" s="51"/>
      <c r="H216" s="57" t="s">
        <v>165</v>
      </c>
      <c r="I216" s="57" t="s">
        <v>166</v>
      </c>
      <c r="J216" s="56"/>
      <c r="K216" s="52">
        <v>0</v>
      </c>
      <c r="L216" s="52">
        <v>0</v>
      </c>
      <c r="M216" s="58" t="s">
        <v>166</v>
      </c>
      <c r="N216" s="52">
        <v>0</v>
      </c>
      <c r="O216" s="52">
        <v>0</v>
      </c>
      <c r="P216" s="54"/>
      <c r="Q216" s="54"/>
      <c r="R216" s="54"/>
      <c r="S216" s="54"/>
      <c r="T216" s="54"/>
      <c r="U216" s="54"/>
    </row>
    <row r="217" spans="1:21" ht="15" customHeight="1" x14ac:dyDescent="0.2">
      <c r="A217" s="72" t="s">
        <v>366</v>
      </c>
      <c r="B217" s="36" t="s">
        <v>189</v>
      </c>
      <c r="C217" s="49" t="s">
        <v>162</v>
      </c>
      <c r="D217" s="92" t="s">
        <v>299</v>
      </c>
      <c r="E217" s="98" t="s">
        <v>300</v>
      </c>
      <c r="F217" s="44" t="str">
        <f>IF(AND(ISNA(VLOOKUP(E217,DataType_Platform!A:A,1,FALSE())),ISNA(VLOOKUP(E217,BaseType!A:A,1,FALSE()))),"N","Y")</f>
        <v>Y</v>
      </c>
      <c r="G217" s="51"/>
      <c r="H217" s="57" t="s">
        <v>165</v>
      </c>
      <c r="I217" s="57" t="s">
        <v>166</v>
      </c>
      <c r="J217" s="56"/>
      <c r="K217" s="52">
        <v>0</v>
      </c>
      <c r="L217" s="52">
        <v>0</v>
      </c>
      <c r="M217" s="58" t="s">
        <v>166</v>
      </c>
      <c r="N217" s="52">
        <v>0</v>
      </c>
      <c r="O217" s="52">
        <v>0</v>
      </c>
      <c r="P217" s="54"/>
      <c r="Q217" s="54"/>
      <c r="R217" s="54"/>
      <c r="S217" s="54"/>
      <c r="T217" s="54"/>
      <c r="U217" s="54"/>
    </row>
    <row r="218" spans="1:21" ht="15" customHeight="1" x14ac:dyDescent="0.2">
      <c r="A218" s="72" t="s">
        <v>366</v>
      </c>
      <c r="B218" s="36" t="s">
        <v>189</v>
      </c>
      <c r="C218" s="49" t="s">
        <v>162</v>
      </c>
      <c r="D218" s="53" t="s">
        <v>198</v>
      </c>
      <c r="E218" s="53" t="s">
        <v>199</v>
      </c>
      <c r="F218" s="44" t="str">
        <f>IF(AND(ISNA(VLOOKUP(E218,DataType_Platform!A:A,1,FALSE())),ISNA(VLOOKUP(E218,BaseType!A:A,1,FALSE()))),"N","Y")</f>
        <v>Y</v>
      </c>
      <c r="G218" s="51"/>
      <c r="H218" s="57" t="s">
        <v>165</v>
      </c>
      <c r="I218" s="57" t="s">
        <v>166</v>
      </c>
      <c r="J218" s="56"/>
      <c r="K218" s="52">
        <v>0</v>
      </c>
      <c r="L218" s="52">
        <v>0</v>
      </c>
      <c r="M218" s="58" t="s">
        <v>166</v>
      </c>
      <c r="N218" s="52">
        <v>0</v>
      </c>
      <c r="O218" s="52">
        <v>0</v>
      </c>
      <c r="P218" s="54"/>
      <c r="Q218" s="54"/>
      <c r="R218" s="54"/>
      <c r="S218" s="54"/>
      <c r="T218" s="54"/>
      <c r="U218" s="54"/>
    </row>
    <row r="219" spans="1:21" ht="15" customHeight="1" x14ac:dyDescent="0.2">
      <c r="A219" s="72" t="s">
        <v>366</v>
      </c>
      <c r="B219" s="36" t="s">
        <v>189</v>
      </c>
      <c r="C219" s="49" t="s">
        <v>162</v>
      </c>
      <c r="D219" s="53" t="s">
        <v>282</v>
      </c>
      <c r="E219" s="36" t="s">
        <v>225</v>
      </c>
      <c r="F219" s="44" t="str">
        <f>IF(AND(ISNA(VLOOKUP(E219,DataType_Platform!A:A,1,FALSE())),ISNA(VLOOKUP(E219,BaseType!A:A,1,FALSE()))),"N","Y")</f>
        <v>Y</v>
      </c>
      <c r="G219" s="51"/>
      <c r="H219" s="57" t="s">
        <v>165</v>
      </c>
      <c r="I219" s="57" t="s">
        <v>166</v>
      </c>
      <c r="J219" s="56"/>
      <c r="K219" s="52">
        <v>0</v>
      </c>
      <c r="L219" s="52">
        <v>0</v>
      </c>
      <c r="M219" s="58" t="s">
        <v>166</v>
      </c>
      <c r="N219" s="52">
        <v>0</v>
      </c>
      <c r="O219" s="52">
        <v>0</v>
      </c>
      <c r="P219" s="54"/>
      <c r="Q219" s="54"/>
      <c r="R219" s="54"/>
      <c r="S219" s="54"/>
      <c r="T219" s="54"/>
      <c r="U219" s="54"/>
    </row>
    <row r="220" spans="1:21" ht="15" customHeight="1" x14ac:dyDescent="0.2">
      <c r="A220" s="72" t="s">
        <v>366</v>
      </c>
      <c r="B220" s="36" t="s">
        <v>189</v>
      </c>
      <c r="C220" s="49" t="s">
        <v>162</v>
      </c>
      <c r="D220" s="53" t="s">
        <v>281</v>
      </c>
      <c r="E220" s="36" t="s">
        <v>225</v>
      </c>
      <c r="F220" s="44" t="str">
        <f>IF(AND(ISNA(VLOOKUP(E220,DataType_Platform!A:A,1,FALSE())),ISNA(VLOOKUP(E220,BaseType!A:A,1,FALSE()))),"N","Y")</f>
        <v>Y</v>
      </c>
      <c r="G220" s="51"/>
      <c r="H220" s="57" t="s">
        <v>165</v>
      </c>
      <c r="I220" s="57" t="s">
        <v>166</v>
      </c>
      <c r="J220" s="56"/>
      <c r="K220" s="52">
        <v>0</v>
      </c>
      <c r="L220" s="52">
        <v>0</v>
      </c>
      <c r="M220" s="58" t="s">
        <v>166</v>
      </c>
      <c r="N220" s="52">
        <v>0</v>
      </c>
      <c r="O220" s="52">
        <v>0</v>
      </c>
      <c r="P220" s="54"/>
      <c r="Q220" s="54"/>
      <c r="R220" s="54"/>
      <c r="S220" s="54"/>
      <c r="T220" s="54"/>
      <c r="U220" s="54"/>
    </row>
    <row r="221" spans="1:21" ht="15" customHeight="1" x14ac:dyDescent="0.2">
      <c r="A221" s="72" t="s">
        <v>366</v>
      </c>
      <c r="B221" s="36" t="s">
        <v>189</v>
      </c>
      <c r="C221" s="49" t="s">
        <v>162</v>
      </c>
      <c r="D221" s="53" t="s">
        <v>287</v>
      </c>
      <c r="E221" s="36" t="s">
        <v>225</v>
      </c>
      <c r="F221" s="44" t="str">
        <f>IF(AND(ISNA(VLOOKUP(E221,DataType_Platform!A:A,1,FALSE())),ISNA(VLOOKUP(E221,BaseType!A:A,1,FALSE()))),"N","Y")</f>
        <v>Y</v>
      </c>
      <c r="G221" s="51"/>
      <c r="H221" s="57" t="s">
        <v>165</v>
      </c>
      <c r="I221" s="57" t="s">
        <v>166</v>
      </c>
      <c r="J221" s="56"/>
      <c r="K221" s="52">
        <v>0</v>
      </c>
      <c r="L221" s="52">
        <v>0</v>
      </c>
      <c r="M221" s="58" t="s">
        <v>166</v>
      </c>
      <c r="N221" s="52">
        <v>0</v>
      </c>
      <c r="O221" s="52">
        <v>0</v>
      </c>
      <c r="P221" s="54"/>
      <c r="Q221" s="54"/>
      <c r="R221" s="54"/>
      <c r="S221" s="54"/>
      <c r="T221" s="54"/>
      <c r="U221" s="54"/>
    </row>
    <row r="222" spans="1:21" ht="15" customHeight="1" x14ac:dyDescent="0.2">
      <c r="A222" s="72" t="s">
        <v>366</v>
      </c>
      <c r="B222" s="36" t="s">
        <v>189</v>
      </c>
      <c r="C222" s="49" t="s">
        <v>162</v>
      </c>
      <c r="D222" s="53" t="s">
        <v>289</v>
      </c>
      <c r="E222" s="36" t="s">
        <v>225</v>
      </c>
      <c r="F222" s="44" t="str">
        <f>IF(AND(ISNA(VLOOKUP(E222,DataType_Platform!A:A,1,FALSE())),ISNA(VLOOKUP(E222,BaseType!A:A,1,FALSE()))),"N","Y")</f>
        <v>Y</v>
      </c>
      <c r="G222" s="51"/>
      <c r="H222" s="57" t="s">
        <v>165</v>
      </c>
      <c r="I222" s="57" t="s">
        <v>166</v>
      </c>
      <c r="J222" s="56"/>
      <c r="K222" s="52">
        <v>0</v>
      </c>
      <c r="L222" s="52">
        <v>0</v>
      </c>
      <c r="M222" s="58" t="s">
        <v>166</v>
      </c>
      <c r="N222" s="52">
        <v>0</v>
      </c>
      <c r="O222" s="52">
        <v>0</v>
      </c>
      <c r="P222" s="54"/>
      <c r="Q222" s="54"/>
      <c r="R222" s="54"/>
      <c r="S222" s="54"/>
      <c r="T222" s="54"/>
      <c r="U222" s="54"/>
    </row>
    <row r="223" spans="1:21" ht="15" customHeight="1" x14ac:dyDescent="0.2">
      <c r="A223" s="72" t="s">
        <v>366</v>
      </c>
      <c r="B223" s="36" t="s">
        <v>189</v>
      </c>
      <c r="C223" s="49" t="s">
        <v>162</v>
      </c>
      <c r="D223" s="53" t="s">
        <v>288</v>
      </c>
      <c r="E223" s="36" t="s">
        <v>225</v>
      </c>
      <c r="F223" s="44" t="str">
        <f>IF(AND(ISNA(VLOOKUP(E223,DataType_Platform!A:A,1,FALSE())),ISNA(VLOOKUP(E223,BaseType!A:A,1,FALSE()))),"N","Y")</f>
        <v>Y</v>
      </c>
      <c r="G223" s="51"/>
      <c r="H223" s="57" t="s">
        <v>165</v>
      </c>
      <c r="I223" s="57" t="s">
        <v>166</v>
      </c>
      <c r="J223" s="56"/>
      <c r="K223" s="52">
        <v>0</v>
      </c>
      <c r="L223" s="52">
        <v>0</v>
      </c>
      <c r="M223" s="58" t="s">
        <v>166</v>
      </c>
      <c r="N223" s="52">
        <v>0</v>
      </c>
      <c r="O223" s="52">
        <v>0</v>
      </c>
      <c r="P223" s="54"/>
      <c r="Q223" s="54"/>
      <c r="R223" s="54"/>
      <c r="S223" s="54"/>
      <c r="T223" s="54"/>
      <c r="U223" s="54"/>
    </row>
    <row r="224" spans="1:21" ht="15" customHeight="1" x14ac:dyDescent="0.2">
      <c r="A224" s="72" t="s">
        <v>366</v>
      </c>
      <c r="B224" s="36" t="s">
        <v>189</v>
      </c>
      <c r="C224" s="49" t="s">
        <v>162</v>
      </c>
      <c r="D224" s="53" t="s">
        <v>286</v>
      </c>
      <c r="E224" s="36" t="s">
        <v>225</v>
      </c>
      <c r="F224" s="44" t="str">
        <f>IF(AND(ISNA(VLOOKUP(E224,DataType_Platform!A:A,1,FALSE())),ISNA(VLOOKUP(E224,BaseType!A:A,1,FALSE()))),"N","Y")</f>
        <v>Y</v>
      </c>
      <c r="G224" s="51"/>
      <c r="H224" s="57" t="s">
        <v>165</v>
      </c>
      <c r="I224" s="57" t="s">
        <v>166</v>
      </c>
      <c r="J224" s="56"/>
      <c r="K224" s="52">
        <v>0</v>
      </c>
      <c r="L224" s="52">
        <v>0</v>
      </c>
      <c r="M224" s="58" t="s">
        <v>166</v>
      </c>
      <c r="N224" s="52">
        <v>0</v>
      </c>
      <c r="O224" s="52">
        <v>0</v>
      </c>
      <c r="P224" s="54"/>
      <c r="Q224" s="54"/>
      <c r="R224" s="54"/>
      <c r="S224" s="54"/>
      <c r="T224" s="54"/>
      <c r="U224" s="54"/>
    </row>
    <row r="225" spans="1:21" ht="15" customHeight="1" x14ac:dyDescent="0.2">
      <c r="A225" s="72" t="s">
        <v>366</v>
      </c>
      <c r="B225" s="36" t="s">
        <v>189</v>
      </c>
      <c r="C225" s="49" t="s">
        <v>162</v>
      </c>
      <c r="D225" s="53" t="s">
        <v>291</v>
      </c>
      <c r="E225" s="36" t="s">
        <v>225</v>
      </c>
      <c r="F225" s="44" t="str">
        <f>IF(AND(ISNA(VLOOKUP(E225,DataType_Platform!A:A,1,FALSE())),ISNA(VLOOKUP(E225,BaseType!A:A,1,FALSE()))),"N","Y")</f>
        <v>Y</v>
      </c>
      <c r="G225" s="51"/>
      <c r="H225" s="57" t="s">
        <v>165</v>
      </c>
      <c r="I225" s="57" t="s">
        <v>166</v>
      </c>
      <c r="J225" s="56"/>
      <c r="K225" s="52">
        <v>0</v>
      </c>
      <c r="L225" s="52">
        <v>0</v>
      </c>
      <c r="M225" s="58" t="s">
        <v>166</v>
      </c>
      <c r="N225" s="52">
        <v>0</v>
      </c>
      <c r="O225" s="52">
        <v>0</v>
      </c>
      <c r="P225" s="54"/>
      <c r="Q225" s="54"/>
      <c r="R225" s="54"/>
      <c r="S225" s="54"/>
      <c r="T225" s="54"/>
      <c r="U225" s="54"/>
    </row>
    <row r="226" spans="1:21" ht="15" customHeight="1" x14ac:dyDescent="0.2">
      <c r="A226" s="72" t="s">
        <v>366</v>
      </c>
      <c r="B226" s="36" t="s">
        <v>189</v>
      </c>
      <c r="C226" s="49" t="s">
        <v>162</v>
      </c>
      <c r="D226" s="53" t="s">
        <v>253</v>
      </c>
      <c r="E226" s="51" t="s">
        <v>254</v>
      </c>
      <c r="F226" s="44" t="str">
        <f>IF(AND(ISNA(VLOOKUP(E226,DataType_Platform!A:A,1,FALSE())),ISNA(VLOOKUP(E226,BaseType!A:A,1,FALSE()))),"N","Y")</f>
        <v>Y</v>
      </c>
      <c r="G226" s="51"/>
      <c r="H226" s="57" t="s">
        <v>165</v>
      </c>
      <c r="I226" s="57" t="s">
        <v>166</v>
      </c>
      <c r="J226" s="56"/>
      <c r="K226" s="52">
        <v>0</v>
      </c>
      <c r="L226" s="52">
        <v>0</v>
      </c>
      <c r="M226" s="58" t="s">
        <v>166</v>
      </c>
      <c r="N226" s="52">
        <v>0</v>
      </c>
      <c r="O226" s="52">
        <v>0</v>
      </c>
      <c r="P226" s="54"/>
      <c r="Q226" s="54"/>
      <c r="R226" s="54"/>
      <c r="S226" s="54"/>
      <c r="T226" s="54"/>
      <c r="U226" s="54"/>
    </row>
    <row r="227" spans="1:21" ht="15" customHeight="1" x14ac:dyDescent="0.2">
      <c r="A227" s="72" t="s">
        <v>366</v>
      </c>
      <c r="B227" s="36" t="s">
        <v>189</v>
      </c>
      <c r="C227" s="49" t="s">
        <v>162</v>
      </c>
      <c r="D227" s="53" t="s">
        <v>206</v>
      </c>
      <c r="E227" s="51" t="s">
        <v>207</v>
      </c>
      <c r="F227" s="44" t="str">
        <f>IF(AND(ISNA(VLOOKUP(E227,DataType_Platform!A:A,1,FALSE())),ISNA(VLOOKUP(E227,BaseType!A:A,1,FALSE()))),"N","Y")</f>
        <v>Y</v>
      </c>
      <c r="G227" s="51"/>
      <c r="H227" s="57" t="s">
        <v>165</v>
      </c>
      <c r="I227" s="57" t="s">
        <v>166</v>
      </c>
      <c r="J227" s="56"/>
      <c r="K227" s="52">
        <v>0</v>
      </c>
      <c r="L227" s="52">
        <v>0</v>
      </c>
      <c r="M227" s="58" t="s">
        <v>166</v>
      </c>
      <c r="N227" s="52">
        <v>0</v>
      </c>
      <c r="O227" s="52">
        <v>0</v>
      </c>
      <c r="P227" s="54"/>
      <c r="Q227" s="54"/>
      <c r="R227" s="54"/>
      <c r="S227" s="54"/>
      <c r="T227" s="54"/>
      <c r="U227" s="54"/>
    </row>
    <row r="228" spans="1:21" ht="15" customHeight="1" x14ac:dyDescent="0.2">
      <c r="A228" s="72" t="s">
        <v>366</v>
      </c>
      <c r="B228" s="36" t="s">
        <v>189</v>
      </c>
      <c r="C228" s="49" t="s">
        <v>162</v>
      </c>
      <c r="D228" s="51" t="s">
        <v>344</v>
      </c>
      <c r="E228" s="51" t="s">
        <v>345</v>
      </c>
      <c r="F228" s="44" t="str">
        <f>IF(AND(ISNA(VLOOKUP(E228,DataType_Platform!A:A,1,FALSE())),ISNA(VLOOKUP(E228,BaseType!A:A,1,FALSE()))),"N","Y")</f>
        <v>Y</v>
      </c>
      <c r="G228" s="51"/>
      <c r="H228" s="57" t="s">
        <v>165</v>
      </c>
      <c r="I228" s="57" t="s">
        <v>166</v>
      </c>
      <c r="J228" s="56"/>
      <c r="K228" s="52">
        <v>0</v>
      </c>
      <c r="L228" s="52">
        <v>0</v>
      </c>
      <c r="M228" s="58" t="s">
        <v>166</v>
      </c>
      <c r="N228" s="52">
        <v>0</v>
      </c>
      <c r="O228" s="52">
        <v>0</v>
      </c>
      <c r="P228" s="54"/>
      <c r="Q228" s="54"/>
      <c r="R228" s="54"/>
      <c r="S228" s="54"/>
      <c r="T228" s="54"/>
      <c r="U228" s="54"/>
    </row>
    <row r="229" spans="1:21" ht="15" customHeight="1" x14ac:dyDescent="0.2">
      <c r="A229" s="72" t="s">
        <v>366</v>
      </c>
      <c r="B229" s="36" t="s">
        <v>189</v>
      </c>
      <c r="C229" s="49" t="s">
        <v>162</v>
      </c>
      <c r="D229" s="51" t="s">
        <v>261</v>
      </c>
      <c r="E229" s="51" t="s">
        <v>262</v>
      </c>
      <c r="F229" s="44" t="str">
        <f>IF(AND(ISNA(VLOOKUP(E229,DataType_Platform!A:A,1,FALSE())),ISNA(VLOOKUP(E229,BaseType!A:A,1,FALSE()))),"N","Y")</f>
        <v>Y</v>
      </c>
      <c r="G229" s="51"/>
      <c r="H229" s="57" t="s">
        <v>165</v>
      </c>
      <c r="I229" s="57" t="s">
        <v>166</v>
      </c>
      <c r="J229" s="56"/>
      <c r="K229" s="52">
        <v>0</v>
      </c>
      <c r="L229" s="52">
        <v>0</v>
      </c>
      <c r="M229" s="58" t="s">
        <v>166</v>
      </c>
      <c r="N229" s="52">
        <v>0</v>
      </c>
      <c r="O229" s="52">
        <v>0</v>
      </c>
      <c r="P229" s="54"/>
      <c r="Q229" s="54"/>
      <c r="R229" s="54"/>
      <c r="S229" s="54"/>
      <c r="T229" s="54"/>
      <c r="U229" s="54"/>
    </row>
    <row r="230" spans="1:21" ht="15" customHeight="1" x14ac:dyDescent="0.2">
      <c r="A230" s="72" t="s">
        <v>366</v>
      </c>
      <c r="B230" s="36" t="s">
        <v>189</v>
      </c>
      <c r="C230" s="49" t="s">
        <v>162</v>
      </c>
      <c r="D230" s="51" t="s">
        <v>283</v>
      </c>
      <c r="E230" s="51" t="s">
        <v>225</v>
      </c>
      <c r="F230" s="44" t="str">
        <f>IF(AND(ISNA(VLOOKUP(E230,DataType_Platform!A:A,1,FALSE())),ISNA(VLOOKUP(E230,BaseType!A:A,1,FALSE()))),"N","Y")</f>
        <v>Y</v>
      </c>
      <c r="G230" s="51"/>
      <c r="H230" s="57" t="s">
        <v>165</v>
      </c>
      <c r="I230" s="57" t="s">
        <v>166</v>
      </c>
      <c r="J230" s="56"/>
      <c r="K230" s="52">
        <v>0</v>
      </c>
      <c r="L230" s="52">
        <v>0</v>
      </c>
      <c r="M230" s="58" t="s">
        <v>166</v>
      </c>
      <c r="N230" s="52">
        <v>0</v>
      </c>
      <c r="O230" s="52">
        <v>0</v>
      </c>
      <c r="P230" s="54"/>
      <c r="Q230" s="54"/>
      <c r="R230" s="54"/>
      <c r="S230" s="54"/>
      <c r="T230" s="54"/>
      <c r="U230" s="54"/>
    </row>
    <row r="231" spans="1:21" ht="15" customHeight="1" x14ac:dyDescent="0.2">
      <c r="A231" s="72" t="s">
        <v>366</v>
      </c>
      <c r="B231" s="39" t="s">
        <v>189</v>
      </c>
      <c r="C231" s="49" t="s">
        <v>162</v>
      </c>
      <c r="D231" s="51" t="s">
        <v>284</v>
      </c>
      <c r="E231" s="51" t="s">
        <v>225</v>
      </c>
      <c r="F231" s="44" t="str">
        <f>IF(AND(ISNA(VLOOKUP(E231,DataType_Platform!A:A,1,FALSE())),ISNA(VLOOKUP(E231,BaseType!A:A,1,FALSE()))),"N","Y")</f>
        <v>Y</v>
      </c>
      <c r="G231" s="51"/>
      <c r="H231" s="57" t="s">
        <v>165</v>
      </c>
      <c r="I231" s="57" t="s">
        <v>166</v>
      </c>
      <c r="J231" s="56"/>
      <c r="K231" s="52">
        <v>1</v>
      </c>
      <c r="L231" s="52">
        <v>1</v>
      </c>
      <c r="M231" s="58" t="s">
        <v>166</v>
      </c>
      <c r="N231" s="52">
        <v>0</v>
      </c>
      <c r="O231" s="52">
        <v>0</v>
      </c>
      <c r="P231" s="54"/>
      <c r="Q231" s="54"/>
      <c r="R231" s="54"/>
      <c r="S231" s="54"/>
      <c r="T231" s="54"/>
      <c r="U231" s="54"/>
    </row>
    <row r="232" spans="1:21" ht="15" customHeight="1" x14ac:dyDescent="0.2">
      <c r="A232" s="114" t="s">
        <v>366</v>
      </c>
      <c r="B232" s="77" t="s">
        <v>189</v>
      </c>
      <c r="C232" s="49" t="s">
        <v>162</v>
      </c>
      <c r="D232" s="51" t="s">
        <v>285</v>
      </c>
      <c r="E232" s="51" t="s">
        <v>225</v>
      </c>
      <c r="F232" s="44" t="str">
        <f>IF(AND(ISNA(VLOOKUP(E232,DataType_Platform!A:A,1,FALSE())),ISNA(VLOOKUP(E232,BaseType!A:A,1,FALSE()))),"N","Y")</f>
        <v>Y</v>
      </c>
      <c r="G232" s="115"/>
      <c r="H232" s="57" t="s">
        <v>165</v>
      </c>
      <c r="I232" s="57" t="s">
        <v>166</v>
      </c>
      <c r="J232" s="56"/>
      <c r="K232" s="52">
        <v>0</v>
      </c>
      <c r="L232" s="52">
        <v>0</v>
      </c>
      <c r="M232" s="58" t="s">
        <v>166</v>
      </c>
      <c r="N232" s="52">
        <v>0</v>
      </c>
      <c r="O232" s="52">
        <v>0</v>
      </c>
      <c r="P232" s="54"/>
      <c r="Q232" s="54"/>
      <c r="R232" s="54"/>
      <c r="S232" s="54"/>
      <c r="T232" s="54"/>
      <c r="U232" s="54"/>
    </row>
    <row r="233" spans="1:21" ht="15" customHeight="1" x14ac:dyDescent="0.2">
      <c r="A233" s="69" t="s">
        <v>366</v>
      </c>
      <c r="B233" s="107" t="s">
        <v>161</v>
      </c>
      <c r="C233" s="49" t="s">
        <v>162</v>
      </c>
      <c r="D233" s="51" t="s">
        <v>367</v>
      </c>
      <c r="E233" s="51" t="s">
        <v>246</v>
      </c>
      <c r="F233" s="44" t="str">
        <f>IF(AND(ISNA(VLOOKUP(E233,DataType_Platform!A:A,1,FALSE())),ISNA(VLOOKUP(E233,BaseType!A:A,1,FALSE()))),"N","Y")</f>
        <v>Y</v>
      </c>
      <c r="G233" s="51"/>
      <c r="H233" s="57" t="s">
        <v>165</v>
      </c>
      <c r="I233" s="57" t="s">
        <v>166</v>
      </c>
      <c r="J233" s="56"/>
      <c r="K233" s="52">
        <v>0</v>
      </c>
      <c r="L233" s="52">
        <v>0</v>
      </c>
      <c r="M233" s="58" t="s">
        <v>166</v>
      </c>
      <c r="N233" s="52">
        <v>0</v>
      </c>
      <c r="O233" s="52">
        <v>0</v>
      </c>
      <c r="P233" s="54"/>
      <c r="Q233" s="54"/>
      <c r="R233" s="54"/>
      <c r="S233" s="54"/>
      <c r="T233" s="54"/>
      <c r="U233" s="54"/>
    </row>
    <row r="234" spans="1:21" ht="15" customHeight="1" x14ac:dyDescent="0.2">
      <c r="A234" s="69" t="s">
        <v>366</v>
      </c>
      <c r="B234" s="59" t="s">
        <v>161</v>
      </c>
      <c r="C234" s="49" t="s">
        <v>162</v>
      </c>
      <c r="D234" s="51" t="s">
        <v>361</v>
      </c>
      <c r="E234" s="51" t="s">
        <v>362</v>
      </c>
      <c r="F234" s="44" t="str">
        <f>IF(AND(ISNA(VLOOKUP(E234,DataType_Platform!A:A,1,FALSE())),ISNA(VLOOKUP(E234,BaseType!A:A,1,FALSE()))),"N","Y")</f>
        <v>Y</v>
      </c>
      <c r="G234" s="51"/>
      <c r="H234" s="57" t="s">
        <v>165</v>
      </c>
      <c r="I234" s="57" t="s">
        <v>166</v>
      </c>
      <c r="J234" s="56"/>
      <c r="K234" s="52"/>
      <c r="L234" s="52"/>
      <c r="M234" s="58"/>
      <c r="N234" s="52"/>
      <c r="O234" s="52"/>
      <c r="P234" s="54"/>
      <c r="Q234" s="54"/>
      <c r="R234" s="54"/>
      <c r="S234" s="54"/>
      <c r="T234" s="54"/>
      <c r="U234" s="54"/>
    </row>
    <row r="235" spans="1:21" ht="15" customHeight="1" x14ac:dyDescent="0.2">
      <c r="A235" s="69" t="s">
        <v>366</v>
      </c>
      <c r="B235" s="59" t="s">
        <v>161</v>
      </c>
      <c r="C235" s="49" t="s">
        <v>162</v>
      </c>
      <c r="D235" s="51" t="s">
        <v>202</v>
      </c>
      <c r="E235" s="51" t="s">
        <v>203</v>
      </c>
      <c r="F235" s="44" t="str">
        <f>IF(AND(ISNA(VLOOKUP(E235,DataType_Platform!A:A,1,FALSE())),ISNA(VLOOKUP(E235,BaseType!A:A,1,FALSE()))),"N","Y")</f>
        <v>Y</v>
      </c>
      <c r="G235" s="51"/>
      <c r="H235" s="57" t="s">
        <v>165</v>
      </c>
      <c r="I235" s="57" t="s">
        <v>166</v>
      </c>
      <c r="J235" s="56"/>
      <c r="K235" s="52">
        <v>0</v>
      </c>
      <c r="L235" s="52">
        <v>0</v>
      </c>
      <c r="M235" s="58" t="s">
        <v>166</v>
      </c>
      <c r="N235" s="52">
        <v>0</v>
      </c>
      <c r="O235" s="52">
        <v>0</v>
      </c>
      <c r="P235" s="54"/>
      <c r="Q235" s="54"/>
      <c r="R235" s="54"/>
      <c r="S235" s="54"/>
      <c r="T235" s="54"/>
      <c r="U235" s="54"/>
    </row>
    <row r="236" spans="1:21" ht="15" customHeight="1" x14ac:dyDescent="0.2">
      <c r="A236" s="69" t="s">
        <v>366</v>
      </c>
      <c r="B236" s="107" t="s">
        <v>161</v>
      </c>
      <c r="C236" s="49" t="s">
        <v>162</v>
      </c>
      <c r="D236" s="51" t="s">
        <v>204</v>
      </c>
      <c r="E236" s="51" t="s">
        <v>205</v>
      </c>
      <c r="F236" s="44" t="str">
        <f>IF(AND(ISNA(VLOOKUP(E236,DataType_Platform!A:A,1,FALSE())),ISNA(VLOOKUP(E236,BaseType!A:A,1,FALSE()))),"N","Y")</f>
        <v>Y</v>
      </c>
      <c r="G236" s="51"/>
      <c r="H236" s="57" t="s">
        <v>165</v>
      </c>
      <c r="I236" s="57" t="s">
        <v>166</v>
      </c>
      <c r="J236" s="56"/>
      <c r="K236" s="52">
        <v>0</v>
      </c>
      <c r="L236" s="52">
        <v>0</v>
      </c>
      <c r="M236" s="58" t="s">
        <v>166</v>
      </c>
      <c r="N236" s="52">
        <v>0</v>
      </c>
      <c r="O236" s="52">
        <v>0</v>
      </c>
      <c r="P236" s="54"/>
      <c r="Q236" s="54"/>
      <c r="R236" s="54"/>
      <c r="S236" s="54"/>
      <c r="T236" s="54"/>
      <c r="U236" s="54"/>
    </row>
    <row r="237" spans="1:21" ht="15" customHeight="1" x14ac:dyDescent="0.2">
      <c r="A237" s="73" t="s">
        <v>368</v>
      </c>
      <c r="B237" s="36" t="s">
        <v>189</v>
      </c>
      <c r="C237" s="49" t="s">
        <v>162</v>
      </c>
      <c r="D237" s="53" t="s">
        <v>183</v>
      </c>
      <c r="E237" s="50" t="s">
        <v>184</v>
      </c>
      <c r="F237" s="44" t="str">
        <f>IF(AND(ISNA(VLOOKUP(E237,DataType_Platform!A:A,1,FALSE())),ISNA(VLOOKUP(E237,BaseType!A:A,1,FALSE()))),"N","Y")</f>
        <v>Y</v>
      </c>
      <c r="G237" s="51"/>
      <c r="H237" s="57" t="s">
        <v>165</v>
      </c>
      <c r="I237" s="57" t="s">
        <v>166</v>
      </c>
      <c r="J237" s="56"/>
      <c r="K237" s="52"/>
      <c r="L237" s="52"/>
      <c r="M237" s="58"/>
      <c r="N237" s="52"/>
      <c r="O237" s="52"/>
      <c r="P237" s="54"/>
      <c r="Q237" s="54"/>
      <c r="R237" s="54"/>
      <c r="S237" s="54"/>
      <c r="T237" s="54"/>
      <c r="U237" s="54"/>
    </row>
    <row r="238" spans="1:21" ht="15" customHeight="1" x14ac:dyDescent="0.2">
      <c r="A238" s="122" t="s">
        <v>368</v>
      </c>
      <c r="B238" s="59" t="s">
        <v>189</v>
      </c>
      <c r="C238" s="49" t="s">
        <v>162</v>
      </c>
      <c r="D238" s="51" t="s">
        <v>192</v>
      </c>
      <c r="E238" s="51" t="s">
        <v>193</v>
      </c>
      <c r="F238" s="44" t="str">
        <f>IF(AND(ISNA(VLOOKUP(E238,DataType_Platform!A:A,1,FALSE())),ISNA(VLOOKUP(E238,BaseType!A:A,1,FALSE()))),"N","Y")</f>
        <v>Y</v>
      </c>
      <c r="G238" s="51"/>
      <c r="H238" s="57" t="s">
        <v>165</v>
      </c>
      <c r="I238" s="57" t="s">
        <v>166</v>
      </c>
      <c r="J238" s="56"/>
      <c r="K238" s="52">
        <v>0</v>
      </c>
      <c r="L238" s="52">
        <v>0</v>
      </c>
      <c r="M238" s="58" t="s">
        <v>166</v>
      </c>
      <c r="N238" s="52">
        <v>0</v>
      </c>
      <c r="O238" s="52">
        <v>0</v>
      </c>
      <c r="P238" s="54"/>
      <c r="Q238" s="54"/>
      <c r="R238" s="54"/>
      <c r="S238" s="54"/>
      <c r="T238" s="54"/>
      <c r="U238" s="54"/>
    </row>
    <row r="239" spans="1:21" ht="15" customHeight="1" x14ac:dyDescent="0.2">
      <c r="A239" s="122" t="s">
        <v>368</v>
      </c>
      <c r="B239" s="59" t="s">
        <v>189</v>
      </c>
      <c r="C239" s="49" t="s">
        <v>162</v>
      </c>
      <c r="D239" s="51" t="s">
        <v>253</v>
      </c>
      <c r="E239" s="51" t="s">
        <v>254</v>
      </c>
      <c r="F239" s="44" t="str">
        <f>IF(AND(ISNA(VLOOKUP(E239,DataType_Platform!A:A,1,FALSE())),ISNA(VLOOKUP(E239,BaseType!A:A,1,FALSE()))),"N","Y")</f>
        <v>Y</v>
      </c>
      <c r="G239" s="51"/>
      <c r="H239" s="57" t="s">
        <v>165</v>
      </c>
      <c r="I239" s="57" t="s">
        <v>166</v>
      </c>
      <c r="J239" s="56"/>
      <c r="K239" s="52">
        <v>0</v>
      </c>
      <c r="L239" s="52">
        <v>0</v>
      </c>
      <c r="M239" s="58" t="s">
        <v>166</v>
      </c>
      <c r="N239" s="52">
        <v>0</v>
      </c>
      <c r="O239" s="52">
        <v>0</v>
      </c>
      <c r="P239" s="54"/>
      <c r="Q239" s="54"/>
      <c r="R239" s="54"/>
      <c r="S239" s="54"/>
      <c r="T239" s="54"/>
      <c r="U239" s="54"/>
    </row>
    <row r="240" spans="1:21" ht="15" customHeight="1" x14ac:dyDescent="0.2">
      <c r="A240" s="122" t="s">
        <v>368</v>
      </c>
      <c r="B240" s="107" t="s">
        <v>189</v>
      </c>
      <c r="C240" s="49" t="s">
        <v>162</v>
      </c>
      <c r="D240" s="51" t="s">
        <v>251</v>
      </c>
      <c r="E240" s="51" t="s">
        <v>252</v>
      </c>
      <c r="F240" s="44" t="str">
        <f>IF(AND(ISNA(VLOOKUP(E240,DataType_Platform!A:A,1,FALSE())),ISNA(VLOOKUP(E240,BaseType!A:A,1,FALSE()))),"N","Y")</f>
        <v>Y</v>
      </c>
      <c r="G240" s="51"/>
      <c r="H240" s="57" t="s">
        <v>165</v>
      </c>
      <c r="I240" s="57" t="s">
        <v>166</v>
      </c>
      <c r="J240" s="56"/>
      <c r="K240" s="52">
        <v>0</v>
      </c>
      <c r="L240" s="52">
        <v>0</v>
      </c>
      <c r="M240" s="58" t="s">
        <v>166</v>
      </c>
      <c r="N240" s="52">
        <v>0</v>
      </c>
      <c r="O240" s="52">
        <v>0</v>
      </c>
      <c r="P240" s="54"/>
      <c r="Q240" s="54"/>
      <c r="R240" s="54"/>
      <c r="S240" s="54"/>
      <c r="T240" s="54"/>
      <c r="U240" s="54"/>
    </row>
    <row r="241" spans="1:21" ht="15" customHeight="1" x14ac:dyDescent="0.2">
      <c r="A241" s="131" t="s">
        <v>368</v>
      </c>
      <c r="B241" s="132" t="s">
        <v>189</v>
      </c>
      <c r="C241" s="49" t="s">
        <v>162</v>
      </c>
      <c r="D241" s="91" t="s">
        <v>249</v>
      </c>
      <c r="E241" s="51" t="s">
        <v>250</v>
      </c>
      <c r="F241" s="44" t="str">
        <f>IF(AND(ISNA(VLOOKUP(E241,DataType_Platform!A:A,1,FALSE())),ISNA(VLOOKUP(E241,BaseType!A:A,1,FALSE()))),"N","Y")</f>
        <v>Y</v>
      </c>
      <c r="G241" s="91"/>
      <c r="H241" s="56" t="s">
        <v>165</v>
      </c>
      <c r="I241" s="57" t="s">
        <v>166</v>
      </c>
      <c r="J241" s="56"/>
      <c r="K241" s="65">
        <v>0</v>
      </c>
      <c r="L241" s="65">
        <v>0</v>
      </c>
      <c r="M241" s="58" t="s">
        <v>166</v>
      </c>
      <c r="N241" s="65">
        <v>0</v>
      </c>
      <c r="O241" s="65">
        <v>0</v>
      </c>
      <c r="P241" s="42"/>
      <c r="Q241" s="42"/>
      <c r="R241" s="42"/>
      <c r="S241" s="42"/>
      <c r="T241" s="42"/>
      <c r="U241" s="42"/>
    </row>
    <row r="242" spans="1:21" ht="15" customHeight="1" x14ac:dyDescent="0.2">
      <c r="A242" s="113" t="s">
        <v>368</v>
      </c>
      <c r="B242" s="112" t="s">
        <v>189</v>
      </c>
      <c r="C242" s="49" t="s">
        <v>162</v>
      </c>
      <c r="D242" s="112" t="s">
        <v>247</v>
      </c>
      <c r="E242" s="51" t="s">
        <v>248</v>
      </c>
      <c r="F242" s="44" t="str">
        <f>IF(AND(ISNA(VLOOKUP(E242,DataType_Platform!A:A,1,FALSE())),ISNA(VLOOKUP(E242,BaseType!A:A,1,FALSE()))),"N","Y")</f>
        <v>Y</v>
      </c>
      <c r="G242" s="111"/>
      <c r="H242" s="57" t="s">
        <v>165</v>
      </c>
      <c r="I242" s="57" t="s">
        <v>166</v>
      </c>
      <c r="J242" s="56"/>
      <c r="K242" s="54"/>
      <c r="L242" s="54"/>
      <c r="M242" s="58" t="s">
        <v>166</v>
      </c>
      <c r="N242" s="54"/>
      <c r="O242" s="54"/>
      <c r="P242" s="54"/>
      <c r="Q242" s="54"/>
      <c r="R242" s="54"/>
      <c r="S242" s="54"/>
      <c r="T242" s="54"/>
      <c r="U242" s="54"/>
    </row>
    <row r="243" spans="1:21" ht="15" customHeight="1" x14ac:dyDescent="0.2">
      <c r="A243" s="73" t="s">
        <v>368</v>
      </c>
      <c r="B243" s="36" t="s">
        <v>189</v>
      </c>
      <c r="C243" s="49" t="s">
        <v>162</v>
      </c>
      <c r="D243" s="53" t="s">
        <v>342</v>
      </c>
      <c r="E243" s="36" t="s">
        <v>343</v>
      </c>
      <c r="F243" s="44" t="str">
        <f>IF(AND(ISNA(VLOOKUP(E243,DataType_Platform!A:A,1,FALSE())),ISNA(VLOOKUP(E243,BaseType!A:A,1,FALSE()))),"N","Y")</f>
        <v>Y</v>
      </c>
      <c r="G243" s="51"/>
      <c r="H243" s="57" t="s">
        <v>165</v>
      </c>
      <c r="I243" s="57" t="s">
        <v>166</v>
      </c>
      <c r="J243" s="56"/>
      <c r="K243" s="52">
        <v>0</v>
      </c>
      <c r="L243" s="52">
        <v>0</v>
      </c>
      <c r="M243" s="58" t="s">
        <v>166</v>
      </c>
      <c r="N243" s="52">
        <v>0</v>
      </c>
      <c r="O243" s="52">
        <v>0</v>
      </c>
      <c r="P243" s="54"/>
      <c r="Q243" s="54"/>
      <c r="R243" s="54"/>
      <c r="S243" s="54"/>
      <c r="T243" s="54"/>
      <c r="U243" s="54"/>
    </row>
    <row r="244" spans="1:21" ht="15" customHeight="1" x14ac:dyDescent="0.2">
      <c r="A244" s="73" t="s">
        <v>368</v>
      </c>
      <c r="B244" s="36" t="s">
        <v>189</v>
      </c>
      <c r="C244" s="49" t="s">
        <v>162</v>
      </c>
      <c r="D244" s="53" t="s">
        <v>355</v>
      </c>
      <c r="E244" s="36" t="s">
        <v>343</v>
      </c>
      <c r="F244" s="44" t="str">
        <f>IF(AND(ISNA(VLOOKUP(E244,DataType_Platform!A:A,1,FALSE())),ISNA(VLOOKUP(E244,BaseType!A:A,1,FALSE()))),"N","Y")</f>
        <v>Y</v>
      </c>
      <c r="G244" s="51"/>
      <c r="H244" s="57" t="s">
        <v>165</v>
      </c>
      <c r="I244" s="57" t="s">
        <v>166</v>
      </c>
      <c r="J244" s="56"/>
      <c r="K244" s="52">
        <v>0</v>
      </c>
      <c r="L244" s="52">
        <v>0</v>
      </c>
      <c r="M244" s="58" t="s">
        <v>166</v>
      </c>
      <c r="N244" s="52">
        <v>0</v>
      </c>
      <c r="O244" s="52">
        <v>0</v>
      </c>
      <c r="P244" s="54"/>
      <c r="Q244" s="54"/>
      <c r="R244" s="54"/>
      <c r="S244" s="54"/>
      <c r="T244" s="54"/>
      <c r="U244" s="54"/>
    </row>
    <row r="245" spans="1:21" ht="15" customHeight="1" x14ac:dyDescent="0.2">
      <c r="A245" s="73" t="s">
        <v>368</v>
      </c>
      <c r="B245" s="36" t="s">
        <v>189</v>
      </c>
      <c r="C245" s="49" t="s">
        <v>162</v>
      </c>
      <c r="D245" s="53" t="s">
        <v>356</v>
      </c>
      <c r="E245" s="36" t="s">
        <v>343</v>
      </c>
      <c r="F245" s="44" t="str">
        <f>IF(AND(ISNA(VLOOKUP(E245,DataType_Platform!A:A,1,FALSE())),ISNA(VLOOKUP(E245,BaseType!A:A,1,FALSE()))),"N","Y")</f>
        <v>Y</v>
      </c>
      <c r="G245" s="51"/>
      <c r="H245" s="57" t="s">
        <v>165</v>
      </c>
      <c r="I245" s="57" t="s">
        <v>166</v>
      </c>
      <c r="J245" s="56"/>
      <c r="K245" s="52">
        <v>0</v>
      </c>
      <c r="L245" s="52">
        <v>0</v>
      </c>
      <c r="M245" s="58" t="s">
        <v>166</v>
      </c>
      <c r="N245" s="52">
        <v>0</v>
      </c>
      <c r="O245" s="52">
        <v>0</v>
      </c>
      <c r="P245" s="54"/>
      <c r="Q245" s="54"/>
      <c r="R245" s="54"/>
      <c r="S245" s="54"/>
      <c r="T245" s="54"/>
      <c r="U245" s="54"/>
    </row>
    <row r="246" spans="1:21" ht="15" customHeight="1" x14ac:dyDescent="0.2">
      <c r="A246" s="73" t="s">
        <v>368</v>
      </c>
      <c r="B246" s="36" t="s">
        <v>189</v>
      </c>
      <c r="C246" s="49" t="s">
        <v>162</v>
      </c>
      <c r="D246" s="53" t="s">
        <v>357</v>
      </c>
      <c r="E246" s="36" t="s">
        <v>343</v>
      </c>
      <c r="F246" s="44" t="str">
        <f>IF(AND(ISNA(VLOOKUP(E246,DataType_Platform!A:A,1,FALSE())),ISNA(VLOOKUP(E246,BaseType!A:A,1,FALSE()))),"N","Y")</f>
        <v>Y</v>
      </c>
      <c r="G246" s="51"/>
      <c r="H246" s="57" t="s">
        <v>165</v>
      </c>
      <c r="I246" s="57" t="s">
        <v>166</v>
      </c>
      <c r="J246" s="56"/>
      <c r="K246" s="52">
        <v>0</v>
      </c>
      <c r="L246" s="52">
        <v>0</v>
      </c>
      <c r="M246" s="58" t="s">
        <v>166</v>
      </c>
      <c r="N246" s="52">
        <v>0</v>
      </c>
      <c r="O246" s="52">
        <v>0</v>
      </c>
      <c r="P246" s="54"/>
      <c r="Q246" s="54"/>
      <c r="R246" s="54"/>
      <c r="S246" s="54"/>
      <c r="T246" s="54"/>
      <c r="U246" s="54"/>
    </row>
    <row r="247" spans="1:21" ht="15" customHeight="1" x14ac:dyDescent="0.2">
      <c r="A247" s="73" t="s">
        <v>368</v>
      </c>
      <c r="B247" s="36" t="s">
        <v>189</v>
      </c>
      <c r="C247" s="49" t="s">
        <v>162</v>
      </c>
      <c r="D247" s="53" t="s">
        <v>369</v>
      </c>
      <c r="E247" s="36" t="s">
        <v>343</v>
      </c>
      <c r="F247" s="44" t="str">
        <f>IF(AND(ISNA(VLOOKUP(E247,DataType_Platform!A:A,1,FALSE())),ISNA(VLOOKUP(E247,BaseType!A:A,1,FALSE()))),"N","Y")</f>
        <v>Y</v>
      </c>
      <c r="G247" s="51"/>
      <c r="H247" s="57" t="s">
        <v>165</v>
      </c>
      <c r="I247" s="57" t="s">
        <v>166</v>
      </c>
      <c r="J247" s="56"/>
      <c r="K247" s="52">
        <v>0</v>
      </c>
      <c r="L247" s="52">
        <v>0</v>
      </c>
      <c r="M247" s="58" t="s">
        <v>166</v>
      </c>
      <c r="N247" s="52">
        <v>0</v>
      </c>
      <c r="O247" s="52">
        <v>0</v>
      </c>
      <c r="P247" s="54"/>
      <c r="Q247" s="54"/>
      <c r="R247" s="54"/>
      <c r="S247" s="54"/>
      <c r="T247" s="54"/>
      <c r="U247" s="54"/>
    </row>
    <row r="248" spans="1:21" ht="15" customHeight="1" x14ac:dyDescent="0.2">
      <c r="A248" s="73" t="s">
        <v>368</v>
      </c>
      <c r="B248" s="36" t="s">
        <v>189</v>
      </c>
      <c r="C248" s="49" t="s">
        <v>162</v>
      </c>
      <c r="D248" s="53" t="s">
        <v>370</v>
      </c>
      <c r="E248" s="36" t="s">
        <v>343</v>
      </c>
      <c r="F248" s="44" t="str">
        <f>IF(AND(ISNA(VLOOKUP(E248,DataType_Platform!A:A,1,FALSE())),ISNA(VLOOKUP(E248,BaseType!A:A,1,FALSE()))),"N","Y")</f>
        <v>Y</v>
      </c>
      <c r="G248" s="51"/>
      <c r="H248" s="57" t="s">
        <v>165</v>
      </c>
      <c r="I248" s="57" t="s">
        <v>166</v>
      </c>
      <c r="J248" s="56"/>
      <c r="K248" s="52">
        <v>0</v>
      </c>
      <c r="L248" s="52">
        <v>0</v>
      </c>
      <c r="M248" s="58" t="s">
        <v>166</v>
      </c>
      <c r="N248" s="52">
        <v>0</v>
      </c>
      <c r="O248" s="52">
        <v>0</v>
      </c>
      <c r="P248" s="54"/>
      <c r="Q248" s="54"/>
      <c r="R248" s="54"/>
      <c r="S248" s="54"/>
      <c r="T248" s="54"/>
      <c r="U248" s="54"/>
    </row>
    <row r="249" spans="1:21" ht="15" customHeight="1" x14ac:dyDescent="0.2">
      <c r="A249" s="73" t="s">
        <v>368</v>
      </c>
      <c r="B249" s="36" t="s">
        <v>189</v>
      </c>
      <c r="C249" s="49" t="s">
        <v>162</v>
      </c>
      <c r="D249" s="53" t="s">
        <v>371</v>
      </c>
      <c r="E249" s="36" t="s">
        <v>343</v>
      </c>
      <c r="F249" s="44" t="str">
        <f>IF(AND(ISNA(VLOOKUP(E249,DataType_Platform!A:A,1,FALSE())),ISNA(VLOOKUP(E249,BaseType!A:A,1,FALSE()))),"N","Y")</f>
        <v>Y</v>
      </c>
      <c r="G249" s="51"/>
      <c r="H249" s="57" t="s">
        <v>165</v>
      </c>
      <c r="I249" s="57" t="s">
        <v>166</v>
      </c>
      <c r="J249" s="56"/>
      <c r="K249" s="54"/>
      <c r="L249" s="54"/>
      <c r="M249" s="58" t="s">
        <v>166</v>
      </c>
      <c r="N249" s="54"/>
      <c r="O249" s="54"/>
      <c r="P249" s="54"/>
      <c r="Q249" s="54"/>
      <c r="R249" s="54"/>
      <c r="S249" s="54"/>
      <c r="T249" s="54"/>
      <c r="U249" s="54"/>
    </row>
    <row r="250" spans="1:21" ht="15" customHeight="1" x14ac:dyDescent="0.2">
      <c r="A250" s="73" t="s">
        <v>368</v>
      </c>
      <c r="B250" s="36" t="s">
        <v>189</v>
      </c>
      <c r="C250" s="49" t="s">
        <v>162</v>
      </c>
      <c r="D250" s="53" t="s">
        <v>372</v>
      </c>
      <c r="E250" s="36" t="s">
        <v>343</v>
      </c>
      <c r="F250" s="44" t="str">
        <f>IF(AND(ISNA(VLOOKUP(E250,DataType_Platform!A:A,1,FALSE())),ISNA(VLOOKUP(E250,BaseType!A:A,1,FALSE()))),"N","Y")</f>
        <v>Y</v>
      </c>
      <c r="G250" s="51"/>
      <c r="H250" s="57" t="s">
        <v>165</v>
      </c>
      <c r="I250" s="57" t="s">
        <v>166</v>
      </c>
      <c r="J250" s="56"/>
      <c r="K250" s="54"/>
      <c r="L250" s="54"/>
      <c r="M250" s="58" t="s">
        <v>166</v>
      </c>
      <c r="N250" s="54"/>
      <c r="O250" s="54"/>
      <c r="P250" s="54"/>
      <c r="Q250" s="54"/>
      <c r="R250" s="54"/>
      <c r="S250" s="54"/>
      <c r="T250" s="54"/>
      <c r="U250" s="54"/>
    </row>
    <row r="251" spans="1:21" ht="15" customHeight="1" x14ac:dyDescent="0.2">
      <c r="A251" s="73" t="s">
        <v>368</v>
      </c>
      <c r="B251" s="36" t="s">
        <v>189</v>
      </c>
      <c r="C251" s="49" t="s">
        <v>162</v>
      </c>
      <c r="D251" s="53" t="s">
        <v>373</v>
      </c>
      <c r="E251" s="36" t="s">
        <v>343</v>
      </c>
      <c r="F251" s="44" t="str">
        <f>IF(AND(ISNA(VLOOKUP(E251,DataType_Platform!A:A,1,FALSE())),ISNA(VLOOKUP(E251,BaseType!A:A,1,FALSE()))),"N","Y")</f>
        <v>Y</v>
      </c>
      <c r="G251" s="51"/>
      <c r="H251" s="57" t="s">
        <v>165</v>
      </c>
      <c r="I251" s="57" t="s">
        <v>166</v>
      </c>
      <c r="J251" s="56"/>
      <c r="K251" s="54"/>
      <c r="L251" s="54"/>
      <c r="M251" s="58" t="s">
        <v>166</v>
      </c>
      <c r="N251" s="54"/>
      <c r="O251" s="54"/>
      <c r="P251" s="54"/>
      <c r="Q251" s="54"/>
      <c r="R251" s="54"/>
      <c r="S251" s="54"/>
      <c r="T251" s="54"/>
      <c r="U251" s="54"/>
    </row>
    <row r="252" spans="1:21" ht="15" customHeight="1" x14ac:dyDescent="0.2">
      <c r="A252" s="73" t="s">
        <v>368</v>
      </c>
      <c r="B252" s="36" t="s">
        <v>189</v>
      </c>
      <c r="C252" s="49" t="s">
        <v>162</v>
      </c>
      <c r="D252" s="53" t="s">
        <v>336</v>
      </c>
      <c r="E252" s="36" t="s">
        <v>337</v>
      </c>
      <c r="F252" s="44" t="str">
        <f>IF(AND(ISNA(VLOOKUP(E252,DataType_Platform!A:A,1,FALSE())),ISNA(VLOOKUP(E252,BaseType!A:A,1,FALSE()))),"N","Y")</f>
        <v>Y</v>
      </c>
      <c r="G252" s="51"/>
      <c r="H252" s="57" t="s">
        <v>165</v>
      </c>
      <c r="I252" s="57" t="s">
        <v>166</v>
      </c>
      <c r="J252" s="56"/>
      <c r="K252" s="54"/>
      <c r="L252" s="54"/>
      <c r="M252" s="58" t="s">
        <v>166</v>
      </c>
      <c r="N252" s="54"/>
      <c r="O252" s="54"/>
      <c r="P252" s="54"/>
      <c r="Q252" s="54"/>
      <c r="R252" s="54"/>
      <c r="S252" s="54"/>
      <c r="T252" s="54"/>
      <c r="U252" s="54"/>
    </row>
    <row r="253" spans="1:21" ht="15" customHeight="1" x14ac:dyDescent="0.2">
      <c r="A253" s="73" t="s">
        <v>368</v>
      </c>
      <c r="B253" s="36" t="s">
        <v>189</v>
      </c>
      <c r="C253" s="49" t="s">
        <v>162</v>
      </c>
      <c r="D253" s="53" t="s">
        <v>206</v>
      </c>
      <c r="E253" s="36" t="s">
        <v>207</v>
      </c>
      <c r="F253" s="44" t="str">
        <f>IF(AND(ISNA(VLOOKUP(E253,DataType_Platform!A:A,1,FALSE())),ISNA(VLOOKUP(E253,BaseType!A:A,1,FALSE()))),"N","Y")</f>
        <v>Y</v>
      </c>
      <c r="G253" s="51"/>
      <c r="H253" s="57" t="s">
        <v>165</v>
      </c>
      <c r="I253" s="57" t="s">
        <v>166</v>
      </c>
      <c r="J253" s="56"/>
      <c r="K253" s="52">
        <v>0</v>
      </c>
      <c r="L253" s="52">
        <v>0</v>
      </c>
      <c r="M253" s="58" t="s">
        <v>166</v>
      </c>
      <c r="N253" s="52">
        <v>0</v>
      </c>
      <c r="O253" s="52">
        <v>0</v>
      </c>
      <c r="P253" s="54"/>
      <c r="Q253" s="54"/>
      <c r="R253" s="54"/>
      <c r="S253" s="54"/>
      <c r="T253" s="54"/>
      <c r="U253" s="54"/>
    </row>
    <row r="254" spans="1:21" ht="15" customHeight="1" x14ac:dyDescent="0.2">
      <c r="A254" s="73" t="s">
        <v>368</v>
      </c>
      <c r="B254" s="36" t="s">
        <v>189</v>
      </c>
      <c r="C254" s="49" t="s">
        <v>162</v>
      </c>
      <c r="D254" s="53" t="s">
        <v>208</v>
      </c>
      <c r="E254" s="36" t="s">
        <v>209</v>
      </c>
      <c r="F254" s="44" t="str">
        <f>IF(AND(ISNA(VLOOKUP(E254,DataType_Platform!A:A,1,FALSE())),ISNA(VLOOKUP(E254,BaseType!A:A,1,FALSE()))),"N","Y")</f>
        <v>Y</v>
      </c>
      <c r="G254" s="51"/>
      <c r="H254" s="57" t="s">
        <v>165</v>
      </c>
      <c r="I254" s="57" t="s">
        <v>166</v>
      </c>
      <c r="J254" s="56"/>
      <c r="K254" s="52">
        <v>0</v>
      </c>
      <c r="L254" s="52">
        <v>0</v>
      </c>
      <c r="M254" s="58" t="s">
        <v>166</v>
      </c>
      <c r="N254" s="52">
        <v>0</v>
      </c>
      <c r="O254" s="52">
        <v>0</v>
      </c>
      <c r="P254" s="54"/>
      <c r="Q254" s="54"/>
      <c r="R254" s="54"/>
      <c r="S254" s="54"/>
      <c r="T254" s="54"/>
      <c r="U254" s="54"/>
    </row>
    <row r="255" spans="1:21" ht="15" customHeight="1" x14ac:dyDescent="0.2">
      <c r="A255" s="73" t="s">
        <v>368</v>
      </c>
      <c r="B255" s="36" t="s">
        <v>189</v>
      </c>
      <c r="C255" s="49" t="s">
        <v>162</v>
      </c>
      <c r="D255" s="53" t="s">
        <v>194</v>
      </c>
      <c r="E255" s="36" t="s">
        <v>195</v>
      </c>
      <c r="F255" s="44" t="str">
        <f>IF(AND(ISNA(VLOOKUP(E255,DataType_Platform!A:A,1,FALSE())),ISNA(VLOOKUP(E255,BaseType!A:A,1,FALSE()))),"N","Y")</f>
        <v>Y</v>
      </c>
      <c r="G255" s="51"/>
      <c r="H255" s="57" t="s">
        <v>165</v>
      </c>
      <c r="I255" s="57" t="s">
        <v>166</v>
      </c>
      <c r="J255" s="56"/>
      <c r="K255" s="52">
        <v>0</v>
      </c>
      <c r="L255" s="52">
        <v>0</v>
      </c>
      <c r="M255" s="58" t="s">
        <v>166</v>
      </c>
      <c r="N255" s="52">
        <v>0</v>
      </c>
      <c r="O255" s="52">
        <v>0</v>
      </c>
      <c r="P255" s="54"/>
      <c r="Q255" s="54"/>
      <c r="R255" s="54"/>
      <c r="S255" s="54"/>
      <c r="T255" s="54"/>
      <c r="U255" s="54"/>
    </row>
    <row r="256" spans="1:21" ht="15" customHeight="1" x14ac:dyDescent="0.2">
      <c r="A256" s="73" t="s">
        <v>368</v>
      </c>
      <c r="B256" s="36" t="s">
        <v>189</v>
      </c>
      <c r="C256" s="49" t="s">
        <v>162</v>
      </c>
      <c r="D256" s="53" t="s">
        <v>196</v>
      </c>
      <c r="E256" s="36" t="s">
        <v>197</v>
      </c>
      <c r="F256" s="44" t="str">
        <f>IF(AND(ISNA(VLOOKUP(E256,DataType_Platform!A:A,1,FALSE())),ISNA(VLOOKUP(E256,BaseType!A:A,1,FALSE()))),"N","Y")</f>
        <v>Y</v>
      </c>
      <c r="G256" s="51"/>
      <c r="H256" s="57" t="s">
        <v>165</v>
      </c>
      <c r="I256" s="57" t="s">
        <v>166</v>
      </c>
      <c r="J256" s="56"/>
      <c r="K256" s="52">
        <v>0</v>
      </c>
      <c r="L256" s="52">
        <v>0</v>
      </c>
      <c r="M256" s="58" t="s">
        <v>166</v>
      </c>
      <c r="N256" s="52">
        <v>0</v>
      </c>
      <c r="O256" s="52">
        <v>0</v>
      </c>
      <c r="P256" s="54"/>
      <c r="Q256" s="54"/>
      <c r="R256" s="54"/>
      <c r="S256" s="54"/>
      <c r="T256" s="54"/>
      <c r="U256" s="54"/>
    </row>
    <row r="257" spans="1:21" ht="15" customHeight="1" x14ac:dyDescent="0.2">
      <c r="A257" s="73" t="s">
        <v>368</v>
      </c>
      <c r="B257" s="36" t="s">
        <v>189</v>
      </c>
      <c r="C257" s="49" t="s">
        <v>162</v>
      </c>
      <c r="D257" s="53" t="s">
        <v>200</v>
      </c>
      <c r="E257" s="36" t="s">
        <v>201</v>
      </c>
      <c r="F257" s="44" t="str">
        <f>IF(AND(ISNA(VLOOKUP(E257,DataType_Platform!A:A,1,FALSE())),ISNA(VLOOKUP(E257,BaseType!A:A,1,FALSE()))),"N","Y")</f>
        <v>Y</v>
      </c>
      <c r="G257" s="51"/>
      <c r="H257" s="57" t="s">
        <v>165</v>
      </c>
      <c r="I257" s="57" t="s">
        <v>166</v>
      </c>
      <c r="J257" s="56"/>
      <c r="K257" s="52">
        <v>0</v>
      </c>
      <c r="L257" s="52">
        <v>0</v>
      </c>
      <c r="M257" s="58" t="s">
        <v>166</v>
      </c>
      <c r="N257" s="52">
        <v>0</v>
      </c>
      <c r="O257" s="52">
        <v>0</v>
      </c>
      <c r="P257" s="54"/>
      <c r="Q257" s="54"/>
      <c r="R257" s="54"/>
      <c r="S257" s="54"/>
      <c r="T257" s="54"/>
      <c r="U257" s="54"/>
    </row>
    <row r="258" spans="1:21" ht="15" customHeight="1" x14ac:dyDescent="0.2">
      <c r="A258" s="73" t="s">
        <v>368</v>
      </c>
      <c r="B258" s="36" t="s">
        <v>189</v>
      </c>
      <c r="C258" s="49" t="s">
        <v>162</v>
      </c>
      <c r="D258" s="53" t="s">
        <v>299</v>
      </c>
      <c r="E258" s="53" t="s">
        <v>300</v>
      </c>
      <c r="F258" s="44" t="str">
        <f>IF(AND(ISNA(VLOOKUP(E258,DataType_Platform!A:A,1,FALSE())),ISNA(VLOOKUP(E258,BaseType!A:A,1,FALSE()))),"N","Y")</f>
        <v>Y</v>
      </c>
      <c r="G258" s="51"/>
      <c r="H258" s="57" t="s">
        <v>165</v>
      </c>
      <c r="I258" s="57" t="s">
        <v>166</v>
      </c>
      <c r="J258" s="56"/>
      <c r="K258" s="52">
        <v>0</v>
      </c>
      <c r="L258" s="52">
        <v>0</v>
      </c>
      <c r="M258" s="58" t="s">
        <v>166</v>
      </c>
      <c r="N258" s="52">
        <v>0</v>
      </c>
      <c r="O258" s="52">
        <v>0</v>
      </c>
      <c r="P258" s="54"/>
      <c r="Q258" s="54"/>
      <c r="R258" s="54"/>
      <c r="S258" s="54"/>
      <c r="T258" s="54"/>
      <c r="U258" s="54"/>
    </row>
    <row r="259" spans="1:21" ht="15" customHeight="1" x14ac:dyDescent="0.2">
      <c r="A259" s="73" t="s">
        <v>368</v>
      </c>
      <c r="B259" s="36" t="s">
        <v>189</v>
      </c>
      <c r="C259" s="49" t="s">
        <v>162</v>
      </c>
      <c r="D259" s="66" t="s">
        <v>198</v>
      </c>
      <c r="E259" s="66" t="s">
        <v>199</v>
      </c>
      <c r="F259" s="44" t="str">
        <f>IF(AND(ISNA(VLOOKUP(E259,DataType_Platform!A:A,1,FALSE())),ISNA(VLOOKUP(E259,BaseType!A:A,1,FALSE()))),"N","Y")</f>
        <v>Y</v>
      </c>
      <c r="G259" s="51"/>
      <c r="H259" s="57" t="s">
        <v>165</v>
      </c>
      <c r="I259" s="57" t="s">
        <v>166</v>
      </c>
      <c r="J259" s="56"/>
      <c r="K259" s="52">
        <v>0</v>
      </c>
      <c r="L259" s="52">
        <v>0</v>
      </c>
      <c r="M259" s="58" t="s">
        <v>166</v>
      </c>
      <c r="N259" s="52"/>
      <c r="O259" s="52"/>
      <c r="P259" s="54"/>
      <c r="Q259" s="54"/>
      <c r="R259" s="54"/>
      <c r="S259" s="54"/>
      <c r="T259" s="54"/>
      <c r="U259" s="54"/>
    </row>
    <row r="260" spans="1:21" ht="15" customHeight="1" x14ac:dyDescent="0.2">
      <c r="A260" s="73" t="s">
        <v>368</v>
      </c>
      <c r="B260" s="36" t="s">
        <v>189</v>
      </c>
      <c r="C260" s="49" t="s">
        <v>162</v>
      </c>
      <c r="D260" s="53" t="s">
        <v>344</v>
      </c>
      <c r="E260" s="36" t="s">
        <v>345</v>
      </c>
      <c r="F260" s="44" t="str">
        <f>IF(AND(ISNA(VLOOKUP(E260,DataType_Platform!A:A,1,FALSE())),ISNA(VLOOKUP(E260,BaseType!A:A,1,FALSE()))),"N","Y")</f>
        <v>Y</v>
      </c>
      <c r="G260" s="51"/>
      <c r="H260" s="57" t="s">
        <v>165</v>
      </c>
      <c r="I260" s="57" t="s">
        <v>166</v>
      </c>
      <c r="J260" s="56"/>
      <c r="K260" s="52">
        <v>0</v>
      </c>
      <c r="L260" s="52">
        <v>0</v>
      </c>
      <c r="M260" s="58" t="s">
        <v>166</v>
      </c>
      <c r="N260" s="52">
        <v>0</v>
      </c>
      <c r="O260" s="52">
        <v>0</v>
      </c>
      <c r="P260" s="54"/>
      <c r="Q260" s="54"/>
      <c r="R260" s="54"/>
      <c r="S260" s="54"/>
      <c r="T260" s="54"/>
      <c r="U260" s="54"/>
    </row>
    <row r="261" spans="1:21" ht="15" customHeight="1" x14ac:dyDescent="0.2">
      <c r="A261" s="73" t="s">
        <v>368</v>
      </c>
      <c r="B261" s="36" t="s">
        <v>189</v>
      </c>
      <c r="C261" s="49" t="s">
        <v>162</v>
      </c>
      <c r="D261" s="53" t="s">
        <v>364</v>
      </c>
      <c r="E261" s="36" t="s">
        <v>365</v>
      </c>
      <c r="F261" s="44" t="str">
        <f>IF(AND(ISNA(VLOOKUP(E261,DataType_Platform!A:A,1,FALSE())),ISNA(VLOOKUP(E261,BaseType!A:A,1,FALSE()))),"N","Y")</f>
        <v>Y</v>
      </c>
      <c r="G261" s="51"/>
      <c r="H261" s="57" t="s">
        <v>165</v>
      </c>
      <c r="I261" s="57" t="s">
        <v>166</v>
      </c>
      <c r="J261" s="56"/>
      <c r="K261" s="52">
        <v>0</v>
      </c>
      <c r="L261" s="52">
        <v>0</v>
      </c>
      <c r="M261" s="58" t="s">
        <v>166</v>
      </c>
      <c r="N261" s="52">
        <v>0</v>
      </c>
      <c r="O261" s="52">
        <v>0</v>
      </c>
      <c r="P261" s="54"/>
      <c r="Q261" s="54"/>
      <c r="R261" s="54"/>
      <c r="S261" s="54"/>
      <c r="T261" s="54"/>
      <c r="U261" s="54"/>
    </row>
    <row r="262" spans="1:21" ht="15" customHeight="1" x14ac:dyDescent="0.2">
      <c r="A262" s="73" t="s">
        <v>368</v>
      </c>
      <c r="B262" s="36" t="s">
        <v>189</v>
      </c>
      <c r="C262" s="49" t="s">
        <v>162</v>
      </c>
      <c r="D262" s="53" t="s">
        <v>351</v>
      </c>
      <c r="E262" s="36" t="s">
        <v>352</v>
      </c>
      <c r="F262" s="44" t="str">
        <f>IF(AND(ISNA(VLOOKUP(E262,DataType_Platform!A:A,1,FALSE())),ISNA(VLOOKUP(E262,BaseType!A:A,1,FALSE()))),"N","Y")</f>
        <v>Y</v>
      </c>
      <c r="G262" s="51"/>
      <c r="H262" s="57" t="s">
        <v>165</v>
      </c>
      <c r="I262" s="57" t="s">
        <v>166</v>
      </c>
      <c r="J262" s="56"/>
      <c r="K262" s="52">
        <v>0</v>
      </c>
      <c r="L262" s="52">
        <v>0</v>
      </c>
      <c r="M262" s="58" t="s">
        <v>166</v>
      </c>
      <c r="N262" s="52">
        <v>0</v>
      </c>
      <c r="O262" s="52">
        <v>0</v>
      </c>
      <c r="P262" s="54"/>
      <c r="Q262" s="54"/>
      <c r="R262" s="54"/>
      <c r="S262" s="54"/>
      <c r="T262" s="54"/>
      <c r="U262" s="54"/>
    </row>
    <row r="263" spans="1:21" ht="15" customHeight="1" x14ac:dyDescent="0.2">
      <c r="A263" s="73" t="s">
        <v>368</v>
      </c>
      <c r="B263" s="36" t="s">
        <v>189</v>
      </c>
      <c r="C263" s="49" t="s">
        <v>162</v>
      </c>
      <c r="D263" s="53" t="s">
        <v>214</v>
      </c>
      <c r="E263" s="36" t="s">
        <v>215</v>
      </c>
      <c r="F263" s="44" t="str">
        <f>IF(AND(ISNA(VLOOKUP(E263,DataType_Platform!A:A,1,FALSE())),ISNA(VLOOKUP(E263,BaseType!A:A,1,FALSE()))),"N","Y")</f>
        <v>Y</v>
      </c>
      <c r="G263" s="51"/>
      <c r="H263" s="57" t="s">
        <v>165</v>
      </c>
      <c r="I263" s="57" t="s">
        <v>166</v>
      </c>
      <c r="J263" s="56"/>
      <c r="K263" s="52">
        <v>0</v>
      </c>
      <c r="L263" s="52">
        <v>0</v>
      </c>
      <c r="M263" s="58" t="s">
        <v>166</v>
      </c>
      <c r="N263" s="52">
        <v>0</v>
      </c>
      <c r="O263" s="52">
        <v>0</v>
      </c>
      <c r="P263" s="54"/>
      <c r="Q263" s="54"/>
      <c r="R263" s="54"/>
      <c r="S263" s="54"/>
      <c r="T263" s="54"/>
      <c r="U263" s="54"/>
    </row>
    <row r="264" spans="1:21" ht="15" customHeight="1" x14ac:dyDescent="0.2">
      <c r="A264" s="73" t="s">
        <v>368</v>
      </c>
      <c r="B264" s="36" t="s">
        <v>189</v>
      </c>
      <c r="C264" s="49" t="s">
        <v>162</v>
      </c>
      <c r="D264" s="53" t="s">
        <v>326</v>
      </c>
      <c r="E264" s="36" t="s">
        <v>327</v>
      </c>
      <c r="F264" s="44" t="str">
        <f>IF(AND(ISNA(VLOOKUP(E264,DataType_Platform!A:A,1,FALSE())),ISNA(VLOOKUP(E264,BaseType!A:A,1,FALSE()))),"N","Y")</f>
        <v>Y</v>
      </c>
      <c r="G264" s="51"/>
      <c r="H264" s="57" t="s">
        <v>165</v>
      </c>
      <c r="I264" s="57" t="s">
        <v>166</v>
      </c>
      <c r="J264" s="56"/>
      <c r="K264" s="52">
        <v>0</v>
      </c>
      <c r="L264" s="52">
        <v>0</v>
      </c>
      <c r="M264" s="58" t="s">
        <v>166</v>
      </c>
      <c r="N264" s="52">
        <v>0</v>
      </c>
      <c r="O264" s="52">
        <v>0</v>
      </c>
      <c r="P264" s="54"/>
      <c r="Q264" s="54"/>
      <c r="R264" s="54"/>
      <c r="S264" s="54"/>
      <c r="T264" s="54"/>
      <c r="U264" s="54"/>
    </row>
    <row r="265" spans="1:21" ht="15" customHeight="1" x14ac:dyDescent="0.2">
      <c r="A265" s="73" t="s">
        <v>368</v>
      </c>
      <c r="B265" s="36" t="s">
        <v>189</v>
      </c>
      <c r="C265" s="49" t="s">
        <v>162</v>
      </c>
      <c r="D265" s="53" t="s">
        <v>210</v>
      </c>
      <c r="E265" s="36" t="s">
        <v>211</v>
      </c>
      <c r="F265" s="44" t="str">
        <f>IF(AND(ISNA(VLOOKUP(E265,DataType_Platform!A:A,1,FALSE())),ISNA(VLOOKUP(E265,BaseType!A:A,1,FALSE()))),"N","Y")</f>
        <v>Y</v>
      </c>
      <c r="G265" s="51"/>
      <c r="H265" s="57" t="s">
        <v>165</v>
      </c>
      <c r="I265" s="57" t="s">
        <v>166</v>
      </c>
      <c r="J265" s="56"/>
      <c r="K265" s="54"/>
      <c r="L265" s="54"/>
      <c r="M265" s="58" t="s">
        <v>166</v>
      </c>
      <c r="N265" s="54"/>
      <c r="O265" s="54"/>
      <c r="P265" s="54"/>
      <c r="Q265" s="54"/>
      <c r="R265" s="54"/>
      <c r="S265" s="54"/>
      <c r="T265" s="54"/>
      <c r="U265" s="54"/>
    </row>
    <row r="266" spans="1:21" ht="15" customHeight="1" x14ac:dyDescent="0.2">
      <c r="A266" s="73" t="s">
        <v>368</v>
      </c>
      <c r="B266" s="36" t="s">
        <v>189</v>
      </c>
      <c r="C266" s="49" t="s">
        <v>162</v>
      </c>
      <c r="D266" s="53" t="s">
        <v>212</v>
      </c>
      <c r="E266" s="36" t="s">
        <v>213</v>
      </c>
      <c r="F266" s="44" t="str">
        <f>IF(AND(ISNA(VLOOKUP(E266,DataType_Platform!A:A,1,FALSE())),ISNA(VLOOKUP(E266,BaseType!A:A,1,FALSE()))),"N","Y")</f>
        <v>Y</v>
      </c>
      <c r="G266" s="51"/>
      <c r="H266" s="57" t="s">
        <v>165</v>
      </c>
      <c r="I266" s="57" t="s">
        <v>166</v>
      </c>
      <c r="J266" s="56"/>
      <c r="K266" s="54"/>
      <c r="L266" s="54"/>
      <c r="M266" s="58" t="s">
        <v>166</v>
      </c>
      <c r="N266" s="54"/>
      <c r="O266" s="54"/>
      <c r="P266" s="54"/>
      <c r="Q266" s="54"/>
      <c r="R266" s="54"/>
      <c r="S266" s="54"/>
      <c r="T266" s="54"/>
      <c r="U266" s="54"/>
    </row>
    <row r="267" spans="1:21" ht="15" customHeight="1" x14ac:dyDescent="0.2">
      <c r="A267" s="73" t="s">
        <v>368</v>
      </c>
      <c r="B267" s="36" t="s">
        <v>189</v>
      </c>
      <c r="C267" s="49" t="s">
        <v>162</v>
      </c>
      <c r="D267" s="53" t="s">
        <v>287</v>
      </c>
      <c r="E267" s="36" t="s">
        <v>225</v>
      </c>
      <c r="F267" s="44" t="str">
        <f>IF(AND(ISNA(VLOOKUP(E267,DataType_Platform!A:A,1,FALSE())),ISNA(VLOOKUP(E267,BaseType!A:A,1,FALSE()))),"N","Y")</f>
        <v>Y</v>
      </c>
      <c r="G267" s="51"/>
      <c r="H267" s="57" t="s">
        <v>165</v>
      </c>
      <c r="I267" s="57" t="s">
        <v>166</v>
      </c>
      <c r="J267" s="56"/>
      <c r="K267" s="52">
        <v>0</v>
      </c>
      <c r="L267" s="52">
        <v>0</v>
      </c>
      <c r="M267" s="58" t="s">
        <v>166</v>
      </c>
      <c r="N267" s="52">
        <v>0</v>
      </c>
      <c r="O267" s="52">
        <v>0</v>
      </c>
      <c r="P267" s="54"/>
      <c r="Q267" s="54"/>
      <c r="R267" s="54"/>
      <c r="S267" s="54"/>
      <c r="T267" s="54"/>
      <c r="U267" s="54"/>
    </row>
    <row r="268" spans="1:21" ht="15" customHeight="1" x14ac:dyDescent="0.2">
      <c r="A268" s="73" t="s">
        <v>368</v>
      </c>
      <c r="B268" s="36" t="s">
        <v>189</v>
      </c>
      <c r="C268" s="49" t="s">
        <v>162</v>
      </c>
      <c r="D268" s="53" t="s">
        <v>282</v>
      </c>
      <c r="E268" s="36" t="s">
        <v>225</v>
      </c>
      <c r="F268" s="44" t="str">
        <f>IF(AND(ISNA(VLOOKUP(E268,DataType_Platform!A:A,1,FALSE())),ISNA(VLOOKUP(E268,BaseType!A:A,1,FALSE()))),"N","Y")</f>
        <v>Y</v>
      </c>
      <c r="G268" s="51"/>
      <c r="H268" s="57" t="s">
        <v>165</v>
      </c>
      <c r="I268" s="57" t="s">
        <v>166</v>
      </c>
      <c r="J268" s="56"/>
      <c r="K268" s="52">
        <v>0</v>
      </c>
      <c r="L268" s="52">
        <v>0</v>
      </c>
      <c r="M268" s="58" t="s">
        <v>166</v>
      </c>
      <c r="N268" s="52">
        <v>0</v>
      </c>
      <c r="O268" s="52">
        <v>0</v>
      </c>
      <c r="P268" s="54"/>
      <c r="Q268" s="54"/>
      <c r="R268" s="54"/>
      <c r="S268" s="54"/>
      <c r="T268" s="54"/>
      <c r="U268" s="54"/>
    </row>
    <row r="269" spans="1:21" ht="15" customHeight="1" x14ac:dyDescent="0.2">
      <c r="A269" s="73" t="s">
        <v>368</v>
      </c>
      <c r="B269" s="36" t="s">
        <v>189</v>
      </c>
      <c r="C269" s="49" t="s">
        <v>162</v>
      </c>
      <c r="D269" s="53" t="s">
        <v>334</v>
      </c>
      <c r="E269" s="36" t="s">
        <v>193</v>
      </c>
      <c r="F269" s="44" t="str">
        <f>IF(AND(ISNA(VLOOKUP(E269,DataType_Platform!A:A,1,FALSE())),ISNA(VLOOKUP(E269,BaseType!A:A,1,FALSE()))),"N","Y")</f>
        <v>Y</v>
      </c>
      <c r="G269" s="51" t="s">
        <v>374</v>
      </c>
      <c r="H269" s="57" t="s">
        <v>165</v>
      </c>
      <c r="I269" s="57" t="s">
        <v>166</v>
      </c>
      <c r="J269" s="56"/>
      <c r="K269" s="52"/>
      <c r="L269" s="52"/>
      <c r="M269" s="58"/>
      <c r="N269" s="52"/>
      <c r="O269" s="52"/>
      <c r="P269" s="54"/>
      <c r="Q269" s="54"/>
      <c r="R269" s="54"/>
      <c r="S269" s="54"/>
      <c r="T269" s="54"/>
      <c r="U269" s="54"/>
    </row>
    <row r="270" spans="1:21" ht="15" customHeight="1" x14ac:dyDescent="0.2">
      <c r="A270" s="73" t="s">
        <v>368</v>
      </c>
      <c r="B270" s="84" t="s">
        <v>189</v>
      </c>
      <c r="C270" s="49" t="s">
        <v>162</v>
      </c>
      <c r="D270" s="68" t="s">
        <v>359</v>
      </c>
      <c r="E270" s="50" t="s">
        <v>360</v>
      </c>
      <c r="F270" s="44" t="str">
        <f>IF(AND(ISNA(VLOOKUP(E270,DataType_Platform!A:A,1,FALSE())),ISNA(VLOOKUP(E270,BaseType!A:A,1,FALSE()))),"N","Y")</f>
        <v>Y</v>
      </c>
      <c r="G270" s="80"/>
      <c r="H270" s="56" t="s">
        <v>165</v>
      </c>
      <c r="I270" s="56" t="s">
        <v>166</v>
      </c>
      <c r="J270" s="56"/>
      <c r="K270" s="81"/>
      <c r="L270" s="81"/>
      <c r="M270" s="65"/>
      <c r="N270" s="81"/>
      <c r="O270" s="81"/>
      <c r="P270" s="63"/>
      <c r="Q270" s="63"/>
      <c r="R270" s="63"/>
      <c r="S270" s="63"/>
      <c r="T270" s="63"/>
      <c r="U270" s="63"/>
    </row>
    <row r="271" spans="1:21" ht="15" customHeight="1" x14ac:dyDescent="0.2">
      <c r="A271" s="73" t="s">
        <v>368</v>
      </c>
      <c r="B271" s="36" t="s">
        <v>189</v>
      </c>
      <c r="C271" s="49" t="s">
        <v>162</v>
      </c>
      <c r="D271" s="53" t="s">
        <v>177</v>
      </c>
      <c r="E271" s="36" t="s">
        <v>178</v>
      </c>
      <c r="F271" s="44" t="str">
        <f>IF(AND(ISNA(VLOOKUP(E271,DataType_Platform!A:A,1,FALSE())),ISNA(VLOOKUP(E271,BaseType!A:A,1,FALSE()))),"N","Y")</f>
        <v>Y</v>
      </c>
      <c r="G271" s="51"/>
      <c r="H271" s="57" t="s">
        <v>165</v>
      </c>
      <c r="I271" s="57" t="s">
        <v>166</v>
      </c>
      <c r="J271" s="56"/>
      <c r="K271" s="54"/>
      <c r="L271" s="54"/>
      <c r="M271" s="58"/>
      <c r="N271" s="54"/>
      <c r="O271" s="54"/>
      <c r="P271" s="54"/>
      <c r="Q271" s="54"/>
      <c r="R271" s="54"/>
      <c r="S271" s="54"/>
      <c r="T271" s="54"/>
      <c r="U271" s="54"/>
    </row>
    <row r="272" spans="1:21" ht="15" customHeight="1" x14ac:dyDescent="0.2">
      <c r="A272" s="73" t="s">
        <v>368</v>
      </c>
      <c r="B272" s="36" t="s">
        <v>189</v>
      </c>
      <c r="C272" s="49" t="s">
        <v>162</v>
      </c>
      <c r="D272" s="53" t="s">
        <v>171</v>
      </c>
      <c r="E272" s="36" t="s">
        <v>172</v>
      </c>
      <c r="F272" s="44" t="str">
        <f>IF(AND(ISNA(VLOOKUP(E272,DataType_Platform!A:A,1,FALSE())),ISNA(VLOOKUP(E272,BaseType!A:A,1,FALSE()))),"N","Y")</f>
        <v>Y</v>
      </c>
      <c r="G272" s="51"/>
      <c r="H272" s="57" t="s">
        <v>165</v>
      </c>
      <c r="I272" s="57" t="s">
        <v>166</v>
      </c>
      <c r="J272" s="56"/>
      <c r="K272" s="54"/>
      <c r="L272" s="54"/>
      <c r="M272" s="58"/>
      <c r="N272" s="54"/>
      <c r="O272" s="54"/>
      <c r="P272" s="54"/>
      <c r="Q272" s="54"/>
      <c r="R272" s="54"/>
      <c r="S272" s="54"/>
      <c r="T272" s="54"/>
      <c r="U272" s="54"/>
    </row>
    <row r="273" spans="1:21" ht="15" customHeight="1" x14ac:dyDescent="0.2">
      <c r="A273" s="73" t="s">
        <v>368</v>
      </c>
      <c r="B273" s="36" t="s">
        <v>161</v>
      </c>
      <c r="C273" s="49" t="s">
        <v>162</v>
      </c>
      <c r="D273" s="53" t="s">
        <v>375</v>
      </c>
      <c r="E273" s="36" t="s">
        <v>246</v>
      </c>
      <c r="F273" s="44" t="str">
        <f>IF(AND(ISNA(VLOOKUP(E273,DataType_Platform!A:A,1,FALSE())),ISNA(VLOOKUP(E273,BaseType!A:A,1,FALSE()))),"N","Y")</f>
        <v>Y</v>
      </c>
      <c r="G273" s="51"/>
      <c r="H273" s="57" t="s">
        <v>165</v>
      </c>
      <c r="I273" s="57" t="s">
        <v>166</v>
      </c>
      <c r="J273" s="56"/>
      <c r="K273" s="54"/>
      <c r="L273" s="54"/>
      <c r="M273" s="58" t="s">
        <v>166</v>
      </c>
      <c r="N273" s="54"/>
      <c r="O273" s="54"/>
      <c r="P273" s="54"/>
      <c r="Q273" s="54"/>
      <c r="R273" s="54"/>
      <c r="S273" s="54"/>
      <c r="T273" s="54"/>
      <c r="U273" s="54"/>
    </row>
    <row r="274" spans="1:21" ht="15" customHeight="1" x14ac:dyDescent="0.2">
      <c r="A274" s="73" t="s">
        <v>368</v>
      </c>
      <c r="B274" s="36" t="s">
        <v>161</v>
      </c>
      <c r="C274" s="49" t="s">
        <v>162</v>
      </c>
      <c r="D274" s="36" t="s">
        <v>216</v>
      </c>
      <c r="E274" s="36" t="s">
        <v>217</v>
      </c>
      <c r="F274" s="44" t="str">
        <f>IF(AND(ISNA(VLOOKUP(E274,DataType_Platform!A:A,1,FALSE())),ISNA(VLOOKUP(E274,BaseType!A:A,1,FALSE()))),"N","Y")</f>
        <v>Y</v>
      </c>
      <c r="G274" s="51"/>
      <c r="H274" s="57" t="s">
        <v>165</v>
      </c>
      <c r="I274" s="57" t="s">
        <v>166</v>
      </c>
      <c r="J274" s="56"/>
      <c r="K274" s="54"/>
      <c r="L274" s="54"/>
      <c r="M274" s="58" t="s">
        <v>166</v>
      </c>
      <c r="N274" s="54"/>
      <c r="O274" s="54"/>
      <c r="P274" s="54"/>
      <c r="Q274" s="54"/>
      <c r="R274" s="54"/>
      <c r="S274" s="54"/>
      <c r="T274" s="54"/>
      <c r="U274" s="54"/>
    </row>
    <row r="275" spans="1:21" ht="15" customHeight="1" x14ac:dyDescent="0.2">
      <c r="A275" s="73" t="s">
        <v>368</v>
      </c>
      <c r="B275" s="36" t="s">
        <v>161</v>
      </c>
      <c r="C275" s="49" t="s">
        <v>162</v>
      </c>
      <c r="D275" s="36" t="s">
        <v>218</v>
      </c>
      <c r="E275" s="36" t="s">
        <v>219</v>
      </c>
      <c r="F275" s="44" t="str">
        <f>IF(AND(ISNA(VLOOKUP(E275,DataType_Platform!A:A,1,FALSE())),ISNA(VLOOKUP(E275,BaseType!A:A,1,FALSE()))),"N","Y")</f>
        <v>Y</v>
      </c>
      <c r="G275" s="51"/>
      <c r="H275" s="57" t="s">
        <v>165</v>
      </c>
      <c r="I275" s="57" t="s">
        <v>166</v>
      </c>
      <c r="J275" s="56"/>
      <c r="K275" s="54"/>
      <c r="L275" s="54"/>
      <c r="M275" s="58" t="s">
        <v>166</v>
      </c>
      <c r="N275" s="54"/>
      <c r="O275" s="54"/>
      <c r="P275" s="54"/>
      <c r="Q275" s="54"/>
      <c r="R275" s="54"/>
      <c r="S275" s="54"/>
      <c r="T275" s="54"/>
      <c r="U275" s="54"/>
    </row>
    <row r="276" spans="1:21" ht="15" customHeight="1" x14ac:dyDescent="0.2">
      <c r="A276" s="73" t="s">
        <v>368</v>
      </c>
      <c r="B276" s="36" t="s">
        <v>161</v>
      </c>
      <c r="C276" s="49" t="s">
        <v>162</v>
      </c>
      <c r="D276" s="36" t="s">
        <v>220</v>
      </c>
      <c r="E276" s="36" t="s">
        <v>221</v>
      </c>
      <c r="F276" s="44" t="str">
        <f>IF(AND(ISNA(VLOOKUP(E276,DataType_Platform!A:A,1,FALSE())),ISNA(VLOOKUP(E276,BaseType!A:A,1,FALSE()))),"N","Y")</f>
        <v>Y</v>
      </c>
      <c r="G276" s="51"/>
      <c r="H276" s="57" t="s">
        <v>165</v>
      </c>
      <c r="I276" s="57" t="s">
        <v>166</v>
      </c>
      <c r="J276" s="56"/>
      <c r="K276" s="54"/>
      <c r="L276" s="54"/>
      <c r="M276" s="58" t="s">
        <v>166</v>
      </c>
      <c r="N276" s="54"/>
      <c r="O276" s="54"/>
      <c r="P276" s="54"/>
      <c r="Q276" s="54"/>
      <c r="R276" s="54"/>
      <c r="S276" s="54"/>
      <c r="T276" s="54"/>
      <c r="U276" s="54"/>
    </row>
    <row r="277" spans="1:21" ht="15" customHeight="1" x14ac:dyDescent="0.2">
      <c r="A277" s="73" t="s">
        <v>368</v>
      </c>
      <c r="B277" s="36" t="s">
        <v>161</v>
      </c>
      <c r="C277" s="49" t="s">
        <v>162</v>
      </c>
      <c r="D277" s="36" t="s">
        <v>222</v>
      </c>
      <c r="E277" s="36" t="s">
        <v>223</v>
      </c>
      <c r="F277" s="44" t="str">
        <f>IF(AND(ISNA(VLOOKUP(E277,DataType_Platform!A:A,1,FALSE())),ISNA(VLOOKUP(E277,BaseType!A:A,1,FALSE()))),"N","Y")</f>
        <v>Y</v>
      </c>
      <c r="G277" s="51"/>
      <c r="H277" s="57" t="s">
        <v>165</v>
      </c>
      <c r="I277" s="57" t="s">
        <v>166</v>
      </c>
      <c r="J277" s="56"/>
      <c r="K277" s="54"/>
      <c r="L277" s="54"/>
      <c r="M277" s="58" t="s">
        <v>166</v>
      </c>
      <c r="N277" s="54"/>
      <c r="O277" s="54"/>
      <c r="P277" s="54"/>
      <c r="Q277" s="54"/>
      <c r="R277" s="54"/>
      <c r="S277" s="54"/>
      <c r="T277" s="54"/>
      <c r="U277" s="54"/>
    </row>
    <row r="278" spans="1:21" ht="15" customHeight="1" x14ac:dyDescent="0.2">
      <c r="A278" s="82" t="s">
        <v>376</v>
      </c>
      <c r="B278" s="79" t="s">
        <v>189</v>
      </c>
      <c r="C278" s="49" t="s">
        <v>162</v>
      </c>
      <c r="D278" s="53" t="s">
        <v>183</v>
      </c>
      <c r="E278" s="50" t="s">
        <v>184</v>
      </c>
      <c r="F278" s="44" t="str">
        <f>IF(AND(ISNA(VLOOKUP(E278,DataType_Platform!A:A,1,FALSE())),ISNA(VLOOKUP(E278,BaseType!A:A,1,FALSE()))),"N","Y")</f>
        <v>Y</v>
      </c>
      <c r="G278" s="75"/>
      <c r="H278" s="57" t="s">
        <v>165</v>
      </c>
      <c r="I278" s="56" t="s">
        <v>166</v>
      </c>
      <c r="J278" s="57"/>
      <c r="K278" s="58"/>
      <c r="L278" s="58"/>
      <c r="M278" s="58"/>
      <c r="N278" s="58"/>
      <c r="O278" s="58"/>
      <c r="P278" s="54"/>
      <c r="Q278" s="54"/>
      <c r="R278" s="54"/>
      <c r="S278" s="54"/>
      <c r="T278" s="54"/>
      <c r="U278" s="54"/>
    </row>
    <row r="279" spans="1:21" ht="15" customHeight="1" x14ac:dyDescent="0.2">
      <c r="A279" s="82" t="s">
        <v>376</v>
      </c>
      <c r="B279" s="79" t="s">
        <v>189</v>
      </c>
      <c r="C279" s="49" t="s">
        <v>162</v>
      </c>
      <c r="D279" s="50" t="s">
        <v>377</v>
      </c>
      <c r="E279" s="68" t="s">
        <v>378</v>
      </c>
      <c r="F279" s="44" t="str">
        <f>IF(AND(ISNA(VLOOKUP(E279,DataType_Platform!A:A,1,FALSE())),ISNA(VLOOKUP(E279,BaseType!A:A,1,FALSE()))),"N","Y")</f>
        <v>Y</v>
      </c>
      <c r="G279" s="80"/>
      <c r="H279" s="56" t="s">
        <v>165</v>
      </c>
      <c r="I279" s="56" t="s">
        <v>166</v>
      </c>
      <c r="J279" s="56"/>
      <c r="K279" s="81"/>
      <c r="L279" s="81"/>
      <c r="M279" s="65" t="s">
        <v>166</v>
      </c>
      <c r="N279" s="81"/>
      <c r="O279" s="81"/>
      <c r="P279" s="63"/>
      <c r="Q279" s="63"/>
      <c r="R279" s="63"/>
      <c r="S279" s="63"/>
      <c r="T279" s="63"/>
      <c r="U279" s="63"/>
    </row>
    <row r="280" spans="1:21" ht="15" customHeight="1" x14ac:dyDescent="0.2">
      <c r="A280" s="82" t="s">
        <v>376</v>
      </c>
      <c r="B280" s="79" t="s">
        <v>189</v>
      </c>
      <c r="C280" s="49" t="s">
        <v>162</v>
      </c>
      <c r="D280" s="50" t="s">
        <v>379</v>
      </c>
      <c r="E280" s="68" t="s">
        <v>380</v>
      </c>
      <c r="F280" s="44" t="str">
        <f>IF(AND(ISNA(VLOOKUP(E280,DataType_Platform!A:A,1,FALSE())),ISNA(VLOOKUP(E280,BaseType!A:A,1,FALSE()))),"N","Y")</f>
        <v>Y</v>
      </c>
      <c r="G280" s="80"/>
      <c r="H280" s="56" t="s">
        <v>165</v>
      </c>
      <c r="I280" s="56" t="s">
        <v>166</v>
      </c>
      <c r="J280" s="56"/>
      <c r="K280" s="81"/>
      <c r="L280" s="81"/>
      <c r="M280" s="65" t="s">
        <v>166</v>
      </c>
      <c r="N280" s="81"/>
      <c r="O280" s="81"/>
      <c r="P280" s="63"/>
      <c r="Q280" s="63"/>
      <c r="R280" s="63"/>
      <c r="S280" s="63"/>
      <c r="T280" s="63"/>
      <c r="U280" s="63"/>
    </row>
    <row r="281" spans="1:21" ht="15" customHeight="1" x14ac:dyDescent="0.2">
      <c r="A281" s="82" t="s">
        <v>376</v>
      </c>
      <c r="B281" s="39" t="s">
        <v>189</v>
      </c>
      <c r="C281" s="49" t="s">
        <v>162</v>
      </c>
      <c r="D281" s="68" t="s">
        <v>381</v>
      </c>
      <c r="E281" s="50" t="s">
        <v>298</v>
      </c>
      <c r="F281" s="44" t="str">
        <f>IF(AND(ISNA(VLOOKUP(E281,DataType_Platform!A:A,1,FALSE())),ISNA(VLOOKUP(E281,BaseType!A:A,1,FALSE()))),"N","Y")</f>
        <v>Y</v>
      </c>
      <c r="G281" s="80"/>
      <c r="H281" s="56" t="s">
        <v>165</v>
      </c>
      <c r="I281" s="56" t="s">
        <v>166</v>
      </c>
      <c r="J281" s="56"/>
      <c r="K281" s="81"/>
      <c r="L281" s="81"/>
      <c r="M281" s="65" t="s">
        <v>166</v>
      </c>
      <c r="N281" s="81"/>
      <c r="O281" s="81"/>
      <c r="P281" s="63"/>
      <c r="Q281" s="63"/>
      <c r="R281" s="63"/>
      <c r="S281" s="63"/>
      <c r="T281" s="63"/>
      <c r="U281" s="63"/>
    </row>
    <row r="282" spans="1:21" ht="15" customHeight="1" x14ac:dyDescent="0.2">
      <c r="A282" s="69" t="s">
        <v>376</v>
      </c>
      <c r="B282" s="67" t="s">
        <v>161</v>
      </c>
      <c r="C282" s="49" t="s">
        <v>162</v>
      </c>
      <c r="D282" s="36" t="s">
        <v>301</v>
      </c>
      <c r="E282" s="36" t="s">
        <v>302</v>
      </c>
      <c r="F282" s="44" t="str">
        <f>IF(AND(ISNA(VLOOKUP(E282,DataType_Platform!A:A,1,FALSE())),ISNA(VLOOKUP(E282,BaseType!A:A,1,FALSE()))),"N","Y")</f>
        <v>Y</v>
      </c>
      <c r="G282" s="51"/>
      <c r="H282" s="57" t="s">
        <v>165</v>
      </c>
      <c r="I282" s="57" t="s">
        <v>166</v>
      </c>
      <c r="J282" s="56"/>
      <c r="K282" s="52"/>
      <c r="L282" s="52"/>
      <c r="M282" s="58" t="s">
        <v>166</v>
      </c>
      <c r="N282" s="52"/>
      <c r="O282" s="52"/>
      <c r="P282" s="54"/>
      <c r="Q282" s="54"/>
      <c r="R282" s="54"/>
      <c r="S282" s="54"/>
      <c r="T282" s="54"/>
      <c r="U282" s="54"/>
    </row>
    <row r="283" spans="1:21" ht="15" customHeight="1" x14ac:dyDescent="0.2">
      <c r="A283" s="69" t="s">
        <v>376</v>
      </c>
      <c r="B283" s="67" t="s">
        <v>161</v>
      </c>
      <c r="C283" s="49" t="s">
        <v>162</v>
      </c>
      <c r="D283" s="36" t="s">
        <v>303</v>
      </c>
      <c r="E283" s="68" t="s">
        <v>304</v>
      </c>
      <c r="F283" s="44" t="str">
        <f>IF(AND(ISNA(VLOOKUP(E283,DataType_Platform!A:A,1,FALSE())),ISNA(VLOOKUP(E283,BaseType!A:A,1,FALSE()))),"N","Y")</f>
        <v>Y</v>
      </c>
      <c r="G283" s="51"/>
      <c r="H283" s="57" t="s">
        <v>165</v>
      </c>
      <c r="I283" s="57" t="s">
        <v>166</v>
      </c>
      <c r="J283" s="56"/>
      <c r="K283" s="52"/>
      <c r="L283" s="52"/>
      <c r="M283" s="58" t="s">
        <v>166</v>
      </c>
      <c r="N283" s="52"/>
      <c r="O283" s="52"/>
      <c r="P283" s="54"/>
      <c r="Q283" s="54"/>
      <c r="R283" s="54"/>
      <c r="S283" s="54"/>
      <c r="T283" s="54"/>
      <c r="U283" s="54"/>
    </row>
    <row r="284" spans="1:21" ht="15" customHeight="1" x14ac:dyDescent="0.2">
      <c r="A284" s="69" t="s">
        <v>376</v>
      </c>
      <c r="B284" s="67" t="s">
        <v>161</v>
      </c>
      <c r="C284" s="49" t="s">
        <v>162</v>
      </c>
      <c r="D284" s="36" t="s">
        <v>305</v>
      </c>
      <c r="E284" s="36" t="s">
        <v>306</v>
      </c>
      <c r="F284" s="44" t="str">
        <f>IF(AND(ISNA(VLOOKUP(E284,DataType_Platform!A:A,1,FALSE())),ISNA(VLOOKUP(E284,BaseType!A:A,1,FALSE()))),"N","Y")</f>
        <v>Y</v>
      </c>
      <c r="G284" s="51"/>
      <c r="H284" s="57" t="s">
        <v>165</v>
      </c>
      <c r="I284" s="57" t="s">
        <v>166</v>
      </c>
      <c r="J284" s="56"/>
      <c r="K284" s="52"/>
      <c r="L284" s="52"/>
      <c r="M284" s="58" t="s">
        <v>166</v>
      </c>
      <c r="N284" s="52"/>
      <c r="O284" s="52"/>
      <c r="P284" s="54"/>
      <c r="Q284" s="54"/>
      <c r="R284" s="54"/>
      <c r="S284" s="54"/>
      <c r="T284" s="54"/>
      <c r="U284" s="54"/>
    </row>
    <row r="285" spans="1:21" ht="15" customHeight="1" x14ac:dyDescent="0.2">
      <c r="A285" s="69" t="s">
        <v>376</v>
      </c>
      <c r="B285" s="67" t="s">
        <v>161</v>
      </c>
      <c r="C285" s="49" t="s">
        <v>162</v>
      </c>
      <c r="D285" s="36" t="s">
        <v>307</v>
      </c>
      <c r="E285" s="36" t="s">
        <v>308</v>
      </c>
      <c r="F285" s="44" t="str">
        <f>IF(AND(ISNA(VLOOKUP(E285,DataType_Platform!A:A,1,FALSE())),ISNA(VLOOKUP(E285,BaseType!A:A,1,FALSE()))),"N","Y")</f>
        <v>Y</v>
      </c>
      <c r="G285" s="51"/>
      <c r="H285" s="57" t="s">
        <v>165</v>
      </c>
      <c r="I285" s="57" t="s">
        <v>166</v>
      </c>
      <c r="J285" s="56"/>
      <c r="K285" s="52"/>
      <c r="L285" s="52"/>
      <c r="M285" s="58" t="s">
        <v>166</v>
      </c>
      <c r="N285" s="52"/>
      <c r="O285" s="52"/>
      <c r="P285" s="54"/>
      <c r="Q285" s="54"/>
      <c r="R285" s="54"/>
      <c r="S285" s="54"/>
      <c r="T285" s="54"/>
      <c r="U285" s="54"/>
    </row>
    <row r="286" spans="1:21" ht="15" customHeight="1" x14ac:dyDescent="0.2">
      <c r="A286" s="69" t="s">
        <v>376</v>
      </c>
      <c r="B286" s="67" t="s">
        <v>161</v>
      </c>
      <c r="C286" s="49" t="s">
        <v>162</v>
      </c>
      <c r="D286" s="50" t="s">
        <v>309</v>
      </c>
      <c r="E286" s="68" t="s">
        <v>310</v>
      </c>
      <c r="F286" s="44" t="str">
        <f>IF(AND(ISNA(VLOOKUP(E286,DataType_Platform!A:A,1,FALSE())),ISNA(VLOOKUP(E286,BaseType!A:A,1,FALSE()))),"N","Y")</f>
        <v>Y</v>
      </c>
      <c r="G286" s="51"/>
      <c r="H286" s="57" t="s">
        <v>165</v>
      </c>
      <c r="I286" s="57" t="s">
        <v>166</v>
      </c>
      <c r="J286" s="56"/>
      <c r="K286" s="52"/>
      <c r="L286" s="52"/>
      <c r="M286" s="58" t="s">
        <v>166</v>
      </c>
      <c r="N286" s="52"/>
      <c r="O286" s="52"/>
      <c r="P286" s="54"/>
      <c r="Q286" s="54"/>
      <c r="R286" s="54"/>
      <c r="S286" s="54"/>
      <c r="T286" s="54"/>
      <c r="U286" s="54"/>
    </row>
    <row r="287" spans="1:21" ht="15" customHeight="1" x14ac:dyDescent="0.2">
      <c r="A287" s="69" t="s">
        <v>376</v>
      </c>
      <c r="B287" s="67" t="s">
        <v>161</v>
      </c>
      <c r="C287" s="49" t="s">
        <v>162</v>
      </c>
      <c r="D287" s="50" t="s">
        <v>311</v>
      </c>
      <c r="E287" s="68" t="s">
        <v>312</v>
      </c>
      <c r="F287" s="44" t="str">
        <f>IF(AND(ISNA(VLOOKUP(E287,DataType_Platform!A:A,1,FALSE())),ISNA(VLOOKUP(E287,BaseType!A:A,1,FALSE()))),"N","Y")</f>
        <v>Y</v>
      </c>
      <c r="G287" s="51"/>
      <c r="H287" s="57" t="s">
        <v>165</v>
      </c>
      <c r="I287" s="57" t="s">
        <v>166</v>
      </c>
      <c r="J287" s="56"/>
      <c r="K287" s="52"/>
      <c r="L287" s="52"/>
      <c r="M287" s="58" t="s">
        <v>166</v>
      </c>
      <c r="N287" s="52"/>
      <c r="O287" s="52"/>
      <c r="P287" s="54"/>
      <c r="Q287" s="54"/>
      <c r="R287" s="54"/>
      <c r="S287" s="54"/>
      <c r="T287" s="54"/>
      <c r="U287" s="54"/>
    </row>
    <row r="288" spans="1:21" ht="15" customHeight="1" x14ac:dyDescent="0.2">
      <c r="A288" s="69" t="s">
        <v>376</v>
      </c>
      <c r="B288" s="67" t="s">
        <v>161</v>
      </c>
      <c r="C288" s="49" t="s">
        <v>162</v>
      </c>
      <c r="D288" s="50" t="s">
        <v>313</v>
      </c>
      <c r="E288" s="68" t="s">
        <v>314</v>
      </c>
      <c r="F288" s="44" t="str">
        <f>IF(AND(ISNA(VLOOKUP(E288,DataType_Platform!A:A,1,FALSE())),ISNA(VLOOKUP(E288,BaseType!A:A,1,FALSE()))),"N","Y")</f>
        <v>Y</v>
      </c>
      <c r="G288" s="51"/>
      <c r="H288" s="57" t="s">
        <v>165</v>
      </c>
      <c r="I288" s="57" t="s">
        <v>166</v>
      </c>
      <c r="J288" s="56"/>
      <c r="K288" s="52"/>
      <c r="L288" s="52"/>
      <c r="M288" s="58" t="s">
        <v>166</v>
      </c>
      <c r="N288" s="52"/>
      <c r="O288" s="52"/>
      <c r="P288" s="54"/>
      <c r="Q288" s="54"/>
      <c r="R288" s="54"/>
      <c r="S288" s="54"/>
      <c r="T288" s="54"/>
      <c r="U288" s="54"/>
    </row>
    <row r="289" spans="1:21" ht="15" customHeight="1" x14ac:dyDescent="0.2">
      <c r="A289" s="69" t="s">
        <v>376</v>
      </c>
      <c r="B289" s="67" t="s">
        <v>161</v>
      </c>
      <c r="C289" s="49" t="s">
        <v>162</v>
      </c>
      <c r="D289" s="50" t="s">
        <v>382</v>
      </c>
      <c r="E289" s="68" t="s">
        <v>383</v>
      </c>
      <c r="F289" s="44" t="str">
        <f>IF(AND(ISNA(VLOOKUP(E289,DataType_Platform!A:A,1,FALSE())),ISNA(VLOOKUP(E289,BaseType!A:A,1,FALSE()))),"N","Y")</f>
        <v>Y</v>
      </c>
      <c r="G289" s="51"/>
      <c r="H289" s="57" t="s">
        <v>165</v>
      </c>
      <c r="I289" s="57" t="s">
        <v>166</v>
      </c>
      <c r="J289" s="56"/>
      <c r="K289" s="52"/>
      <c r="L289" s="52"/>
      <c r="M289" s="58" t="s">
        <v>166</v>
      </c>
      <c r="N289" s="52"/>
      <c r="O289" s="52"/>
      <c r="P289" s="54"/>
      <c r="Q289" s="54"/>
      <c r="R289" s="54"/>
      <c r="S289" s="54"/>
      <c r="T289" s="54"/>
      <c r="U289" s="54"/>
    </row>
    <row r="290" spans="1:21" ht="15" customHeight="1" x14ac:dyDescent="0.2">
      <c r="A290" s="69" t="s">
        <v>376</v>
      </c>
      <c r="B290" s="67" t="s">
        <v>161</v>
      </c>
      <c r="C290" s="49" t="s">
        <v>162</v>
      </c>
      <c r="D290" s="36" t="s">
        <v>384</v>
      </c>
      <c r="E290" s="68" t="s">
        <v>246</v>
      </c>
      <c r="F290" s="44" t="str">
        <f>IF(AND(ISNA(VLOOKUP(E290,DataType_Platform!A:A,1,FALSE())),ISNA(VLOOKUP(E290,BaseType!A:A,1,FALSE()))),"N","Y")</f>
        <v>Y</v>
      </c>
      <c r="G290" s="51"/>
      <c r="H290" s="57" t="s">
        <v>165</v>
      </c>
      <c r="I290" s="57" t="s">
        <v>166</v>
      </c>
      <c r="J290" s="56"/>
      <c r="K290" s="52"/>
      <c r="L290" s="52"/>
      <c r="M290" s="58" t="s">
        <v>166</v>
      </c>
      <c r="N290" s="52"/>
      <c r="O290" s="52"/>
      <c r="P290" s="54"/>
      <c r="Q290" s="54"/>
      <c r="R290" s="54"/>
      <c r="S290" s="54"/>
      <c r="T290" s="54"/>
      <c r="U290" s="54"/>
    </row>
    <row r="291" spans="1:21" ht="15" customHeight="1" x14ac:dyDescent="0.2">
      <c r="A291" s="104" t="s">
        <v>385</v>
      </c>
      <c r="B291" s="67" t="s">
        <v>189</v>
      </c>
      <c r="C291" s="49" t="s">
        <v>162</v>
      </c>
      <c r="D291" s="53" t="s">
        <v>183</v>
      </c>
      <c r="E291" s="50" t="s">
        <v>184</v>
      </c>
      <c r="F291" s="44" t="str">
        <f>IF(AND(ISNA(VLOOKUP(E291,DataType_Platform!A:A,1,FALSE())),ISNA(VLOOKUP(E291,BaseType!A:A,1,FALSE()))),"N","Y")</f>
        <v>Y</v>
      </c>
      <c r="G291" s="75"/>
      <c r="H291" s="57" t="s">
        <v>165</v>
      </c>
      <c r="I291" s="56" t="s">
        <v>166</v>
      </c>
      <c r="J291" s="57"/>
      <c r="K291" s="58"/>
      <c r="L291" s="58"/>
      <c r="M291" s="58"/>
      <c r="N291" s="58"/>
      <c r="O291" s="58"/>
      <c r="P291" s="54"/>
      <c r="Q291" s="54"/>
      <c r="R291" s="54"/>
      <c r="S291" s="54"/>
      <c r="T291" s="54"/>
      <c r="U291" s="54"/>
    </row>
    <row r="292" spans="1:21" ht="15" customHeight="1" x14ac:dyDescent="0.2">
      <c r="A292" s="104" t="s">
        <v>385</v>
      </c>
      <c r="B292" s="67" t="s">
        <v>189</v>
      </c>
      <c r="C292" s="49" t="s">
        <v>162</v>
      </c>
      <c r="D292" s="53" t="s">
        <v>253</v>
      </c>
      <c r="E292" s="78" t="s">
        <v>254</v>
      </c>
      <c r="F292" s="44" t="str">
        <f>IF(AND(ISNA(VLOOKUP(E292,DataType_Platform!A:A,1,FALSE())),ISNA(VLOOKUP(E292,BaseType!A:A,1,FALSE()))),"N","Y")</f>
        <v>Y</v>
      </c>
      <c r="G292" s="59"/>
      <c r="H292" s="57" t="s">
        <v>165</v>
      </c>
      <c r="I292" s="57" t="s">
        <v>166</v>
      </c>
      <c r="J292" s="56"/>
      <c r="K292" s="52"/>
      <c r="L292" s="52"/>
      <c r="M292" s="58" t="s">
        <v>166</v>
      </c>
      <c r="N292" s="52"/>
      <c r="O292" s="52"/>
      <c r="P292" s="54"/>
      <c r="Q292" s="54"/>
      <c r="R292" s="54"/>
      <c r="S292" s="54"/>
      <c r="T292" s="54"/>
      <c r="U292" s="54"/>
    </row>
    <row r="293" spans="1:21" ht="15" customHeight="1" x14ac:dyDescent="0.2">
      <c r="A293" s="104" t="s">
        <v>385</v>
      </c>
      <c r="B293" s="67" t="s">
        <v>161</v>
      </c>
      <c r="C293" s="49" t="s">
        <v>162</v>
      </c>
      <c r="D293" s="36" t="s">
        <v>386</v>
      </c>
      <c r="E293" s="68" t="s">
        <v>246</v>
      </c>
      <c r="F293" s="44" t="str">
        <f>IF(AND(ISNA(VLOOKUP(E293,DataType_Platform!A:A,1,FALSE())),ISNA(VLOOKUP(E293,BaseType!A:A,1,FALSE()))),"N","Y")</f>
        <v>Y</v>
      </c>
      <c r="G293" s="51"/>
      <c r="H293" s="57" t="s">
        <v>165</v>
      </c>
      <c r="I293" s="57" t="s">
        <v>166</v>
      </c>
      <c r="J293" s="56"/>
      <c r="K293" s="52"/>
      <c r="L293" s="52"/>
      <c r="M293" s="58" t="s">
        <v>166</v>
      </c>
      <c r="N293" s="52"/>
      <c r="O293" s="52"/>
      <c r="P293" s="54"/>
      <c r="Q293" s="54"/>
      <c r="R293" s="54"/>
      <c r="S293" s="54"/>
      <c r="T293" s="54"/>
      <c r="U293" s="54"/>
    </row>
    <row r="294" spans="1:21" ht="15" customHeight="1" x14ac:dyDescent="0.2">
      <c r="A294" s="104" t="s">
        <v>385</v>
      </c>
      <c r="B294" s="67" t="s">
        <v>161</v>
      </c>
      <c r="C294" s="49" t="s">
        <v>162</v>
      </c>
      <c r="D294" s="36" t="s">
        <v>377</v>
      </c>
      <c r="E294" s="68" t="s">
        <v>378</v>
      </c>
      <c r="F294" s="44" t="str">
        <f>IF(AND(ISNA(VLOOKUP(E294,DataType_Platform!A:A,1,FALSE())),ISNA(VLOOKUP(E294,BaseType!A:A,1,FALSE()))),"N","Y")</f>
        <v>Y</v>
      </c>
      <c r="G294" s="51"/>
      <c r="H294" s="57" t="s">
        <v>165</v>
      </c>
      <c r="I294" s="57" t="s">
        <v>166</v>
      </c>
      <c r="J294" s="56"/>
      <c r="K294" s="52"/>
      <c r="L294" s="52"/>
      <c r="M294" s="58" t="s">
        <v>166</v>
      </c>
      <c r="N294" s="52"/>
      <c r="O294" s="52"/>
      <c r="P294" s="54"/>
      <c r="Q294" s="54"/>
      <c r="R294" s="54"/>
      <c r="S294" s="54"/>
      <c r="T294" s="54"/>
      <c r="U294" s="54"/>
    </row>
    <row r="295" spans="1:21" ht="15" customHeight="1" x14ac:dyDescent="0.2">
      <c r="A295" s="97" t="s">
        <v>387</v>
      </c>
      <c r="B295" s="60" t="s">
        <v>189</v>
      </c>
      <c r="C295" s="49" t="s">
        <v>162</v>
      </c>
      <c r="D295" s="53" t="s">
        <v>183</v>
      </c>
      <c r="E295" s="50" t="s">
        <v>184</v>
      </c>
      <c r="F295" s="44" t="str">
        <f>IF(AND(ISNA(VLOOKUP(E295,DataType_Platform!A:A,1,FALSE())),ISNA(VLOOKUP(E295,BaseType!A:A,1,FALSE()))),"N","Y")</f>
        <v>Y</v>
      </c>
      <c r="G295" s="75"/>
      <c r="H295" s="57" t="s">
        <v>165</v>
      </c>
      <c r="I295" s="56" t="s">
        <v>166</v>
      </c>
      <c r="J295" s="57"/>
      <c r="K295" s="58"/>
      <c r="L295" s="58"/>
      <c r="M295" s="58"/>
      <c r="N295" s="58"/>
      <c r="O295" s="58"/>
      <c r="P295" s="54"/>
      <c r="Q295" s="54"/>
      <c r="R295" s="54"/>
      <c r="S295" s="54"/>
      <c r="T295" s="54"/>
      <c r="U295" s="54"/>
    </row>
    <row r="296" spans="1:21" ht="15" customHeight="1" x14ac:dyDescent="0.2">
      <c r="A296" s="97" t="s">
        <v>387</v>
      </c>
      <c r="B296" s="60" t="s">
        <v>189</v>
      </c>
      <c r="C296" s="49" t="s">
        <v>162</v>
      </c>
      <c r="D296" s="129" t="s">
        <v>253</v>
      </c>
      <c r="E296" s="130" t="s">
        <v>254</v>
      </c>
      <c r="F296" s="44" t="str">
        <f>IF(AND(ISNA(VLOOKUP(E296,DataType_Platform!A:A,1,FALSE())),ISNA(VLOOKUP(E296,BaseType!A:A,1,FALSE()))),"N","Y")</f>
        <v>Y</v>
      </c>
      <c r="G296" s="59"/>
      <c r="H296" s="57" t="s">
        <v>165</v>
      </c>
      <c r="I296" s="99" t="s">
        <v>166</v>
      </c>
      <c r="J296" s="100"/>
      <c r="K296" s="54"/>
      <c r="L296" s="54"/>
      <c r="M296" s="58" t="s">
        <v>388</v>
      </c>
      <c r="N296" s="54"/>
      <c r="O296" s="54"/>
      <c r="P296" s="54"/>
      <c r="Q296" s="54"/>
      <c r="R296" s="54"/>
      <c r="S296" s="54"/>
      <c r="T296" s="54"/>
      <c r="U296" s="54"/>
    </row>
    <row r="297" spans="1:21" ht="15" customHeight="1" x14ac:dyDescent="0.2">
      <c r="A297" s="97" t="s">
        <v>387</v>
      </c>
      <c r="B297" s="60" t="s">
        <v>189</v>
      </c>
      <c r="C297" s="49" t="s">
        <v>162</v>
      </c>
      <c r="D297" s="53" t="s">
        <v>177</v>
      </c>
      <c r="E297" s="36" t="s">
        <v>178</v>
      </c>
      <c r="F297" s="44" t="str">
        <f>IF(AND(ISNA(VLOOKUP(E297,DataType_Platform!A:A,1,FALSE())),ISNA(VLOOKUP(E297,BaseType!A:A,1,FALSE()))),"N","Y")</f>
        <v>Y</v>
      </c>
      <c r="G297" s="59"/>
      <c r="H297" s="57" t="s">
        <v>165</v>
      </c>
      <c r="I297" s="99" t="s">
        <v>166</v>
      </c>
      <c r="J297" s="100"/>
      <c r="K297" s="54"/>
      <c r="L297" s="54"/>
      <c r="M297" s="58" t="s">
        <v>388</v>
      </c>
      <c r="N297" s="54"/>
      <c r="O297" s="54"/>
      <c r="P297" s="54"/>
      <c r="Q297" s="54"/>
      <c r="R297" s="54"/>
      <c r="S297" s="54"/>
      <c r="T297" s="54"/>
      <c r="U297" s="54"/>
    </row>
    <row r="298" spans="1:21" ht="15" customHeight="1" x14ac:dyDescent="0.2">
      <c r="A298" s="97" t="s">
        <v>387</v>
      </c>
      <c r="B298" s="60" t="s">
        <v>189</v>
      </c>
      <c r="C298" s="49" t="s">
        <v>162</v>
      </c>
      <c r="D298" s="66" t="s">
        <v>181</v>
      </c>
      <c r="E298" s="11" t="s">
        <v>182</v>
      </c>
      <c r="F298" s="44" t="str">
        <f>IF(AND(ISNA(VLOOKUP(E298,DataType_Platform!A:A,1,FALSE())),ISNA(VLOOKUP(E298,BaseType!A:A,1,FALSE()))),"N","Y")</f>
        <v>Y</v>
      </c>
      <c r="G298" s="59"/>
      <c r="H298" s="57" t="s">
        <v>165</v>
      </c>
      <c r="I298" s="99" t="s">
        <v>166</v>
      </c>
      <c r="J298" s="100"/>
      <c r="K298" s="54"/>
      <c r="L298" s="54"/>
      <c r="M298" s="58" t="s">
        <v>388</v>
      </c>
      <c r="N298" s="54"/>
      <c r="O298" s="54"/>
      <c r="P298" s="54"/>
      <c r="Q298" s="54"/>
      <c r="R298" s="54"/>
      <c r="S298" s="54"/>
      <c r="T298" s="54"/>
      <c r="U298" s="54"/>
    </row>
    <row r="299" spans="1:21" ht="15" customHeight="1" x14ac:dyDescent="0.2">
      <c r="A299" s="97" t="s">
        <v>387</v>
      </c>
      <c r="B299" s="60" t="s">
        <v>161</v>
      </c>
      <c r="C299" s="49" t="s">
        <v>162</v>
      </c>
      <c r="D299" s="53" t="s">
        <v>389</v>
      </c>
      <c r="E299" s="36" t="s">
        <v>246</v>
      </c>
      <c r="F299" s="44" t="str">
        <f>IF(AND(ISNA(VLOOKUP(E299,DataType_Platform!A:A,1,FALSE())),ISNA(VLOOKUP(E299,BaseType!A:A,1,FALSE()))),"N","Y")</f>
        <v>Y</v>
      </c>
      <c r="G299" s="59"/>
      <c r="H299" s="57" t="s">
        <v>165</v>
      </c>
      <c r="I299" s="57" t="s">
        <v>166</v>
      </c>
      <c r="J299" s="56"/>
      <c r="K299" s="54"/>
      <c r="L299" s="54"/>
      <c r="M299" s="58"/>
      <c r="N299" s="54"/>
      <c r="O299" s="54"/>
      <c r="P299" s="54"/>
      <c r="Q299" s="54"/>
      <c r="R299" s="54"/>
      <c r="S299" s="54"/>
      <c r="T299" s="54"/>
      <c r="U299" s="54"/>
    </row>
    <row r="300" spans="1:21" ht="15" customHeight="1" x14ac:dyDescent="0.2">
      <c r="A300" s="97" t="s">
        <v>387</v>
      </c>
      <c r="B300" s="60" t="s">
        <v>161</v>
      </c>
      <c r="C300" s="49" t="s">
        <v>162</v>
      </c>
      <c r="D300" s="36" t="s">
        <v>390</v>
      </c>
      <c r="E300" s="78" t="s">
        <v>390</v>
      </c>
      <c r="F300" s="44" t="str">
        <f>IF(AND(ISNA(VLOOKUP(E300,DataType_Platform!A:A,1,FALSE())),ISNA(VLOOKUP(E300,BaseType!A:A,1,FALSE()))),"N","Y")</f>
        <v>Y</v>
      </c>
      <c r="G300" s="59"/>
      <c r="H300" s="57" t="s">
        <v>165</v>
      </c>
      <c r="I300" s="57" t="s">
        <v>166</v>
      </c>
      <c r="J300" s="56"/>
      <c r="K300" s="54"/>
      <c r="L300" s="54"/>
      <c r="M300" s="58" t="s">
        <v>166</v>
      </c>
      <c r="N300" s="54"/>
      <c r="O300" s="54"/>
      <c r="P300" s="54"/>
      <c r="Q300" s="54"/>
      <c r="R300" s="54"/>
      <c r="S300" s="54"/>
      <c r="T300" s="54"/>
      <c r="U300" s="54"/>
    </row>
    <row r="301" spans="1:21" ht="15" customHeight="1" x14ac:dyDescent="0.2">
      <c r="A301" s="97" t="s">
        <v>387</v>
      </c>
      <c r="B301" s="60" t="s">
        <v>161</v>
      </c>
      <c r="C301" s="49" t="s">
        <v>162</v>
      </c>
      <c r="D301" s="36" t="s">
        <v>391</v>
      </c>
      <c r="E301" s="121" t="s">
        <v>392</v>
      </c>
      <c r="F301" s="44" t="str">
        <f>IF(AND(ISNA(VLOOKUP(E301,DataType_Platform!A:A,1,FALSE())),ISNA(VLOOKUP(E301,BaseType!A:A,1,FALSE()))),"N","Y")</f>
        <v>Y</v>
      </c>
      <c r="G301" s="59"/>
      <c r="H301" s="57" t="s">
        <v>165</v>
      </c>
      <c r="I301" s="57" t="s">
        <v>166</v>
      </c>
      <c r="J301" s="56"/>
      <c r="K301" s="54"/>
      <c r="L301" s="54"/>
      <c r="M301" s="58"/>
      <c r="N301" s="54"/>
      <c r="O301" s="54"/>
      <c r="P301" s="54"/>
      <c r="Q301" s="54"/>
      <c r="R301" s="54"/>
      <c r="S301" s="54"/>
      <c r="T301" s="54"/>
      <c r="U301" s="54"/>
    </row>
    <row r="302" spans="1:21" ht="15" customHeight="1" x14ac:dyDescent="0.2">
      <c r="A302" s="97" t="s">
        <v>387</v>
      </c>
      <c r="B302" s="60" t="s">
        <v>161</v>
      </c>
      <c r="C302" s="49" t="s">
        <v>162</v>
      </c>
      <c r="D302" s="36" t="s">
        <v>393</v>
      </c>
      <c r="E302" s="121" t="s">
        <v>394</v>
      </c>
      <c r="F302" s="44" t="str">
        <f>IF(AND(ISNA(VLOOKUP(E302,DataType_Platform!A:A,1,FALSE())),ISNA(VLOOKUP(E302,BaseType!A:A,1,FALSE()))),"N","Y")</f>
        <v>Y</v>
      </c>
      <c r="G302" s="59"/>
      <c r="H302" s="57" t="s">
        <v>165</v>
      </c>
      <c r="I302" s="57" t="s">
        <v>166</v>
      </c>
      <c r="J302" s="56"/>
      <c r="K302" s="54"/>
      <c r="L302" s="54"/>
      <c r="M302" s="58"/>
      <c r="N302" s="54"/>
      <c r="O302" s="54"/>
      <c r="P302" s="54"/>
      <c r="Q302" s="54"/>
      <c r="R302" s="54"/>
      <c r="S302" s="54"/>
      <c r="T302" s="54"/>
      <c r="U302" s="54"/>
    </row>
    <row r="303" spans="1:21" ht="15" customHeight="1" x14ac:dyDescent="0.2">
      <c r="A303" s="61" t="s">
        <v>395</v>
      </c>
      <c r="B303" s="36" t="s">
        <v>189</v>
      </c>
      <c r="C303" s="49" t="s">
        <v>162</v>
      </c>
      <c r="D303" s="53" t="s">
        <v>183</v>
      </c>
      <c r="E303" s="50" t="s">
        <v>184</v>
      </c>
      <c r="F303" s="44" t="str">
        <f>IF(AND(ISNA(VLOOKUP(E303,DataType_Platform!A:A,1,FALSE())),ISNA(VLOOKUP(E303,BaseType!A:A,1,FALSE()))),"N","Y")</f>
        <v>Y</v>
      </c>
      <c r="G303" s="51"/>
      <c r="H303" s="57" t="s">
        <v>165</v>
      </c>
      <c r="I303" s="57" t="s">
        <v>166</v>
      </c>
      <c r="J303" s="56"/>
      <c r="K303" s="52"/>
      <c r="L303" s="52"/>
      <c r="M303" s="58"/>
      <c r="N303" s="52"/>
      <c r="O303" s="52"/>
      <c r="P303" s="54"/>
      <c r="Q303" s="54"/>
      <c r="R303" s="54"/>
      <c r="S303" s="54"/>
      <c r="T303" s="54"/>
      <c r="U303" s="54"/>
    </row>
    <row r="304" spans="1:21" ht="15" customHeight="1" x14ac:dyDescent="0.2">
      <c r="A304" s="61" t="s">
        <v>395</v>
      </c>
      <c r="B304" s="60" t="s">
        <v>189</v>
      </c>
      <c r="C304" s="49" t="s">
        <v>162</v>
      </c>
      <c r="D304" s="50" t="s">
        <v>390</v>
      </c>
      <c r="E304" s="78" t="s">
        <v>390</v>
      </c>
      <c r="F304" s="44" t="str">
        <f>IF(AND(ISNA(VLOOKUP(E304,DataType_Platform!A:A,1,FALSE())),ISNA(VLOOKUP(E304,BaseType!A:A,1,FALSE()))),"N","Y")</f>
        <v>Y</v>
      </c>
      <c r="G304" s="59"/>
      <c r="H304" s="57" t="s">
        <v>165</v>
      </c>
      <c r="I304" s="57" t="s">
        <v>166</v>
      </c>
      <c r="J304" s="56"/>
      <c r="K304" s="52">
        <v>0</v>
      </c>
      <c r="L304" s="52">
        <v>0</v>
      </c>
      <c r="M304" s="58" t="s">
        <v>166</v>
      </c>
      <c r="N304" s="52">
        <v>0</v>
      </c>
      <c r="O304" s="52">
        <v>0</v>
      </c>
      <c r="P304" s="54"/>
      <c r="Q304" s="54"/>
      <c r="R304" s="54"/>
      <c r="S304" s="54"/>
      <c r="T304" s="54"/>
      <c r="U304" s="54"/>
    </row>
    <row r="305" spans="1:21" ht="15" customHeight="1" x14ac:dyDescent="0.2">
      <c r="A305" s="61" t="s">
        <v>395</v>
      </c>
      <c r="B305" s="36" t="s">
        <v>189</v>
      </c>
      <c r="C305" s="49" t="s">
        <v>162</v>
      </c>
      <c r="D305" s="53" t="s">
        <v>171</v>
      </c>
      <c r="E305" s="36" t="s">
        <v>172</v>
      </c>
      <c r="F305" s="44" t="str">
        <f>IF(AND(ISNA(VLOOKUP(E305,DataType_Platform!A:A,1,FALSE())),ISNA(VLOOKUP(E305,BaseType!A:A,1,FALSE()))),"N","Y")</f>
        <v>Y</v>
      </c>
      <c r="G305" s="51"/>
      <c r="H305" s="57" t="s">
        <v>165</v>
      </c>
      <c r="I305" s="57" t="s">
        <v>166</v>
      </c>
      <c r="J305" s="56"/>
      <c r="K305" s="81">
        <v>0</v>
      </c>
      <c r="L305" s="81">
        <v>0</v>
      </c>
      <c r="M305" s="58" t="s">
        <v>166</v>
      </c>
      <c r="N305" s="81">
        <v>0</v>
      </c>
      <c r="O305" s="81">
        <v>0</v>
      </c>
      <c r="P305" s="54"/>
      <c r="Q305" s="54"/>
      <c r="R305" s="54"/>
      <c r="S305" s="54"/>
      <c r="T305" s="54"/>
      <c r="U305" s="54"/>
    </row>
    <row r="306" spans="1:21" ht="15" customHeight="1" x14ac:dyDescent="0.2">
      <c r="A306" s="61" t="s">
        <v>395</v>
      </c>
      <c r="B306" s="60" t="s">
        <v>189</v>
      </c>
      <c r="C306" s="49" t="s">
        <v>162</v>
      </c>
      <c r="D306" s="50" t="s">
        <v>281</v>
      </c>
      <c r="E306" s="78" t="s">
        <v>225</v>
      </c>
      <c r="F306" s="44" t="str">
        <f>IF(AND(ISNA(VLOOKUP(E306,DataType_Platform!A:A,1,FALSE())),ISNA(VLOOKUP(E306,BaseType!A:A,1,FALSE()))),"N","Y")</f>
        <v>Y</v>
      </c>
      <c r="G306" s="59"/>
      <c r="H306" s="57" t="s">
        <v>165</v>
      </c>
      <c r="I306" s="57" t="s">
        <v>166</v>
      </c>
      <c r="J306" s="56"/>
      <c r="K306" s="52">
        <v>0</v>
      </c>
      <c r="L306" s="52">
        <v>0</v>
      </c>
      <c r="M306" s="58" t="s">
        <v>166</v>
      </c>
      <c r="N306" s="52">
        <v>0</v>
      </c>
      <c r="O306" s="52">
        <v>0</v>
      </c>
      <c r="P306" s="54"/>
      <c r="Q306" s="54"/>
      <c r="R306" s="54"/>
      <c r="S306" s="54"/>
      <c r="T306" s="54"/>
      <c r="U306" s="54"/>
    </row>
    <row r="307" spans="1:21" ht="15" customHeight="1" x14ac:dyDescent="0.2">
      <c r="A307" s="61" t="s">
        <v>395</v>
      </c>
      <c r="B307" s="60" t="s">
        <v>189</v>
      </c>
      <c r="C307" s="49" t="s">
        <v>162</v>
      </c>
      <c r="D307" s="53" t="s">
        <v>282</v>
      </c>
      <c r="E307" s="78" t="s">
        <v>225</v>
      </c>
      <c r="F307" s="44" t="str">
        <f>IF(AND(ISNA(VLOOKUP(E307,DataType_Platform!A:A,1,FALSE())),ISNA(VLOOKUP(E307,BaseType!A:A,1,FALSE()))),"N","Y")</f>
        <v>Y</v>
      </c>
      <c r="G307" s="59"/>
      <c r="H307" s="57" t="s">
        <v>165</v>
      </c>
      <c r="I307" s="57" t="s">
        <v>166</v>
      </c>
      <c r="J307" s="56"/>
      <c r="K307" s="52">
        <v>0</v>
      </c>
      <c r="L307" s="52">
        <v>0</v>
      </c>
      <c r="M307" s="58" t="s">
        <v>166</v>
      </c>
      <c r="N307" s="52">
        <v>0</v>
      </c>
      <c r="O307" s="52">
        <v>0</v>
      </c>
      <c r="P307" s="54"/>
      <c r="Q307" s="54"/>
      <c r="R307" s="54"/>
      <c r="S307" s="54"/>
      <c r="T307" s="54"/>
      <c r="U307" s="54"/>
    </row>
    <row r="308" spans="1:21" ht="15" customHeight="1" x14ac:dyDescent="0.2">
      <c r="A308" s="61" t="s">
        <v>395</v>
      </c>
      <c r="B308" s="60" t="s">
        <v>189</v>
      </c>
      <c r="C308" s="49" t="s">
        <v>162</v>
      </c>
      <c r="D308" s="53" t="s">
        <v>286</v>
      </c>
      <c r="E308" s="78" t="s">
        <v>225</v>
      </c>
      <c r="F308" s="44" t="str">
        <f>IF(AND(ISNA(VLOOKUP(E308,DataType_Platform!A:A,1,FALSE())),ISNA(VLOOKUP(E308,BaseType!A:A,1,FALSE()))),"N","Y")</f>
        <v>Y</v>
      </c>
      <c r="G308" s="59"/>
      <c r="H308" s="57" t="s">
        <v>165</v>
      </c>
      <c r="I308" s="57" t="s">
        <v>166</v>
      </c>
      <c r="J308" s="56"/>
      <c r="K308" s="52">
        <v>0</v>
      </c>
      <c r="L308" s="52">
        <v>0</v>
      </c>
      <c r="M308" s="58" t="s">
        <v>166</v>
      </c>
      <c r="N308" s="52">
        <v>0</v>
      </c>
      <c r="O308" s="52">
        <v>0</v>
      </c>
      <c r="P308" s="54"/>
      <c r="Q308" s="54"/>
      <c r="R308" s="54"/>
      <c r="S308" s="54"/>
      <c r="T308" s="54"/>
      <c r="U308" s="54"/>
    </row>
    <row r="309" spans="1:21" ht="15" customHeight="1" x14ac:dyDescent="0.2">
      <c r="A309" s="61" t="s">
        <v>395</v>
      </c>
      <c r="B309" s="60" t="s">
        <v>189</v>
      </c>
      <c r="C309" s="49" t="s">
        <v>162</v>
      </c>
      <c r="D309" s="53" t="s">
        <v>287</v>
      </c>
      <c r="E309" s="78" t="s">
        <v>225</v>
      </c>
      <c r="F309" s="44" t="str">
        <f>IF(AND(ISNA(VLOOKUP(E309,DataType_Platform!A:A,1,FALSE())),ISNA(VLOOKUP(E309,BaseType!A:A,1,FALSE()))),"N","Y")</f>
        <v>Y</v>
      </c>
      <c r="G309" s="59"/>
      <c r="H309" s="57" t="s">
        <v>165</v>
      </c>
      <c r="I309" s="57" t="s">
        <v>166</v>
      </c>
      <c r="J309" s="56"/>
      <c r="K309" s="52">
        <v>0</v>
      </c>
      <c r="L309" s="52">
        <v>0</v>
      </c>
      <c r="M309" s="58" t="s">
        <v>166</v>
      </c>
      <c r="N309" s="52">
        <v>0</v>
      </c>
      <c r="O309" s="52">
        <v>0</v>
      </c>
      <c r="P309" s="54"/>
      <c r="Q309" s="54"/>
      <c r="R309" s="54"/>
      <c r="S309" s="54"/>
      <c r="T309" s="54"/>
      <c r="U309" s="54"/>
    </row>
    <row r="310" spans="1:21" ht="15" customHeight="1" x14ac:dyDescent="0.2">
      <c r="A310" s="61" t="s">
        <v>395</v>
      </c>
      <c r="B310" s="60" t="s">
        <v>189</v>
      </c>
      <c r="C310" s="49" t="s">
        <v>162</v>
      </c>
      <c r="D310" s="53" t="s">
        <v>288</v>
      </c>
      <c r="E310" s="78" t="s">
        <v>225</v>
      </c>
      <c r="F310" s="44" t="str">
        <f>IF(AND(ISNA(VLOOKUP(E310,DataType_Platform!A:A,1,FALSE())),ISNA(VLOOKUP(E310,BaseType!A:A,1,FALSE()))),"N","Y")</f>
        <v>Y</v>
      </c>
      <c r="G310" s="59"/>
      <c r="H310" s="57" t="s">
        <v>165</v>
      </c>
      <c r="I310" s="57" t="s">
        <v>166</v>
      </c>
      <c r="J310" s="56"/>
      <c r="K310" s="52">
        <v>0</v>
      </c>
      <c r="L310" s="52">
        <v>0</v>
      </c>
      <c r="M310" s="58" t="s">
        <v>166</v>
      </c>
      <c r="N310" s="52">
        <v>0</v>
      </c>
      <c r="O310" s="52">
        <v>0</v>
      </c>
      <c r="P310" s="54"/>
      <c r="Q310" s="54"/>
      <c r="R310" s="54"/>
      <c r="S310" s="54"/>
      <c r="T310" s="54"/>
      <c r="U310" s="54"/>
    </row>
    <row r="311" spans="1:21" ht="15" customHeight="1" x14ac:dyDescent="0.2">
      <c r="A311" s="61" t="s">
        <v>395</v>
      </c>
      <c r="B311" s="60" t="s">
        <v>189</v>
      </c>
      <c r="C311" s="49" t="s">
        <v>162</v>
      </c>
      <c r="D311" s="53" t="s">
        <v>289</v>
      </c>
      <c r="E311" s="78" t="s">
        <v>225</v>
      </c>
      <c r="F311" s="44" t="str">
        <f>IF(AND(ISNA(VLOOKUP(E311,DataType_Platform!A:A,1,FALSE())),ISNA(VLOOKUP(E311,BaseType!A:A,1,FALSE()))),"N","Y")</f>
        <v>Y</v>
      </c>
      <c r="G311" s="59"/>
      <c r="H311" s="57" t="s">
        <v>165</v>
      </c>
      <c r="I311" s="57" t="s">
        <v>166</v>
      </c>
      <c r="J311" s="56"/>
      <c r="K311" s="52">
        <v>0</v>
      </c>
      <c r="L311" s="52">
        <v>0</v>
      </c>
      <c r="M311" s="58" t="s">
        <v>166</v>
      </c>
      <c r="N311" s="52">
        <v>0</v>
      </c>
      <c r="O311" s="52">
        <v>0</v>
      </c>
      <c r="P311" s="54"/>
      <c r="Q311" s="54"/>
      <c r="R311" s="54"/>
      <c r="S311" s="54"/>
      <c r="T311" s="54"/>
      <c r="U311" s="54"/>
    </row>
    <row r="312" spans="1:21" ht="15" customHeight="1" x14ac:dyDescent="0.2">
      <c r="A312" s="61" t="s">
        <v>395</v>
      </c>
      <c r="B312" s="60" t="s">
        <v>189</v>
      </c>
      <c r="C312" s="49" t="s">
        <v>162</v>
      </c>
      <c r="D312" s="53" t="s">
        <v>253</v>
      </c>
      <c r="E312" s="78" t="s">
        <v>254</v>
      </c>
      <c r="F312" s="44" t="str">
        <f>IF(AND(ISNA(VLOOKUP(E312,DataType_Platform!A:A,1,FALSE())),ISNA(VLOOKUP(E312,BaseType!A:A,1,FALSE()))),"N","Y")</f>
        <v>Y</v>
      </c>
      <c r="G312" s="59"/>
      <c r="H312" s="57" t="s">
        <v>165</v>
      </c>
      <c r="I312" s="57" t="s">
        <v>166</v>
      </c>
      <c r="J312" s="56"/>
      <c r="K312" s="52">
        <v>0</v>
      </c>
      <c r="L312" s="52">
        <v>0</v>
      </c>
      <c r="M312" s="58" t="s">
        <v>166</v>
      </c>
      <c r="N312" s="52">
        <v>0</v>
      </c>
      <c r="O312" s="52">
        <v>0</v>
      </c>
      <c r="P312" s="54"/>
      <c r="Q312" s="54"/>
      <c r="R312" s="54"/>
      <c r="S312" s="54"/>
      <c r="T312" s="54"/>
      <c r="U312" s="54"/>
    </row>
    <row r="313" spans="1:21" ht="15" customHeight="1" x14ac:dyDescent="0.2">
      <c r="A313" s="61" t="s">
        <v>395</v>
      </c>
      <c r="B313" s="7" t="s">
        <v>189</v>
      </c>
      <c r="C313" s="49" t="s">
        <v>162</v>
      </c>
      <c r="D313" s="53" t="s">
        <v>247</v>
      </c>
      <c r="E313" s="7" t="s">
        <v>248</v>
      </c>
      <c r="F313" s="44" t="str">
        <f>IF(AND(ISNA(VLOOKUP(E313,DataType_Platform!A:A,1,FALSE())),ISNA(VLOOKUP(E313,BaseType!A:A,1,FALSE()))),"N","Y")</f>
        <v>Y</v>
      </c>
      <c r="G313" s="75"/>
      <c r="H313" s="57" t="s">
        <v>165</v>
      </c>
      <c r="I313" s="57" t="s">
        <v>166</v>
      </c>
      <c r="J313" s="57"/>
      <c r="K313" s="58">
        <v>0</v>
      </c>
      <c r="L313" s="58">
        <v>0</v>
      </c>
      <c r="M313" s="58" t="s">
        <v>166</v>
      </c>
      <c r="N313" s="58">
        <v>0</v>
      </c>
      <c r="O313" s="58">
        <v>0</v>
      </c>
      <c r="P313" s="54"/>
      <c r="Q313" s="54"/>
      <c r="R313" s="54"/>
      <c r="S313" s="54"/>
      <c r="T313" s="54"/>
      <c r="U313" s="54"/>
    </row>
    <row r="314" spans="1:21" ht="15" customHeight="1" x14ac:dyDescent="0.2">
      <c r="A314" s="61" t="s">
        <v>395</v>
      </c>
      <c r="B314" s="7" t="s">
        <v>189</v>
      </c>
      <c r="C314" s="49" t="s">
        <v>162</v>
      </c>
      <c r="D314" s="53" t="s">
        <v>257</v>
      </c>
      <c r="E314" s="7" t="s">
        <v>258</v>
      </c>
      <c r="F314" s="44" t="str">
        <f>IF(AND(ISNA(VLOOKUP(E314,DataType_Platform!A:A,1,FALSE())),ISNA(VLOOKUP(E314,BaseType!A:A,1,FALSE()))),"N","Y")</f>
        <v>Y</v>
      </c>
      <c r="G314" s="75"/>
      <c r="H314" s="57" t="s">
        <v>165</v>
      </c>
      <c r="I314" s="57" t="s">
        <v>166</v>
      </c>
      <c r="J314" s="57"/>
      <c r="K314" s="58">
        <v>0</v>
      </c>
      <c r="L314" s="58">
        <v>0</v>
      </c>
      <c r="M314" s="58" t="s">
        <v>166</v>
      </c>
      <c r="N314" s="58">
        <v>0</v>
      </c>
      <c r="O314" s="58">
        <v>0</v>
      </c>
      <c r="P314" s="54"/>
      <c r="Q314" s="54"/>
      <c r="R314" s="54"/>
      <c r="S314" s="54"/>
      <c r="T314" s="54"/>
      <c r="U314" s="54"/>
    </row>
    <row r="315" spans="1:21" ht="15" customHeight="1" x14ac:dyDescent="0.2">
      <c r="A315" s="61" t="s">
        <v>395</v>
      </c>
      <c r="B315" s="36" t="s">
        <v>189</v>
      </c>
      <c r="C315" s="49" t="s">
        <v>162</v>
      </c>
      <c r="D315" s="53" t="s">
        <v>299</v>
      </c>
      <c r="E315" s="53" t="s">
        <v>300</v>
      </c>
      <c r="F315" s="44" t="str">
        <f>IF(AND(ISNA(VLOOKUP(E315,DataType_Platform!A:A,1,FALSE())),ISNA(VLOOKUP(E315,BaseType!A:A,1,FALSE()))),"N","Y")</f>
        <v>Y</v>
      </c>
      <c r="G315" s="51"/>
      <c r="H315" s="57" t="s">
        <v>165</v>
      </c>
      <c r="I315" s="57" t="s">
        <v>166</v>
      </c>
      <c r="J315" s="56"/>
      <c r="K315" s="52">
        <v>0</v>
      </c>
      <c r="L315" s="52">
        <v>0</v>
      </c>
      <c r="M315" s="58" t="s">
        <v>166</v>
      </c>
      <c r="N315" s="52">
        <v>0</v>
      </c>
      <c r="O315" s="52">
        <v>0</v>
      </c>
      <c r="P315" s="54"/>
      <c r="Q315" s="54"/>
      <c r="R315" s="54"/>
      <c r="S315" s="54"/>
      <c r="T315" s="54"/>
      <c r="U315" s="54"/>
    </row>
    <row r="316" spans="1:21" ht="15" customHeight="1" x14ac:dyDescent="0.2">
      <c r="A316" s="61" t="s">
        <v>395</v>
      </c>
      <c r="B316" s="105" t="s">
        <v>189</v>
      </c>
      <c r="C316" s="49" t="s">
        <v>162</v>
      </c>
      <c r="D316" s="53" t="s">
        <v>198</v>
      </c>
      <c r="E316" s="53" t="s">
        <v>199</v>
      </c>
      <c r="F316" s="44" t="str">
        <f>IF(AND(ISNA(VLOOKUP(E316,DataType_Platform!A:A,1,FALSE())),ISNA(VLOOKUP(E316,BaseType!A:A,1,FALSE()))),"N","Y")</f>
        <v>Y</v>
      </c>
      <c r="G316" s="51"/>
      <c r="H316" s="57" t="s">
        <v>165</v>
      </c>
      <c r="I316" s="57" t="s">
        <v>166</v>
      </c>
      <c r="J316" s="56"/>
      <c r="K316" s="52"/>
      <c r="L316" s="52"/>
      <c r="M316" s="58"/>
      <c r="N316" s="52"/>
      <c r="O316" s="52"/>
      <c r="P316" s="54"/>
      <c r="Q316" s="54"/>
      <c r="R316" s="54"/>
      <c r="S316" s="54"/>
      <c r="T316" s="54"/>
      <c r="U316" s="54"/>
    </row>
    <row r="317" spans="1:21" ht="15" customHeight="1" x14ac:dyDescent="0.2">
      <c r="A317" s="61" t="s">
        <v>395</v>
      </c>
      <c r="B317" s="36" t="s">
        <v>189</v>
      </c>
      <c r="C317" s="49" t="s">
        <v>162</v>
      </c>
      <c r="D317" s="53" t="s">
        <v>326</v>
      </c>
      <c r="E317" s="36" t="s">
        <v>327</v>
      </c>
      <c r="F317" s="44" t="str">
        <f>IF(AND(ISNA(VLOOKUP(E317,DataType_Platform!A:A,1,FALSE())),ISNA(VLOOKUP(E317,BaseType!A:A,1,FALSE()))),"N","Y")</f>
        <v>Y</v>
      </c>
      <c r="G317" s="51"/>
      <c r="H317" s="57" t="s">
        <v>165</v>
      </c>
      <c r="I317" s="57" t="s">
        <v>166</v>
      </c>
      <c r="J317" s="56"/>
      <c r="K317" s="52">
        <v>0</v>
      </c>
      <c r="L317" s="52">
        <v>0</v>
      </c>
      <c r="M317" s="58" t="s">
        <v>166</v>
      </c>
      <c r="N317" s="52">
        <v>0</v>
      </c>
      <c r="O317" s="52">
        <v>0</v>
      </c>
      <c r="P317" s="54"/>
      <c r="Q317" s="54"/>
      <c r="R317" s="54"/>
      <c r="S317" s="54"/>
      <c r="T317" s="54"/>
      <c r="U317" s="54"/>
    </row>
    <row r="318" spans="1:21" ht="15" customHeight="1" x14ac:dyDescent="0.2">
      <c r="A318" s="61" t="s">
        <v>395</v>
      </c>
      <c r="B318" s="36" t="s">
        <v>189</v>
      </c>
      <c r="C318" s="49" t="s">
        <v>162</v>
      </c>
      <c r="D318" s="53" t="s">
        <v>324</v>
      </c>
      <c r="E318" s="36" t="s">
        <v>325</v>
      </c>
      <c r="F318" s="44" t="str">
        <f>IF(AND(ISNA(VLOOKUP(E318,DataType_Platform!A:A,1,FALSE())),ISNA(VLOOKUP(E318,BaseType!A:A,1,FALSE()))),"N","Y")</f>
        <v>Y</v>
      </c>
      <c r="G318" s="51"/>
      <c r="H318" s="57" t="s">
        <v>165</v>
      </c>
      <c r="I318" s="57" t="s">
        <v>166</v>
      </c>
      <c r="J318" s="56"/>
      <c r="K318" s="52">
        <v>0</v>
      </c>
      <c r="L318" s="52">
        <v>0</v>
      </c>
      <c r="M318" s="58" t="s">
        <v>166</v>
      </c>
      <c r="N318" s="52">
        <v>0</v>
      </c>
      <c r="O318" s="52">
        <v>0</v>
      </c>
      <c r="P318" s="54"/>
      <c r="Q318" s="54"/>
      <c r="R318" s="54"/>
      <c r="S318" s="54"/>
      <c r="T318" s="54"/>
      <c r="U318" s="54"/>
    </row>
    <row r="319" spans="1:21" ht="15" customHeight="1" x14ac:dyDescent="0.2">
      <c r="A319" s="61" t="s">
        <v>395</v>
      </c>
      <c r="B319" s="36" t="s">
        <v>189</v>
      </c>
      <c r="C319" s="49" t="s">
        <v>162</v>
      </c>
      <c r="D319" s="53" t="s">
        <v>332</v>
      </c>
      <c r="E319" s="36" t="s">
        <v>333</v>
      </c>
      <c r="F319" s="44" t="str">
        <f>IF(AND(ISNA(VLOOKUP(E319,DataType_Platform!A:A,1,FALSE())),ISNA(VLOOKUP(E319,BaseType!A:A,1,FALSE()))),"N","Y")</f>
        <v>Y</v>
      </c>
      <c r="G319" s="51"/>
      <c r="H319" s="57" t="s">
        <v>165</v>
      </c>
      <c r="I319" s="57" t="s">
        <v>166</v>
      </c>
      <c r="J319" s="56"/>
      <c r="K319" s="52">
        <v>0</v>
      </c>
      <c r="L319" s="52">
        <v>0</v>
      </c>
      <c r="M319" s="58" t="s">
        <v>166</v>
      </c>
      <c r="N319" s="52">
        <v>0</v>
      </c>
      <c r="O319" s="52">
        <v>0</v>
      </c>
      <c r="P319" s="54"/>
      <c r="Q319" s="54"/>
      <c r="R319" s="54"/>
      <c r="S319" s="54"/>
      <c r="T319" s="54"/>
      <c r="U319" s="54"/>
    </row>
    <row r="320" spans="1:21" ht="15" customHeight="1" x14ac:dyDescent="0.2">
      <c r="A320" s="61" t="s">
        <v>395</v>
      </c>
      <c r="B320" s="36" t="s">
        <v>189</v>
      </c>
      <c r="C320" s="49" t="s">
        <v>162</v>
      </c>
      <c r="D320" s="53" t="s">
        <v>206</v>
      </c>
      <c r="E320" s="36" t="s">
        <v>207</v>
      </c>
      <c r="F320" s="44" t="str">
        <f>IF(AND(ISNA(VLOOKUP(E320,DataType_Platform!A:A,1,FALSE())),ISNA(VLOOKUP(E320,BaseType!A:A,1,FALSE()))),"N","Y")</f>
        <v>Y</v>
      </c>
      <c r="G320" s="51"/>
      <c r="H320" s="57" t="s">
        <v>165</v>
      </c>
      <c r="I320" s="57" t="s">
        <v>166</v>
      </c>
      <c r="J320" s="56"/>
      <c r="K320" s="52">
        <v>0</v>
      </c>
      <c r="L320" s="52">
        <v>0</v>
      </c>
      <c r="M320" s="58" t="s">
        <v>166</v>
      </c>
      <c r="N320" s="52">
        <v>0</v>
      </c>
      <c r="O320" s="52">
        <v>0</v>
      </c>
      <c r="P320" s="54"/>
      <c r="Q320" s="54"/>
      <c r="R320" s="54"/>
      <c r="S320" s="54"/>
      <c r="T320" s="54"/>
      <c r="U320" s="54"/>
    </row>
    <row r="321" spans="1:21" ht="15" customHeight="1" x14ac:dyDescent="0.2">
      <c r="A321" s="61" t="s">
        <v>395</v>
      </c>
      <c r="B321" s="60" t="s">
        <v>161</v>
      </c>
      <c r="C321" s="49" t="s">
        <v>162</v>
      </c>
      <c r="D321" s="53" t="s">
        <v>396</v>
      </c>
      <c r="E321" s="36" t="s">
        <v>246</v>
      </c>
      <c r="F321" s="44" t="str">
        <f>IF(AND(ISNA(VLOOKUP(E321,DataType_Platform!A:A,1,FALSE())),ISNA(VLOOKUP(E321,BaseType!A:A,1,FALSE()))),"N","Y")</f>
        <v>Y</v>
      </c>
      <c r="G321" s="59"/>
      <c r="H321" s="57" t="s">
        <v>165</v>
      </c>
      <c r="I321" s="57" t="s">
        <v>166</v>
      </c>
      <c r="J321" s="56"/>
      <c r="K321" s="52">
        <v>0</v>
      </c>
      <c r="L321" s="52">
        <v>0</v>
      </c>
      <c r="M321" s="58" t="s">
        <v>166</v>
      </c>
      <c r="N321" s="52">
        <v>0</v>
      </c>
      <c r="O321" s="52">
        <v>0</v>
      </c>
      <c r="P321" s="54"/>
      <c r="Q321" s="54"/>
      <c r="R321" s="54"/>
      <c r="S321" s="54"/>
      <c r="T321" s="54"/>
      <c r="U321" s="54"/>
    </row>
    <row r="322" spans="1:21" ht="15" customHeight="1" x14ac:dyDescent="0.2">
      <c r="A322" s="61" t="s">
        <v>395</v>
      </c>
      <c r="B322" s="60" t="s">
        <v>161</v>
      </c>
      <c r="C322" s="49" t="s">
        <v>162</v>
      </c>
      <c r="D322" s="53" t="s">
        <v>342</v>
      </c>
      <c r="E322" s="36" t="s">
        <v>343</v>
      </c>
      <c r="F322" s="44" t="str">
        <f>IF(AND(ISNA(VLOOKUP(E322,DataType_Platform!A:A,1,FALSE())),ISNA(VLOOKUP(E322,BaseType!A:A,1,FALSE()))),"N","Y")</f>
        <v>Y</v>
      </c>
      <c r="G322" s="59"/>
      <c r="H322" s="57" t="s">
        <v>165</v>
      </c>
      <c r="I322" s="57" t="s">
        <v>166</v>
      </c>
      <c r="J322" s="56"/>
      <c r="K322" s="52">
        <v>0</v>
      </c>
      <c r="L322" s="52">
        <v>0</v>
      </c>
      <c r="M322" s="58" t="s">
        <v>166</v>
      </c>
      <c r="N322" s="52">
        <v>0</v>
      </c>
      <c r="O322" s="52">
        <v>0</v>
      </c>
      <c r="P322" s="54"/>
      <c r="Q322" s="54"/>
      <c r="R322" s="54"/>
      <c r="S322" s="54"/>
      <c r="T322" s="54"/>
      <c r="U322" s="54"/>
    </row>
    <row r="323" spans="1:21" ht="15" customHeight="1" x14ac:dyDescent="0.2">
      <c r="A323" s="61" t="s">
        <v>395</v>
      </c>
      <c r="B323" s="60" t="s">
        <v>161</v>
      </c>
      <c r="C323" s="49" t="s">
        <v>162</v>
      </c>
      <c r="D323" s="53" t="s">
        <v>355</v>
      </c>
      <c r="E323" s="36" t="s">
        <v>343</v>
      </c>
      <c r="F323" s="44" t="str">
        <f>IF(AND(ISNA(VLOOKUP(E323,DataType_Platform!A:A,1,FALSE())),ISNA(VLOOKUP(E323,BaseType!A:A,1,FALSE()))),"N","Y")</f>
        <v>Y</v>
      </c>
      <c r="G323" s="59"/>
      <c r="H323" s="57" t="s">
        <v>165</v>
      </c>
      <c r="I323" s="57" t="s">
        <v>166</v>
      </c>
      <c r="J323" s="56"/>
      <c r="K323" s="52">
        <v>0</v>
      </c>
      <c r="L323" s="52">
        <v>0</v>
      </c>
      <c r="M323" s="58" t="s">
        <v>166</v>
      </c>
      <c r="N323" s="52">
        <v>0</v>
      </c>
      <c r="O323" s="52">
        <v>0</v>
      </c>
      <c r="P323" s="54"/>
      <c r="Q323" s="54"/>
      <c r="R323" s="54"/>
      <c r="S323" s="54"/>
      <c r="T323" s="54"/>
      <c r="U323" s="54"/>
    </row>
    <row r="324" spans="1:21" ht="15" customHeight="1" x14ac:dyDescent="0.2">
      <c r="A324" s="61" t="s">
        <v>395</v>
      </c>
      <c r="B324" s="60" t="s">
        <v>161</v>
      </c>
      <c r="C324" s="49" t="s">
        <v>162</v>
      </c>
      <c r="D324" s="53" t="s">
        <v>356</v>
      </c>
      <c r="E324" s="36" t="s">
        <v>343</v>
      </c>
      <c r="F324" s="44" t="str">
        <f>IF(AND(ISNA(VLOOKUP(E324,DataType_Platform!A:A,1,FALSE())),ISNA(VLOOKUP(E324,BaseType!A:A,1,FALSE()))),"N","Y")</f>
        <v>Y</v>
      </c>
      <c r="G324" s="59"/>
      <c r="H324" s="57" t="s">
        <v>165</v>
      </c>
      <c r="I324" s="57" t="s">
        <v>166</v>
      </c>
      <c r="J324" s="56"/>
      <c r="K324" s="52">
        <v>0</v>
      </c>
      <c r="L324" s="52">
        <v>0</v>
      </c>
      <c r="M324" s="58" t="s">
        <v>166</v>
      </c>
      <c r="N324" s="52">
        <v>0</v>
      </c>
      <c r="O324" s="52">
        <v>0</v>
      </c>
      <c r="P324" s="54"/>
      <c r="Q324" s="54"/>
      <c r="R324" s="54"/>
      <c r="S324" s="54"/>
      <c r="T324" s="54"/>
      <c r="U324" s="54"/>
    </row>
    <row r="325" spans="1:21" ht="15" customHeight="1" x14ac:dyDescent="0.2">
      <c r="A325" s="61" t="s">
        <v>395</v>
      </c>
      <c r="B325" s="60" t="s">
        <v>161</v>
      </c>
      <c r="C325" s="49" t="s">
        <v>162</v>
      </c>
      <c r="D325" s="53" t="s">
        <v>357</v>
      </c>
      <c r="E325" s="36" t="s">
        <v>343</v>
      </c>
      <c r="F325" s="44" t="str">
        <f>IF(AND(ISNA(VLOOKUP(E325,DataType_Platform!A:A,1,FALSE())),ISNA(VLOOKUP(E325,BaseType!A:A,1,FALSE()))),"N","Y")</f>
        <v>Y</v>
      </c>
      <c r="G325" s="59"/>
      <c r="H325" s="57" t="s">
        <v>165</v>
      </c>
      <c r="I325" s="57" t="s">
        <v>166</v>
      </c>
      <c r="J325" s="56"/>
      <c r="K325" s="52">
        <v>0</v>
      </c>
      <c r="L325" s="52">
        <v>0</v>
      </c>
      <c r="M325" s="58" t="s">
        <v>166</v>
      </c>
      <c r="N325" s="52">
        <v>0</v>
      </c>
      <c r="O325" s="52">
        <v>0</v>
      </c>
      <c r="P325" s="54"/>
      <c r="Q325" s="54"/>
      <c r="R325" s="54"/>
      <c r="S325" s="54"/>
      <c r="T325" s="54"/>
      <c r="U325" s="54"/>
    </row>
    <row r="326" spans="1:21" ht="15" customHeight="1" x14ac:dyDescent="0.2">
      <c r="A326" s="61" t="s">
        <v>395</v>
      </c>
      <c r="B326" s="60" t="s">
        <v>161</v>
      </c>
      <c r="C326" s="49" t="s">
        <v>162</v>
      </c>
      <c r="D326" s="53" t="s">
        <v>369</v>
      </c>
      <c r="E326" s="36" t="s">
        <v>343</v>
      </c>
      <c r="F326" s="44" t="str">
        <f>IF(AND(ISNA(VLOOKUP(E326,DataType_Platform!A:A,1,FALSE())),ISNA(VLOOKUP(E326,BaseType!A:A,1,FALSE()))),"N","Y")</f>
        <v>Y</v>
      </c>
      <c r="G326" s="59"/>
      <c r="H326" s="57" t="s">
        <v>165</v>
      </c>
      <c r="I326" s="57" t="s">
        <v>166</v>
      </c>
      <c r="J326" s="56"/>
      <c r="K326" s="52">
        <v>0</v>
      </c>
      <c r="L326" s="52">
        <v>0</v>
      </c>
      <c r="M326" s="58" t="s">
        <v>166</v>
      </c>
      <c r="N326" s="52">
        <v>0</v>
      </c>
      <c r="O326" s="52">
        <v>0</v>
      </c>
      <c r="P326" s="54"/>
      <c r="Q326" s="54"/>
      <c r="R326" s="54"/>
      <c r="S326" s="54"/>
      <c r="T326" s="54"/>
      <c r="U326" s="54"/>
    </row>
    <row r="327" spans="1:21" ht="15" customHeight="1" x14ac:dyDescent="0.2">
      <c r="A327" s="61" t="s">
        <v>395</v>
      </c>
      <c r="B327" s="60" t="s">
        <v>161</v>
      </c>
      <c r="C327" s="49" t="s">
        <v>162</v>
      </c>
      <c r="D327" s="53" t="s">
        <v>370</v>
      </c>
      <c r="E327" s="36" t="s">
        <v>343</v>
      </c>
      <c r="F327" s="44" t="str">
        <f>IF(AND(ISNA(VLOOKUP(E327,DataType_Platform!A:A,1,FALSE())),ISNA(VLOOKUP(E327,BaseType!A:A,1,FALSE()))),"N","Y")</f>
        <v>Y</v>
      </c>
      <c r="G327" s="59"/>
      <c r="H327" s="57" t="s">
        <v>165</v>
      </c>
      <c r="I327" s="57" t="s">
        <v>166</v>
      </c>
      <c r="J327" s="56"/>
      <c r="K327" s="52">
        <v>0</v>
      </c>
      <c r="L327" s="52">
        <v>0</v>
      </c>
      <c r="M327" s="58" t="s">
        <v>166</v>
      </c>
      <c r="N327" s="52">
        <v>0</v>
      </c>
      <c r="O327" s="52">
        <v>0</v>
      </c>
      <c r="P327" s="54"/>
      <c r="Q327" s="54"/>
      <c r="R327" s="54"/>
      <c r="S327" s="54"/>
      <c r="T327" s="54"/>
      <c r="U327" s="54"/>
    </row>
    <row r="328" spans="1:21" ht="15" customHeight="1" x14ac:dyDescent="0.2">
      <c r="A328" s="61" t="s">
        <v>395</v>
      </c>
      <c r="B328" s="60" t="s">
        <v>161</v>
      </c>
      <c r="C328" s="49" t="s">
        <v>162</v>
      </c>
      <c r="D328" s="53" t="s">
        <v>371</v>
      </c>
      <c r="E328" s="36" t="s">
        <v>343</v>
      </c>
      <c r="F328" s="44" t="str">
        <f>IF(AND(ISNA(VLOOKUP(E328,DataType_Platform!A:A,1,FALSE())),ISNA(VLOOKUP(E328,BaseType!A:A,1,FALSE()))),"N","Y")</f>
        <v>Y</v>
      </c>
      <c r="G328" s="59"/>
      <c r="H328" s="57" t="s">
        <v>165</v>
      </c>
      <c r="I328" s="57" t="s">
        <v>166</v>
      </c>
      <c r="J328" s="56"/>
      <c r="K328" s="52">
        <v>0</v>
      </c>
      <c r="L328" s="52">
        <v>0</v>
      </c>
      <c r="M328" s="58" t="s">
        <v>166</v>
      </c>
      <c r="N328" s="52">
        <v>0</v>
      </c>
      <c r="O328" s="52">
        <v>0</v>
      </c>
      <c r="P328" s="54"/>
      <c r="Q328" s="54"/>
      <c r="R328" s="54"/>
      <c r="S328" s="54"/>
      <c r="T328" s="54"/>
      <c r="U328" s="54"/>
    </row>
    <row r="329" spans="1:21" ht="15" customHeight="1" x14ac:dyDescent="0.2">
      <c r="A329" s="61" t="s">
        <v>395</v>
      </c>
      <c r="B329" s="60" t="s">
        <v>161</v>
      </c>
      <c r="C329" s="49" t="s">
        <v>162</v>
      </c>
      <c r="D329" s="53" t="s">
        <v>372</v>
      </c>
      <c r="E329" s="36" t="s">
        <v>343</v>
      </c>
      <c r="F329" s="44" t="str">
        <f>IF(AND(ISNA(VLOOKUP(E329,DataType_Platform!A:A,1,FALSE())),ISNA(VLOOKUP(E329,BaseType!A:A,1,FALSE()))),"N","Y")</f>
        <v>Y</v>
      </c>
      <c r="G329" s="51"/>
      <c r="H329" s="57" t="s">
        <v>165</v>
      </c>
      <c r="I329" s="57" t="s">
        <v>166</v>
      </c>
      <c r="J329" s="56"/>
      <c r="K329" s="52">
        <v>0</v>
      </c>
      <c r="L329" s="52">
        <v>0</v>
      </c>
      <c r="M329" s="58" t="s">
        <v>166</v>
      </c>
      <c r="N329" s="52">
        <v>0</v>
      </c>
      <c r="O329" s="52">
        <v>0</v>
      </c>
      <c r="P329" s="54"/>
      <c r="Q329" s="54"/>
      <c r="R329" s="54"/>
      <c r="S329" s="54"/>
      <c r="T329" s="54"/>
      <c r="U329" s="54"/>
    </row>
    <row r="330" spans="1:21" ht="15" customHeight="1" x14ac:dyDescent="0.2">
      <c r="A330" s="61" t="s">
        <v>395</v>
      </c>
      <c r="B330" s="60" t="s">
        <v>161</v>
      </c>
      <c r="C330" s="49" t="s">
        <v>162</v>
      </c>
      <c r="D330" s="53" t="s">
        <v>373</v>
      </c>
      <c r="E330" s="36" t="s">
        <v>343</v>
      </c>
      <c r="F330" s="44" t="str">
        <f>IF(AND(ISNA(VLOOKUP(E330,DataType_Platform!A:A,1,FALSE())),ISNA(VLOOKUP(E330,BaseType!A:A,1,FALSE()))),"N","Y")</f>
        <v>Y</v>
      </c>
      <c r="G330" s="59"/>
      <c r="H330" s="57" t="s">
        <v>165</v>
      </c>
      <c r="I330" s="57" t="s">
        <v>166</v>
      </c>
      <c r="J330" s="56"/>
      <c r="K330" s="52">
        <v>0</v>
      </c>
      <c r="L330" s="52">
        <v>0</v>
      </c>
      <c r="M330" s="58" t="s">
        <v>166</v>
      </c>
      <c r="N330" s="52">
        <v>0</v>
      </c>
      <c r="O330" s="52">
        <v>0</v>
      </c>
      <c r="P330" s="54"/>
      <c r="Q330" s="54"/>
      <c r="R330" s="54"/>
      <c r="S330" s="54"/>
      <c r="T330" s="54"/>
      <c r="U330" s="54"/>
    </row>
    <row r="331" spans="1:21" ht="15" customHeight="1" x14ac:dyDescent="0.2">
      <c r="A331" s="61" t="s">
        <v>395</v>
      </c>
      <c r="B331" s="60" t="s">
        <v>161</v>
      </c>
      <c r="C331" s="49" t="s">
        <v>162</v>
      </c>
      <c r="D331" s="53" t="s">
        <v>336</v>
      </c>
      <c r="E331" s="78" t="s">
        <v>337</v>
      </c>
      <c r="F331" s="44" t="str">
        <f>IF(AND(ISNA(VLOOKUP(E331,DataType_Platform!A:A,1,FALSE())),ISNA(VLOOKUP(E331,BaseType!A:A,1,FALSE()))),"N","Y")</f>
        <v>Y</v>
      </c>
      <c r="G331" s="59"/>
      <c r="H331" s="57" t="s">
        <v>165</v>
      </c>
      <c r="I331" s="57" t="s">
        <v>166</v>
      </c>
      <c r="J331" s="56"/>
      <c r="K331" s="52">
        <v>0</v>
      </c>
      <c r="L331" s="52">
        <v>0</v>
      </c>
      <c r="M331" s="58" t="s">
        <v>166</v>
      </c>
      <c r="N331" s="52">
        <v>0</v>
      </c>
      <c r="O331" s="52">
        <v>0</v>
      </c>
      <c r="P331" s="54"/>
      <c r="Q331" s="54"/>
      <c r="R331" s="54"/>
      <c r="S331" s="54"/>
      <c r="T331" s="54"/>
      <c r="U331" s="54"/>
    </row>
    <row r="332" spans="1:21" ht="15" customHeight="1" x14ac:dyDescent="0.2">
      <c r="A332" s="61" t="s">
        <v>395</v>
      </c>
      <c r="B332" s="60" t="s">
        <v>161</v>
      </c>
      <c r="C332" s="49" t="s">
        <v>162</v>
      </c>
      <c r="D332" s="53" t="s">
        <v>397</v>
      </c>
      <c r="E332" s="103" t="s">
        <v>398</v>
      </c>
      <c r="F332" s="44" t="str">
        <f>IF(AND(ISNA(VLOOKUP(E332,DataType_Platform!A:A,1,FALSE())),ISNA(VLOOKUP(E332,BaseType!A:A,1,FALSE()))),"N","Y")</f>
        <v>Y</v>
      </c>
      <c r="G332" s="59"/>
      <c r="H332" s="57" t="s">
        <v>165</v>
      </c>
      <c r="I332" s="57" t="s">
        <v>166</v>
      </c>
      <c r="J332" s="56"/>
      <c r="K332" s="52"/>
      <c r="L332" s="52"/>
      <c r="M332" s="58" t="s">
        <v>166</v>
      </c>
      <c r="N332" s="52"/>
      <c r="O332" s="52"/>
      <c r="P332" s="54"/>
      <c r="Q332" s="54"/>
      <c r="R332" s="54"/>
      <c r="S332" s="54"/>
      <c r="T332" s="54"/>
      <c r="U332" s="54"/>
    </row>
    <row r="333" spans="1:21" ht="15" customHeight="1" x14ac:dyDescent="0.2">
      <c r="A333" s="61" t="s">
        <v>395</v>
      </c>
      <c r="B333" s="36" t="s">
        <v>161</v>
      </c>
      <c r="C333" s="49" t="s">
        <v>162</v>
      </c>
      <c r="D333" s="53" t="s">
        <v>319</v>
      </c>
      <c r="E333" s="36" t="s">
        <v>320</v>
      </c>
      <c r="F333" s="44" t="str">
        <f>IF(AND(ISNA(VLOOKUP(E333,DataType_Platform!A:A,1,FALSE())),ISNA(VLOOKUP(E333,BaseType!A:A,1,FALSE()))),"N","Y")</f>
        <v>Y</v>
      </c>
      <c r="G333" s="51"/>
      <c r="H333" s="57" t="s">
        <v>165</v>
      </c>
      <c r="I333" s="57" t="s">
        <v>166</v>
      </c>
      <c r="J333" s="56"/>
      <c r="K333" s="52">
        <v>0</v>
      </c>
      <c r="L333" s="52">
        <v>0</v>
      </c>
      <c r="M333" s="58" t="s">
        <v>166</v>
      </c>
      <c r="N333" s="52">
        <v>0</v>
      </c>
      <c r="O333" s="52">
        <v>0</v>
      </c>
      <c r="P333" s="54"/>
      <c r="Q333" s="54"/>
      <c r="R333" s="54"/>
      <c r="S333" s="54"/>
      <c r="T333" s="54"/>
      <c r="U333" s="54"/>
    </row>
    <row r="334" spans="1:21" ht="15" customHeight="1" x14ac:dyDescent="0.2">
      <c r="A334" s="61" t="s">
        <v>395</v>
      </c>
      <c r="B334" s="36" t="s">
        <v>161</v>
      </c>
      <c r="C334" s="49" t="s">
        <v>162</v>
      </c>
      <c r="D334" s="53" t="s">
        <v>317</v>
      </c>
      <c r="E334" s="36" t="s">
        <v>318</v>
      </c>
      <c r="F334" s="44" t="str">
        <f>IF(AND(ISNA(VLOOKUP(E334,DataType_Platform!A:A,1,FALSE())),ISNA(VLOOKUP(E334,BaseType!A:A,1,FALSE()))),"N","Y")</f>
        <v>Y</v>
      </c>
      <c r="G334" s="59"/>
      <c r="H334" s="57" t="s">
        <v>165</v>
      </c>
      <c r="I334" s="57" t="s">
        <v>166</v>
      </c>
      <c r="J334" s="56"/>
      <c r="K334" s="52"/>
      <c r="L334" s="52"/>
      <c r="M334" s="58"/>
      <c r="N334" s="52"/>
      <c r="O334" s="52"/>
      <c r="P334" s="54"/>
      <c r="Q334" s="54"/>
      <c r="R334" s="54"/>
      <c r="S334" s="54"/>
      <c r="T334" s="54"/>
      <c r="U334" s="54"/>
    </row>
    <row r="335" spans="1:21" ht="15" customHeight="1" x14ac:dyDescent="0.2">
      <c r="A335" s="61" t="s">
        <v>395</v>
      </c>
      <c r="B335" s="60" t="s">
        <v>161</v>
      </c>
      <c r="C335" s="49" t="s">
        <v>162</v>
      </c>
      <c r="D335" s="53" t="s">
        <v>297</v>
      </c>
      <c r="E335" s="78" t="s">
        <v>298</v>
      </c>
      <c r="F335" s="44" t="str">
        <f>IF(AND(ISNA(VLOOKUP(E335,DataType_Platform!A:A,1,FALSE())),ISNA(VLOOKUP(E335,BaseType!A:A,1,FALSE()))),"N","Y")</f>
        <v>Y</v>
      </c>
      <c r="G335" s="59"/>
      <c r="H335" s="57" t="s">
        <v>165</v>
      </c>
      <c r="I335" s="57" t="s">
        <v>166</v>
      </c>
      <c r="J335" s="56"/>
      <c r="K335" s="52">
        <v>0</v>
      </c>
      <c r="L335" s="52">
        <v>0</v>
      </c>
      <c r="M335" s="58" t="s">
        <v>166</v>
      </c>
      <c r="N335" s="52">
        <v>0</v>
      </c>
      <c r="O335" s="52">
        <v>0</v>
      </c>
      <c r="P335" s="54"/>
      <c r="Q335" s="54"/>
      <c r="R335" s="54"/>
      <c r="S335" s="54"/>
      <c r="T335" s="54"/>
      <c r="U335" s="54"/>
    </row>
    <row r="336" spans="1:21" ht="15" customHeight="1" x14ac:dyDescent="0.2">
      <c r="A336" s="61" t="s">
        <v>395</v>
      </c>
      <c r="B336" s="60" t="s">
        <v>161</v>
      </c>
      <c r="C336" s="49" t="s">
        <v>162</v>
      </c>
      <c r="D336" s="80" t="s">
        <v>346</v>
      </c>
      <c r="E336" s="63" t="s">
        <v>347</v>
      </c>
      <c r="F336" s="44" t="str">
        <f>IF(AND(ISNA(VLOOKUP(E336,DataType_Platform!A:A,1,FALSE())),ISNA(VLOOKUP(E336,BaseType!A:A,1,FALSE()))),"N","Y")</f>
        <v>Y</v>
      </c>
      <c r="G336" s="59"/>
      <c r="H336" s="57" t="s">
        <v>165</v>
      </c>
      <c r="I336" s="57" t="s">
        <v>166</v>
      </c>
      <c r="J336" s="56"/>
      <c r="K336" s="52"/>
      <c r="L336" s="52"/>
      <c r="M336" s="58" t="s">
        <v>166</v>
      </c>
      <c r="N336" s="52"/>
      <c r="O336" s="52"/>
      <c r="P336" s="54"/>
      <c r="Q336" s="54"/>
      <c r="R336" s="54"/>
      <c r="S336" s="54"/>
      <c r="T336" s="54"/>
      <c r="U336" s="54"/>
    </row>
    <row r="337" spans="1:21" ht="15" customHeight="1" x14ac:dyDescent="0.2">
      <c r="A337" s="61" t="s">
        <v>395</v>
      </c>
      <c r="B337" s="60" t="s">
        <v>161</v>
      </c>
      <c r="C337" s="49" t="s">
        <v>162</v>
      </c>
      <c r="D337" s="53" t="s">
        <v>359</v>
      </c>
      <c r="E337" s="36" t="s">
        <v>360</v>
      </c>
      <c r="F337" s="44" t="str">
        <f>IF(AND(ISNA(VLOOKUP(E337,DataType_Platform!A:A,1,FALSE())),ISNA(VLOOKUP(E337,BaseType!A:A,1,FALSE()))),"N","Y")</f>
        <v>Y</v>
      </c>
      <c r="G337" s="51"/>
      <c r="H337" s="57" t="s">
        <v>165</v>
      </c>
      <c r="I337" s="57" t="s">
        <v>166</v>
      </c>
      <c r="J337" s="56"/>
      <c r="K337" s="52"/>
      <c r="L337" s="52"/>
      <c r="M337" s="58"/>
      <c r="N337" s="52"/>
      <c r="O337" s="52"/>
      <c r="P337" s="54"/>
      <c r="Q337" s="54"/>
      <c r="R337" s="54"/>
      <c r="S337" s="54"/>
      <c r="T337" s="54"/>
      <c r="U337" s="54"/>
    </row>
    <row r="338" spans="1:21" ht="15" customHeight="1" x14ac:dyDescent="0.2">
      <c r="A338" s="61" t="s">
        <v>395</v>
      </c>
      <c r="B338" s="60" t="s">
        <v>161</v>
      </c>
      <c r="C338" s="49" t="s">
        <v>162</v>
      </c>
      <c r="D338" s="53" t="s">
        <v>321</v>
      </c>
      <c r="E338" s="36" t="s">
        <v>322</v>
      </c>
      <c r="F338" s="44" t="str">
        <f>IF(AND(ISNA(VLOOKUP(E338,DataType_Platform!A:A,1,FALSE())),ISNA(VLOOKUP(E338,BaseType!A:A,1,FALSE()))),"N","Y")</f>
        <v>Y</v>
      </c>
      <c r="G338" s="51"/>
      <c r="H338" s="57" t="s">
        <v>165</v>
      </c>
      <c r="I338" s="57" t="s">
        <v>166</v>
      </c>
      <c r="J338" s="56"/>
      <c r="K338" s="52"/>
      <c r="L338" s="52"/>
      <c r="M338" s="58"/>
      <c r="N338" s="52"/>
      <c r="O338" s="52"/>
      <c r="P338" s="54"/>
      <c r="Q338" s="54"/>
      <c r="R338" s="54"/>
      <c r="S338" s="54"/>
      <c r="T338" s="54"/>
      <c r="U338" s="54"/>
    </row>
    <row r="339" spans="1:21" ht="15" customHeight="1" x14ac:dyDescent="0.2">
      <c r="A339" s="61" t="s">
        <v>395</v>
      </c>
      <c r="B339" s="60" t="s">
        <v>161</v>
      </c>
      <c r="C339" s="49" t="s">
        <v>162</v>
      </c>
      <c r="D339" s="63" t="s">
        <v>399</v>
      </c>
      <c r="E339" s="36" t="s">
        <v>400</v>
      </c>
      <c r="F339" s="44" t="str">
        <f>IF(AND(ISNA(VLOOKUP(E339,DataType_Platform!A:A,1,FALSE())),ISNA(VLOOKUP(E339,BaseType!A:A,1,FALSE()))),"N","Y")</f>
        <v>Y</v>
      </c>
      <c r="G339" s="51"/>
      <c r="H339" s="57" t="s">
        <v>165</v>
      </c>
      <c r="I339" s="57" t="s">
        <v>166</v>
      </c>
      <c r="J339" s="56"/>
      <c r="K339" s="52"/>
      <c r="L339" s="52"/>
      <c r="M339" s="58"/>
      <c r="N339" s="52"/>
      <c r="O339" s="52"/>
      <c r="P339" s="54"/>
      <c r="Q339" s="54"/>
      <c r="R339" s="54"/>
      <c r="S339" s="54"/>
      <c r="T339" s="54"/>
      <c r="U339" s="54"/>
    </row>
    <row r="340" spans="1:21" ht="15" customHeight="1" x14ac:dyDescent="0.2">
      <c r="A340" s="61" t="s">
        <v>395</v>
      </c>
      <c r="B340" s="60" t="s">
        <v>161</v>
      </c>
      <c r="C340" s="49" t="s">
        <v>162</v>
      </c>
      <c r="D340" s="53" t="s">
        <v>348</v>
      </c>
      <c r="E340" s="50" t="s">
        <v>349</v>
      </c>
      <c r="F340" s="44" t="str">
        <f>IF(AND(ISNA(VLOOKUP(E340,DataType_Platform!A:A,1,FALSE())),ISNA(VLOOKUP(E340,BaseType!A:A,1,FALSE()))),"N","Y")</f>
        <v>Y</v>
      </c>
      <c r="G340" s="51"/>
      <c r="H340" s="57" t="s">
        <v>165</v>
      </c>
      <c r="I340" s="57" t="s">
        <v>166</v>
      </c>
      <c r="J340" s="56"/>
      <c r="K340" s="52"/>
      <c r="L340" s="52"/>
      <c r="M340" s="58"/>
      <c r="N340" s="52"/>
      <c r="O340" s="52"/>
      <c r="P340" s="54"/>
      <c r="Q340" s="54"/>
      <c r="R340" s="54"/>
      <c r="S340" s="54"/>
      <c r="T340" s="54"/>
      <c r="U340" s="54"/>
    </row>
    <row r="341" spans="1:21" ht="15" customHeight="1" x14ac:dyDescent="0.2">
      <c r="A341" s="74" t="s">
        <v>401</v>
      </c>
      <c r="B341" s="36" t="s">
        <v>189</v>
      </c>
      <c r="C341" s="49" t="s">
        <v>162</v>
      </c>
      <c r="D341" s="53" t="s">
        <v>183</v>
      </c>
      <c r="E341" s="50" t="s">
        <v>184</v>
      </c>
      <c r="F341" s="44" t="str">
        <f>IF(AND(ISNA(VLOOKUP(E341,DataType_Platform!A:A,1,FALSE())),ISNA(VLOOKUP(E341,BaseType!A:A,1,FALSE()))),"N","Y")</f>
        <v>Y</v>
      </c>
      <c r="G341" s="51"/>
      <c r="H341" s="57" t="s">
        <v>165</v>
      </c>
      <c r="I341" s="57" t="s">
        <v>166</v>
      </c>
      <c r="J341" s="56"/>
      <c r="K341" s="52"/>
      <c r="L341" s="52"/>
      <c r="M341" s="58"/>
      <c r="N341" s="52"/>
      <c r="O341" s="52"/>
      <c r="P341" s="54"/>
      <c r="Q341" s="54"/>
      <c r="R341" s="54"/>
      <c r="S341" s="54"/>
      <c r="T341" s="54"/>
      <c r="U341" s="54"/>
    </row>
    <row r="342" spans="1:21" ht="15" customHeight="1" x14ac:dyDescent="0.2">
      <c r="A342" s="74" t="s">
        <v>401</v>
      </c>
      <c r="B342" s="36" t="s">
        <v>189</v>
      </c>
      <c r="C342" s="49" t="s">
        <v>162</v>
      </c>
      <c r="D342" s="53" t="s">
        <v>179</v>
      </c>
      <c r="E342" s="36" t="s">
        <v>180</v>
      </c>
      <c r="F342" s="44" t="str">
        <f>IF(AND(ISNA(VLOOKUP(E342,DataType_Platform!A:A,1,FALSE())),ISNA(VLOOKUP(E342,BaseType!A:A,1,FALSE()))),"N","Y")</f>
        <v>Y</v>
      </c>
      <c r="G342" s="51"/>
      <c r="H342" s="57" t="s">
        <v>165</v>
      </c>
      <c r="I342" s="57" t="s">
        <v>166</v>
      </c>
      <c r="J342" s="56"/>
      <c r="K342" s="52">
        <v>0</v>
      </c>
      <c r="L342" s="52">
        <v>0</v>
      </c>
      <c r="M342" s="58" t="s">
        <v>166</v>
      </c>
      <c r="N342" s="52">
        <v>0</v>
      </c>
      <c r="O342" s="52">
        <v>0</v>
      </c>
      <c r="P342" s="54"/>
      <c r="Q342" s="54"/>
      <c r="R342" s="54"/>
      <c r="S342" s="54"/>
      <c r="T342" s="54"/>
      <c r="U342" s="54"/>
    </row>
    <row r="343" spans="1:21" ht="15" customHeight="1" x14ac:dyDescent="0.2">
      <c r="A343" s="74" t="s">
        <v>401</v>
      </c>
      <c r="B343" s="36" t="s">
        <v>189</v>
      </c>
      <c r="C343" s="49" t="s">
        <v>162</v>
      </c>
      <c r="D343" s="53" t="s">
        <v>247</v>
      </c>
      <c r="E343" s="36" t="s">
        <v>248</v>
      </c>
      <c r="F343" s="44" t="str">
        <f>IF(AND(ISNA(VLOOKUP(E343,DataType_Platform!A:A,1,FALSE())),ISNA(VLOOKUP(E343,BaseType!A:A,1,FALSE()))),"N","Y")</f>
        <v>Y</v>
      </c>
      <c r="G343" s="51"/>
      <c r="H343" s="57" t="s">
        <v>165</v>
      </c>
      <c r="I343" s="57" t="s">
        <v>166</v>
      </c>
      <c r="J343" s="56"/>
      <c r="K343" s="52">
        <v>0</v>
      </c>
      <c r="L343" s="52">
        <v>0</v>
      </c>
      <c r="M343" s="58" t="s">
        <v>166</v>
      </c>
      <c r="N343" s="52">
        <v>0</v>
      </c>
      <c r="O343" s="52">
        <v>0</v>
      </c>
      <c r="P343" s="54"/>
      <c r="Q343" s="54"/>
      <c r="R343" s="54"/>
      <c r="S343" s="54"/>
      <c r="T343" s="54"/>
      <c r="U343" s="54"/>
    </row>
    <row r="344" spans="1:21" ht="15" customHeight="1" x14ac:dyDescent="0.2">
      <c r="A344" s="74" t="s">
        <v>401</v>
      </c>
      <c r="B344" s="36" t="s">
        <v>189</v>
      </c>
      <c r="C344" s="49" t="s">
        <v>162</v>
      </c>
      <c r="D344" s="53" t="s">
        <v>249</v>
      </c>
      <c r="E344" s="36" t="s">
        <v>250</v>
      </c>
      <c r="F344" s="44" t="str">
        <f>IF(AND(ISNA(VLOOKUP(E344,DataType_Platform!A:A,1,FALSE())),ISNA(VLOOKUP(E344,BaseType!A:A,1,FALSE()))),"N","Y")</f>
        <v>Y</v>
      </c>
      <c r="G344" s="51"/>
      <c r="H344" s="57" t="s">
        <v>165</v>
      </c>
      <c r="I344" s="57" t="s">
        <v>166</v>
      </c>
      <c r="J344" s="56"/>
      <c r="K344" s="52">
        <v>0</v>
      </c>
      <c r="L344" s="52">
        <v>0</v>
      </c>
      <c r="M344" s="58" t="s">
        <v>166</v>
      </c>
      <c r="N344" s="52">
        <v>0</v>
      </c>
      <c r="O344" s="52">
        <v>0</v>
      </c>
      <c r="P344" s="54"/>
      <c r="Q344" s="54"/>
      <c r="R344" s="54"/>
      <c r="S344" s="54"/>
      <c r="T344" s="54"/>
      <c r="U344" s="54"/>
    </row>
    <row r="345" spans="1:21" ht="15" customHeight="1" x14ac:dyDescent="0.2">
      <c r="A345" s="74" t="s">
        <v>401</v>
      </c>
      <c r="B345" s="36" t="s">
        <v>189</v>
      </c>
      <c r="C345" s="49" t="s">
        <v>162</v>
      </c>
      <c r="D345" s="53" t="s">
        <v>257</v>
      </c>
      <c r="E345" s="36" t="s">
        <v>258</v>
      </c>
      <c r="F345" s="44" t="str">
        <f>IF(AND(ISNA(VLOOKUP(E345,DataType_Platform!A:A,1,FALSE())),ISNA(VLOOKUP(E345,BaseType!A:A,1,FALSE()))),"N","Y")</f>
        <v>Y</v>
      </c>
      <c r="G345" s="51"/>
      <c r="H345" s="57" t="s">
        <v>165</v>
      </c>
      <c r="I345" s="57" t="s">
        <v>166</v>
      </c>
      <c r="J345" s="56"/>
      <c r="K345" s="52">
        <v>0</v>
      </c>
      <c r="L345" s="52">
        <v>0</v>
      </c>
      <c r="M345" s="58" t="s">
        <v>166</v>
      </c>
      <c r="N345" s="52">
        <v>0</v>
      </c>
      <c r="O345" s="52">
        <v>0</v>
      </c>
      <c r="P345" s="54"/>
      <c r="Q345" s="54"/>
      <c r="R345" s="54"/>
      <c r="S345" s="54"/>
      <c r="T345" s="54"/>
      <c r="U345" s="54"/>
    </row>
    <row r="346" spans="1:21" ht="15" customHeight="1" x14ac:dyDescent="0.2">
      <c r="A346" s="74" t="s">
        <v>401</v>
      </c>
      <c r="B346" s="36" t="s">
        <v>189</v>
      </c>
      <c r="C346" s="49" t="s">
        <v>162</v>
      </c>
      <c r="D346" s="53" t="s">
        <v>253</v>
      </c>
      <c r="E346" s="36" t="s">
        <v>254</v>
      </c>
      <c r="F346" s="44" t="str">
        <f>IF(AND(ISNA(VLOOKUP(E346,DataType_Platform!A:A,1,FALSE())),ISNA(VLOOKUP(E346,BaseType!A:A,1,FALSE()))),"N","Y")</f>
        <v>Y</v>
      </c>
      <c r="G346" s="51"/>
      <c r="H346" s="57" t="s">
        <v>165</v>
      </c>
      <c r="I346" s="57" t="s">
        <v>166</v>
      </c>
      <c r="J346" s="56"/>
      <c r="K346" s="52">
        <v>0</v>
      </c>
      <c r="L346" s="52">
        <v>0</v>
      </c>
      <c r="M346" s="58" t="s">
        <v>166</v>
      </c>
      <c r="N346" s="52">
        <v>0</v>
      </c>
      <c r="O346" s="52">
        <v>0</v>
      </c>
      <c r="P346" s="54"/>
      <c r="Q346" s="54"/>
      <c r="R346" s="54"/>
      <c r="S346" s="54"/>
      <c r="T346" s="54"/>
      <c r="U346" s="54"/>
    </row>
    <row r="347" spans="1:21" ht="15" customHeight="1" x14ac:dyDescent="0.2">
      <c r="A347" s="74" t="s">
        <v>401</v>
      </c>
      <c r="B347" s="36" t="s">
        <v>189</v>
      </c>
      <c r="C347" s="49" t="s">
        <v>162</v>
      </c>
      <c r="D347" s="53" t="s">
        <v>255</v>
      </c>
      <c r="E347" s="36" t="s">
        <v>256</v>
      </c>
      <c r="F347" s="44" t="str">
        <f>IF(AND(ISNA(VLOOKUP(E347,DataType_Platform!A:A,1,FALSE())),ISNA(VLOOKUP(E347,BaseType!A:A,1,FALSE()))),"N","Y")</f>
        <v>Y</v>
      </c>
      <c r="G347" s="51"/>
      <c r="H347" s="57" t="s">
        <v>165</v>
      </c>
      <c r="I347" s="57" t="s">
        <v>166</v>
      </c>
      <c r="J347" s="56"/>
      <c r="K347" s="52">
        <v>0</v>
      </c>
      <c r="L347" s="52">
        <v>0</v>
      </c>
      <c r="M347" s="58" t="s">
        <v>166</v>
      </c>
      <c r="N347" s="52">
        <v>0</v>
      </c>
      <c r="O347" s="52">
        <v>0</v>
      </c>
      <c r="P347" s="54"/>
      <c r="Q347" s="54"/>
      <c r="R347" s="54"/>
      <c r="S347" s="54"/>
      <c r="T347" s="54"/>
      <c r="U347" s="54"/>
    </row>
    <row r="348" spans="1:21" ht="15" customHeight="1" x14ac:dyDescent="0.2">
      <c r="A348" s="74" t="s">
        <v>401</v>
      </c>
      <c r="B348" s="106" t="s">
        <v>189</v>
      </c>
      <c r="C348" s="101" t="s">
        <v>162</v>
      </c>
      <c r="D348" s="68" t="s">
        <v>273</v>
      </c>
      <c r="E348" s="102" t="s">
        <v>274</v>
      </c>
      <c r="F348" s="44" t="str">
        <f>IF(AND(ISNA(VLOOKUP(E348,DataType_Platform!A:A,1,FALSE())),ISNA(VLOOKUP(E348,BaseType!A:A,1,FALSE()))),"N","Y")</f>
        <v>Y</v>
      </c>
      <c r="G348" s="89" t="s">
        <v>275</v>
      </c>
      <c r="H348" s="46" t="s">
        <v>165</v>
      </c>
      <c r="I348" s="56" t="s">
        <v>166</v>
      </c>
      <c r="J348" s="56"/>
      <c r="K348" s="81"/>
      <c r="L348" s="81"/>
      <c r="M348" s="81"/>
      <c r="N348" s="81"/>
      <c r="O348" s="81"/>
      <c r="P348" s="98"/>
      <c r="Q348" s="98"/>
      <c r="R348" s="98"/>
      <c r="S348" s="98"/>
      <c r="T348" s="98"/>
      <c r="U348" s="98"/>
    </row>
    <row r="349" spans="1:21" ht="15" customHeight="1" x14ac:dyDescent="0.2">
      <c r="A349" s="62" t="s">
        <v>401</v>
      </c>
      <c r="B349" s="39" t="s">
        <v>189</v>
      </c>
      <c r="C349" s="49" t="s">
        <v>162</v>
      </c>
      <c r="D349" s="68" t="s">
        <v>177</v>
      </c>
      <c r="E349" s="50" t="s">
        <v>178</v>
      </c>
      <c r="F349" s="44" t="str">
        <f>IF(AND(ISNA(VLOOKUP(E349,DataType_Platform!A:A,1,FALSE())),ISNA(VLOOKUP(E349,BaseType!A:A,1,FALSE()))),"N","Y")</f>
        <v>Y</v>
      </c>
      <c r="G349" s="80"/>
      <c r="H349" s="57" t="s">
        <v>165</v>
      </c>
      <c r="I349" s="57" t="s">
        <v>166</v>
      </c>
      <c r="J349" s="56"/>
      <c r="K349" s="81">
        <v>0</v>
      </c>
      <c r="L349" s="81">
        <v>0</v>
      </c>
      <c r="M349" s="58" t="s">
        <v>166</v>
      </c>
      <c r="N349" s="81">
        <v>0</v>
      </c>
      <c r="O349" s="81">
        <v>0</v>
      </c>
      <c r="P349" s="54"/>
      <c r="Q349" s="54"/>
      <c r="R349" s="54"/>
      <c r="S349" s="54"/>
      <c r="T349" s="54"/>
      <c r="U349" s="54"/>
    </row>
    <row r="350" spans="1:21" ht="15" customHeight="1" x14ac:dyDescent="0.2">
      <c r="A350" s="62" t="s">
        <v>401</v>
      </c>
      <c r="B350" s="36" t="s">
        <v>189</v>
      </c>
      <c r="C350" s="49" t="s">
        <v>162</v>
      </c>
      <c r="D350" s="63" t="s">
        <v>397</v>
      </c>
      <c r="E350" s="36" t="s">
        <v>398</v>
      </c>
      <c r="F350" s="44" t="str">
        <f>IF(AND(ISNA(VLOOKUP(E350,DataType_Platform!A:A,1,FALSE())),ISNA(VLOOKUP(E350,BaseType!A:A,1,FALSE()))),"N","Y")</f>
        <v>Y</v>
      </c>
      <c r="G350" s="51"/>
      <c r="H350" s="57" t="s">
        <v>165</v>
      </c>
      <c r="I350" s="57" t="s">
        <v>166</v>
      </c>
      <c r="J350" s="56"/>
      <c r="K350" s="52"/>
      <c r="L350" s="52"/>
      <c r="M350" s="58" t="s">
        <v>166</v>
      </c>
      <c r="N350" s="52"/>
      <c r="O350" s="52"/>
      <c r="P350" s="54"/>
      <c r="Q350" s="54"/>
      <c r="R350" s="54"/>
      <c r="S350" s="54"/>
      <c r="T350" s="54"/>
      <c r="U350" s="54"/>
    </row>
    <row r="351" spans="1:21" ht="15" customHeight="1" x14ac:dyDescent="0.2">
      <c r="A351" s="62" t="s">
        <v>401</v>
      </c>
      <c r="B351" s="36" t="s">
        <v>189</v>
      </c>
      <c r="C351" s="49" t="s">
        <v>162</v>
      </c>
      <c r="D351" s="53" t="s">
        <v>342</v>
      </c>
      <c r="E351" s="36" t="s">
        <v>343</v>
      </c>
      <c r="F351" s="44" t="str">
        <f>IF(AND(ISNA(VLOOKUP(E351,DataType_Platform!A:A,1,FALSE())),ISNA(VLOOKUP(E351,BaseType!A:A,1,FALSE()))),"N","Y")</f>
        <v>Y</v>
      </c>
      <c r="G351" s="51"/>
      <c r="H351" s="57" t="s">
        <v>165</v>
      </c>
      <c r="I351" s="57" t="s">
        <v>166</v>
      </c>
      <c r="J351" s="56"/>
      <c r="K351" s="52"/>
      <c r="L351" s="52"/>
      <c r="M351" s="58" t="s">
        <v>166</v>
      </c>
      <c r="N351" s="52"/>
      <c r="O351" s="52"/>
      <c r="P351" s="54"/>
      <c r="Q351" s="54"/>
      <c r="R351" s="54"/>
      <c r="S351" s="54"/>
      <c r="T351" s="54"/>
      <c r="U351" s="54"/>
    </row>
    <row r="352" spans="1:21" ht="15" customHeight="1" x14ac:dyDescent="0.2">
      <c r="A352" s="74" t="s">
        <v>401</v>
      </c>
      <c r="B352" s="36" t="s">
        <v>189</v>
      </c>
      <c r="C352" s="49" t="s">
        <v>162</v>
      </c>
      <c r="D352" s="53" t="s">
        <v>289</v>
      </c>
      <c r="E352" s="36" t="s">
        <v>225</v>
      </c>
      <c r="F352" s="44" t="str">
        <f>IF(AND(ISNA(VLOOKUP(E352,DataType_Platform!A:A,1,FALSE())),ISNA(VLOOKUP(E352,BaseType!A:A,1,FALSE()))),"N","Y")</f>
        <v>Y</v>
      </c>
      <c r="G352" s="51"/>
      <c r="H352" s="57" t="s">
        <v>165</v>
      </c>
      <c r="I352" s="57" t="s">
        <v>166</v>
      </c>
      <c r="J352" s="56"/>
      <c r="K352" s="52">
        <v>0</v>
      </c>
      <c r="L352" s="52">
        <v>0</v>
      </c>
      <c r="M352" s="58" t="s">
        <v>166</v>
      </c>
      <c r="N352" s="52">
        <v>0</v>
      </c>
      <c r="O352" s="52">
        <v>0</v>
      </c>
      <c r="P352" s="54"/>
      <c r="Q352" s="54"/>
      <c r="R352" s="54"/>
      <c r="S352" s="54"/>
      <c r="T352" s="54"/>
      <c r="U352" s="54"/>
    </row>
    <row r="353" spans="1:21" ht="15" customHeight="1" x14ac:dyDescent="0.2">
      <c r="A353" s="74" t="s">
        <v>401</v>
      </c>
      <c r="B353" s="36" t="s">
        <v>189</v>
      </c>
      <c r="C353" s="49" t="s">
        <v>162</v>
      </c>
      <c r="D353" s="53" t="s">
        <v>282</v>
      </c>
      <c r="E353" s="36" t="s">
        <v>225</v>
      </c>
      <c r="F353" s="44" t="str">
        <f>IF(AND(ISNA(VLOOKUP(E353,DataType_Platform!A:A,1,FALSE())),ISNA(VLOOKUP(E353,BaseType!A:A,1,FALSE()))),"N","Y")</f>
        <v>Y</v>
      </c>
      <c r="G353" s="51"/>
      <c r="H353" s="57" t="s">
        <v>165</v>
      </c>
      <c r="I353" s="57" t="s">
        <v>166</v>
      </c>
      <c r="J353" s="56"/>
      <c r="K353" s="52">
        <v>0</v>
      </c>
      <c r="L353" s="52">
        <v>0</v>
      </c>
      <c r="M353" s="58" t="s">
        <v>166</v>
      </c>
      <c r="N353" s="52">
        <v>0</v>
      </c>
      <c r="O353" s="52">
        <v>0</v>
      </c>
      <c r="P353" s="54"/>
      <c r="Q353" s="54"/>
      <c r="R353" s="54"/>
      <c r="S353" s="54"/>
      <c r="T353" s="54"/>
      <c r="U353" s="54"/>
    </row>
    <row r="354" spans="1:21" ht="15" customHeight="1" x14ac:dyDescent="0.2">
      <c r="A354" s="74" t="s">
        <v>401</v>
      </c>
      <c r="B354" s="36" t="s">
        <v>189</v>
      </c>
      <c r="C354" s="49" t="s">
        <v>162</v>
      </c>
      <c r="D354" s="53" t="s">
        <v>286</v>
      </c>
      <c r="E354" s="36" t="s">
        <v>225</v>
      </c>
      <c r="F354" s="44" t="str">
        <f>IF(AND(ISNA(VLOOKUP(E354,DataType_Platform!A:A,1,FALSE())),ISNA(VLOOKUP(E354,BaseType!A:A,1,FALSE()))),"N","Y")</f>
        <v>Y</v>
      </c>
      <c r="G354" s="51"/>
      <c r="H354" s="57" t="s">
        <v>165</v>
      </c>
      <c r="I354" s="57" t="s">
        <v>166</v>
      </c>
      <c r="J354" s="56"/>
      <c r="K354" s="52">
        <v>0</v>
      </c>
      <c r="L354" s="52">
        <v>0</v>
      </c>
      <c r="M354" s="58" t="s">
        <v>166</v>
      </c>
      <c r="N354" s="52">
        <v>0</v>
      </c>
      <c r="O354" s="52">
        <v>0</v>
      </c>
      <c r="P354" s="54"/>
      <c r="Q354" s="54"/>
      <c r="R354" s="54"/>
      <c r="S354" s="54"/>
      <c r="T354" s="54"/>
      <c r="U354" s="54"/>
    </row>
    <row r="355" spans="1:21" ht="15" customHeight="1" x14ac:dyDescent="0.2">
      <c r="A355" s="74" t="s">
        <v>401</v>
      </c>
      <c r="B355" s="36" t="s">
        <v>189</v>
      </c>
      <c r="C355" s="49" t="s">
        <v>162</v>
      </c>
      <c r="D355" s="53" t="s">
        <v>281</v>
      </c>
      <c r="E355" s="36" t="s">
        <v>225</v>
      </c>
      <c r="F355" s="44" t="str">
        <f>IF(AND(ISNA(VLOOKUP(E355,DataType_Platform!A:A,1,FALSE())),ISNA(VLOOKUP(E355,BaseType!A:A,1,FALSE()))),"N","Y")</f>
        <v>Y</v>
      </c>
      <c r="G355" s="51"/>
      <c r="H355" s="57" t="s">
        <v>165</v>
      </c>
      <c r="I355" s="57" t="s">
        <v>166</v>
      </c>
      <c r="J355" s="56"/>
      <c r="K355" s="52">
        <v>0</v>
      </c>
      <c r="L355" s="52">
        <v>0</v>
      </c>
      <c r="M355" s="58" t="s">
        <v>166</v>
      </c>
      <c r="N355" s="52">
        <v>0</v>
      </c>
      <c r="O355" s="52">
        <v>0</v>
      </c>
      <c r="P355" s="54"/>
      <c r="Q355" s="54"/>
      <c r="R355" s="54"/>
      <c r="S355" s="54"/>
      <c r="T355" s="54"/>
      <c r="U355" s="54"/>
    </row>
    <row r="356" spans="1:21" ht="15" customHeight="1" x14ac:dyDescent="0.2">
      <c r="A356" s="74" t="s">
        <v>401</v>
      </c>
      <c r="B356" s="36" t="s">
        <v>189</v>
      </c>
      <c r="C356" s="49" t="s">
        <v>162</v>
      </c>
      <c r="D356" s="53" t="s">
        <v>287</v>
      </c>
      <c r="E356" s="36" t="s">
        <v>225</v>
      </c>
      <c r="F356" s="44" t="str">
        <f>IF(AND(ISNA(VLOOKUP(E356,DataType_Platform!A:A,1,FALSE())),ISNA(VLOOKUP(E356,BaseType!A:A,1,FALSE()))),"N","Y")</f>
        <v>Y</v>
      </c>
      <c r="G356" s="51"/>
      <c r="H356" s="57" t="s">
        <v>165</v>
      </c>
      <c r="I356" s="57" t="s">
        <v>166</v>
      </c>
      <c r="J356" s="56"/>
      <c r="K356" s="52">
        <v>0</v>
      </c>
      <c r="L356" s="52">
        <v>0</v>
      </c>
      <c r="M356" s="58" t="s">
        <v>166</v>
      </c>
      <c r="N356" s="52">
        <v>0</v>
      </c>
      <c r="O356" s="52">
        <v>0</v>
      </c>
      <c r="P356" s="54"/>
      <c r="Q356" s="54"/>
      <c r="R356" s="54"/>
      <c r="S356" s="54"/>
      <c r="T356" s="54"/>
      <c r="U356" s="54"/>
    </row>
    <row r="357" spans="1:21" ht="15" customHeight="1" x14ac:dyDescent="0.2">
      <c r="A357" s="74" t="s">
        <v>401</v>
      </c>
      <c r="B357" s="36" t="s">
        <v>189</v>
      </c>
      <c r="C357" s="49" t="s">
        <v>162</v>
      </c>
      <c r="D357" s="53" t="s">
        <v>283</v>
      </c>
      <c r="E357" s="36" t="s">
        <v>225</v>
      </c>
      <c r="F357" s="44" t="str">
        <f>IF(AND(ISNA(VLOOKUP(E357,DataType_Platform!A:A,1,FALSE())),ISNA(VLOOKUP(E357,BaseType!A:A,1,FALSE()))),"N","Y")</f>
        <v>Y</v>
      </c>
      <c r="G357" s="51"/>
      <c r="H357" s="57" t="s">
        <v>165</v>
      </c>
      <c r="I357" s="57" t="s">
        <v>166</v>
      </c>
      <c r="J357" s="56"/>
      <c r="K357" s="52">
        <v>0</v>
      </c>
      <c r="L357" s="52">
        <v>0</v>
      </c>
      <c r="M357" s="58" t="s">
        <v>166</v>
      </c>
      <c r="N357" s="52">
        <v>0</v>
      </c>
      <c r="O357" s="52">
        <v>0</v>
      </c>
      <c r="P357" s="54"/>
      <c r="Q357" s="54"/>
      <c r="R357" s="54"/>
      <c r="S357" s="54"/>
      <c r="T357" s="54"/>
      <c r="U357" s="54"/>
    </row>
    <row r="358" spans="1:21" ht="15" customHeight="1" x14ac:dyDescent="0.2">
      <c r="A358" s="74" t="s">
        <v>401</v>
      </c>
      <c r="B358" s="36" t="s">
        <v>189</v>
      </c>
      <c r="C358" s="49" t="s">
        <v>162</v>
      </c>
      <c r="D358" s="53" t="s">
        <v>202</v>
      </c>
      <c r="E358" s="36" t="s">
        <v>203</v>
      </c>
      <c r="F358" s="44" t="str">
        <f>IF(AND(ISNA(VLOOKUP(E358,DataType_Platform!A:A,1,FALSE())),ISNA(VLOOKUP(E358,BaseType!A:A,1,FALSE()))),"N","Y")</f>
        <v>Y</v>
      </c>
      <c r="G358" s="51"/>
      <c r="H358" s="57" t="s">
        <v>165</v>
      </c>
      <c r="I358" s="57" t="s">
        <v>166</v>
      </c>
      <c r="J358" s="56"/>
      <c r="K358" s="52"/>
      <c r="L358" s="52"/>
      <c r="M358" s="58" t="s">
        <v>166</v>
      </c>
      <c r="N358" s="52"/>
      <c r="O358" s="52"/>
      <c r="P358" s="54"/>
      <c r="Q358" s="54"/>
      <c r="R358" s="54"/>
      <c r="S358" s="54"/>
      <c r="T358" s="54"/>
      <c r="U358" s="54"/>
    </row>
    <row r="359" spans="1:21" ht="15" customHeight="1" x14ac:dyDescent="0.2">
      <c r="A359" s="74" t="s">
        <v>401</v>
      </c>
      <c r="B359" s="36" t="s">
        <v>189</v>
      </c>
      <c r="C359" s="49" t="s">
        <v>162</v>
      </c>
      <c r="D359" s="53" t="s">
        <v>299</v>
      </c>
      <c r="E359" s="98" t="s">
        <v>300</v>
      </c>
      <c r="F359" s="44" t="str">
        <f>IF(AND(ISNA(VLOOKUP(E359,DataType_Platform!A:A,1,FALSE())),ISNA(VLOOKUP(E359,BaseType!A:A,1,FALSE()))),"N","Y")</f>
        <v>Y</v>
      </c>
      <c r="G359" s="51"/>
      <c r="H359" s="57" t="s">
        <v>165</v>
      </c>
      <c r="I359" s="57" t="s">
        <v>166</v>
      </c>
      <c r="J359" s="56"/>
      <c r="K359" s="52">
        <v>0</v>
      </c>
      <c r="L359" s="52">
        <v>0</v>
      </c>
      <c r="M359" s="58" t="s">
        <v>166</v>
      </c>
      <c r="N359" s="52">
        <v>0</v>
      </c>
      <c r="O359" s="52">
        <v>0</v>
      </c>
      <c r="P359" s="54"/>
      <c r="Q359" s="54"/>
      <c r="R359" s="54"/>
      <c r="S359" s="54"/>
      <c r="T359" s="54"/>
      <c r="U359" s="54"/>
    </row>
    <row r="360" spans="1:21" ht="15" customHeight="1" x14ac:dyDescent="0.2">
      <c r="A360" s="74" t="s">
        <v>401</v>
      </c>
      <c r="B360" s="36" t="s">
        <v>189</v>
      </c>
      <c r="C360" s="49" t="s">
        <v>162</v>
      </c>
      <c r="D360" s="68" t="s">
        <v>271</v>
      </c>
      <c r="E360" s="86" t="s">
        <v>272</v>
      </c>
      <c r="F360" s="44" t="str">
        <f>IF(AND(ISNA(VLOOKUP(E360,DataType_Platform!A:A,1,FALSE())),ISNA(VLOOKUP(E360,BaseType!A:A,1,FALSE()))),"N","Y")</f>
        <v>Y</v>
      </c>
      <c r="G360" s="51"/>
      <c r="H360" s="57" t="s">
        <v>165</v>
      </c>
      <c r="I360" s="57" t="s">
        <v>166</v>
      </c>
      <c r="J360" s="56"/>
      <c r="K360" s="52"/>
      <c r="L360" s="52"/>
      <c r="M360" s="58" t="s">
        <v>166</v>
      </c>
      <c r="N360" s="52"/>
      <c r="O360" s="52"/>
      <c r="P360" s="54"/>
      <c r="Q360" s="54"/>
      <c r="R360" s="54"/>
      <c r="S360" s="54"/>
      <c r="T360" s="54"/>
      <c r="U360" s="54"/>
    </row>
    <row r="361" spans="1:21" ht="15" customHeight="1" x14ac:dyDescent="0.2">
      <c r="A361" s="74" t="s">
        <v>401</v>
      </c>
      <c r="B361" s="36" t="s">
        <v>161</v>
      </c>
      <c r="C361" s="49" t="s">
        <v>162</v>
      </c>
      <c r="D361" s="53" t="s">
        <v>402</v>
      </c>
      <c r="E361" s="36" t="s">
        <v>246</v>
      </c>
      <c r="F361" s="44" t="str">
        <f>IF(AND(ISNA(VLOOKUP(E361,DataType_Platform!A:A,1,FALSE())),ISNA(VLOOKUP(E361,BaseType!A:A,1,FALSE()))),"N","Y")</f>
        <v>Y</v>
      </c>
      <c r="G361" s="51"/>
      <c r="H361" s="57" t="s">
        <v>165</v>
      </c>
      <c r="I361" s="57" t="s">
        <v>166</v>
      </c>
      <c r="J361" s="56"/>
      <c r="K361" s="52">
        <v>0</v>
      </c>
      <c r="L361" s="52">
        <v>0</v>
      </c>
      <c r="M361" s="58" t="s">
        <v>166</v>
      </c>
      <c r="N361" s="52">
        <v>0</v>
      </c>
      <c r="O361" s="52">
        <v>0</v>
      </c>
      <c r="P361" s="54"/>
      <c r="Q361" s="54"/>
      <c r="R361" s="54"/>
      <c r="S361" s="54"/>
      <c r="T361" s="54"/>
      <c r="U361" s="54"/>
    </row>
    <row r="362" spans="1:21" ht="15" customHeight="1" x14ac:dyDescent="0.2">
      <c r="A362" s="74" t="s">
        <v>401</v>
      </c>
      <c r="B362" s="36" t="s">
        <v>161</v>
      </c>
      <c r="C362" s="49" t="s">
        <v>162</v>
      </c>
      <c r="D362" s="53" t="s">
        <v>210</v>
      </c>
      <c r="E362" s="36" t="s">
        <v>211</v>
      </c>
      <c r="F362" s="44" t="str">
        <f>IF(AND(ISNA(VLOOKUP(E362,DataType_Platform!A:A,1,FALSE())),ISNA(VLOOKUP(E362,BaseType!A:A,1,FALSE()))),"N","Y")</f>
        <v>Y</v>
      </c>
      <c r="G362" s="51"/>
      <c r="H362" s="57" t="s">
        <v>165</v>
      </c>
      <c r="I362" s="57" t="s">
        <v>166</v>
      </c>
      <c r="J362" s="56"/>
      <c r="K362" s="52">
        <v>0</v>
      </c>
      <c r="L362" s="52">
        <v>0</v>
      </c>
      <c r="M362" s="58" t="s">
        <v>166</v>
      </c>
      <c r="N362" s="52">
        <v>0</v>
      </c>
      <c r="O362" s="52">
        <v>0</v>
      </c>
      <c r="P362" s="54"/>
      <c r="Q362" s="54"/>
      <c r="R362" s="54"/>
      <c r="S362" s="54"/>
      <c r="T362" s="54"/>
      <c r="U362" s="54"/>
    </row>
    <row r="363" spans="1:21" ht="15" customHeight="1" x14ac:dyDescent="0.2">
      <c r="A363" s="74" t="s">
        <v>401</v>
      </c>
      <c r="B363" s="36" t="s">
        <v>161</v>
      </c>
      <c r="C363" s="49" t="s">
        <v>162</v>
      </c>
      <c r="D363" s="76" t="s">
        <v>212</v>
      </c>
      <c r="E363" s="77" t="s">
        <v>213</v>
      </c>
      <c r="F363" s="44" t="str">
        <f>IF(AND(ISNA(VLOOKUP(E363,DataType_Platform!A:A,1,FALSE())),ISNA(VLOOKUP(E363,BaseType!A:A,1,FALSE()))),"N","Y")</f>
        <v>Y</v>
      </c>
      <c r="G363" s="51"/>
      <c r="H363" s="57" t="s">
        <v>165</v>
      </c>
      <c r="I363" s="57" t="s">
        <v>166</v>
      </c>
      <c r="J363" s="56"/>
      <c r="K363" s="52">
        <v>0</v>
      </c>
      <c r="L363" s="52">
        <v>0</v>
      </c>
      <c r="M363" s="58" t="s">
        <v>166</v>
      </c>
      <c r="N363" s="52">
        <v>0</v>
      </c>
      <c r="O363" s="52">
        <v>0</v>
      </c>
      <c r="P363" s="54"/>
      <c r="Q363" s="54"/>
      <c r="R363" s="54"/>
      <c r="S363" s="54"/>
      <c r="T363" s="54"/>
      <c r="U363" s="54"/>
    </row>
    <row r="364" spans="1:21" ht="15" customHeight="1" x14ac:dyDescent="0.2">
      <c r="A364" s="74" t="s">
        <v>401</v>
      </c>
      <c r="B364" s="36" t="s">
        <v>161</v>
      </c>
      <c r="C364" s="49" t="s">
        <v>162</v>
      </c>
      <c r="D364" s="76" t="s">
        <v>403</v>
      </c>
      <c r="E364" s="77" t="s">
        <v>403</v>
      </c>
      <c r="F364" s="44" t="str">
        <f>IF(AND(ISNA(VLOOKUP(E364,DataType_Platform!A:A,1,FALSE())),ISNA(VLOOKUP(E364,BaseType!A:A,1,FALSE()))),"N","Y")</f>
        <v>Y</v>
      </c>
      <c r="G364" s="51"/>
      <c r="H364" s="57" t="s">
        <v>165</v>
      </c>
      <c r="I364" s="57" t="s">
        <v>166</v>
      </c>
      <c r="J364" s="56"/>
      <c r="K364" s="52"/>
      <c r="L364" s="52"/>
      <c r="M364" s="58"/>
      <c r="N364" s="52"/>
      <c r="O364" s="52"/>
      <c r="P364" s="54"/>
      <c r="Q364" s="54"/>
      <c r="R364" s="54"/>
      <c r="S364" s="54"/>
      <c r="T364" s="54"/>
      <c r="U364" s="54"/>
    </row>
    <row r="365" spans="1:21" ht="15" customHeight="1" x14ac:dyDescent="0.2">
      <c r="A365" s="74" t="s">
        <v>401</v>
      </c>
      <c r="B365" s="36" t="s">
        <v>161</v>
      </c>
      <c r="C365" s="49" t="s">
        <v>162</v>
      </c>
      <c r="D365" s="76" t="s">
        <v>404</v>
      </c>
      <c r="E365" s="77" t="s">
        <v>193</v>
      </c>
      <c r="F365" s="44" t="str">
        <f>IF(AND(ISNA(VLOOKUP(E365,DataType_Platform!A:A,1,FALSE())),ISNA(VLOOKUP(E365,BaseType!A:A,1,FALSE()))),"N","Y")</f>
        <v>Y</v>
      </c>
      <c r="G365" s="51"/>
      <c r="H365" s="57" t="s">
        <v>165</v>
      </c>
      <c r="I365" s="57" t="s">
        <v>166</v>
      </c>
      <c r="J365" s="56"/>
      <c r="K365" s="52"/>
      <c r="L365" s="52"/>
      <c r="M365" s="58"/>
      <c r="N365" s="52"/>
      <c r="O365" s="52"/>
      <c r="P365" s="54"/>
      <c r="Q365" s="54"/>
      <c r="R365" s="54"/>
      <c r="S365" s="54"/>
      <c r="T365" s="54"/>
      <c r="U365" s="54"/>
    </row>
    <row r="366" spans="1:21" ht="15" customHeight="1" x14ac:dyDescent="0.2">
      <c r="A366" s="109" t="s">
        <v>401</v>
      </c>
      <c r="B366" s="89" t="s">
        <v>161</v>
      </c>
      <c r="C366" s="101" t="s">
        <v>162</v>
      </c>
      <c r="D366" s="108" t="s">
        <v>405</v>
      </c>
      <c r="E366" s="102" t="s">
        <v>406</v>
      </c>
      <c r="F366" s="44" t="str">
        <f>IF(AND(ISNA(VLOOKUP(E366,DataType_Platform!A:A,1,FALSE())),ISNA(VLOOKUP(E366,BaseType!A:A,1,FALSE()))),"N","Y")</f>
        <v>Y</v>
      </c>
      <c r="G366" s="89" t="s">
        <v>407</v>
      </c>
      <c r="H366" s="46" t="s">
        <v>165</v>
      </c>
      <c r="I366" s="57" t="s">
        <v>166</v>
      </c>
      <c r="J366" s="56"/>
      <c r="K366" s="52"/>
      <c r="L366" s="52"/>
      <c r="M366" s="52"/>
      <c r="N366" s="52"/>
      <c r="O366" s="52"/>
    </row>
    <row r="367" spans="1:21" ht="15" customHeight="1" x14ac:dyDescent="0.2">
      <c r="A367" s="90" t="s">
        <v>408</v>
      </c>
      <c r="B367" s="39" t="s">
        <v>189</v>
      </c>
      <c r="C367" s="49" t="s">
        <v>162</v>
      </c>
      <c r="D367" s="53" t="s">
        <v>245</v>
      </c>
      <c r="E367" s="36" t="s">
        <v>246</v>
      </c>
      <c r="F367" s="44" t="str">
        <f>IF(AND(ISNA(VLOOKUP(E367,DataType_Platform!A:A,1,FALSE())),ISNA(VLOOKUP(E367,BaseType!A:A,1,FALSE()))),"N","Y")</f>
        <v>Y</v>
      </c>
      <c r="G367" s="51"/>
      <c r="H367" s="57" t="s">
        <v>165</v>
      </c>
      <c r="I367" s="57" t="s">
        <v>166</v>
      </c>
      <c r="J367" s="56"/>
      <c r="K367" s="52"/>
      <c r="L367" s="52"/>
      <c r="M367" s="58" t="s">
        <v>388</v>
      </c>
      <c r="N367" s="52"/>
      <c r="O367" s="52"/>
      <c r="P367" s="54"/>
      <c r="Q367" s="54"/>
      <c r="R367" s="54"/>
      <c r="S367" s="54"/>
      <c r="T367" s="54"/>
      <c r="U367" s="54"/>
    </row>
    <row r="368" spans="1:21" ht="15" customHeight="1" x14ac:dyDescent="0.2">
      <c r="A368" s="90" t="s">
        <v>408</v>
      </c>
      <c r="B368" s="39" t="s">
        <v>189</v>
      </c>
      <c r="C368" s="49" t="s">
        <v>162</v>
      </c>
      <c r="D368" s="53" t="s">
        <v>386</v>
      </c>
      <c r="E368" s="36" t="s">
        <v>246</v>
      </c>
      <c r="F368" s="44" t="str">
        <f>IF(AND(ISNA(VLOOKUP(E368,DataType_Platform!A:A,1,FALSE())),ISNA(VLOOKUP(E368,BaseType!A:A,1,FALSE()))),"N","Y")</f>
        <v>Y</v>
      </c>
      <c r="G368" s="51"/>
      <c r="H368" s="57" t="s">
        <v>165</v>
      </c>
      <c r="I368" s="57" t="s">
        <v>166</v>
      </c>
      <c r="J368" s="56"/>
      <c r="K368" s="52"/>
      <c r="L368" s="52"/>
      <c r="M368" s="58" t="s">
        <v>388</v>
      </c>
      <c r="N368" s="52"/>
      <c r="O368" s="52"/>
      <c r="P368" s="54"/>
      <c r="Q368" s="54"/>
      <c r="R368" s="54"/>
      <c r="S368" s="54"/>
      <c r="T368" s="54"/>
      <c r="U368" s="54"/>
    </row>
    <row r="369" spans="1:21" ht="15" customHeight="1" x14ac:dyDescent="0.2">
      <c r="A369" s="90" t="s">
        <v>408</v>
      </c>
      <c r="B369" s="39" t="s">
        <v>189</v>
      </c>
      <c r="C369" s="49" t="s">
        <v>162</v>
      </c>
      <c r="D369" s="53" t="s">
        <v>384</v>
      </c>
      <c r="E369" s="36" t="s">
        <v>246</v>
      </c>
      <c r="F369" s="44" t="str">
        <f>IF(AND(ISNA(VLOOKUP(E369,DataType_Platform!A:A,1,FALSE())),ISNA(VLOOKUP(E369,BaseType!A:A,1,FALSE()))),"N","Y")</f>
        <v>Y</v>
      </c>
      <c r="G369" s="51"/>
      <c r="H369" s="57" t="s">
        <v>165</v>
      </c>
      <c r="I369" s="57" t="s">
        <v>166</v>
      </c>
      <c r="J369" s="56"/>
      <c r="K369" s="52"/>
      <c r="L369" s="52"/>
      <c r="M369" s="58" t="s">
        <v>388</v>
      </c>
      <c r="N369" s="52"/>
      <c r="O369" s="52"/>
      <c r="P369" s="54"/>
      <c r="Q369" s="54"/>
      <c r="R369" s="54"/>
      <c r="S369" s="54"/>
      <c r="T369" s="54"/>
      <c r="U369" s="54"/>
    </row>
    <row r="370" spans="1:21" ht="15" customHeight="1" x14ac:dyDescent="0.2">
      <c r="A370" s="90" t="s">
        <v>408</v>
      </c>
      <c r="B370" s="39" t="s">
        <v>189</v>
      </c>
      <c r="C370" s="49" t="s">
        <v>162</v>
      </c>
      <c r="D370" s="53" t="s">
        <v>389</v>
      </c>
      <c r="E370" s="36" t="s">
        <v>246</v>
      </c>
      <c r="F370" s="44" t="str">
        <f>IF(AND(ISNA(VLOOKUP(E370,DataType_Platform!A:A,1,FALSE())),ISNA(VLOOKUP(E370,BaseType!A:A,1,FALSE()))),"N","Y")</f>
        <v>Y</v>
      </c>
      <c r="G370" s="51"/>
      <c r="H370" s="57" t="s">
        <v>165</v>
      </c>
      <c r="I370" s="57" t="s">
        <v>166</v>
      </c>
      <c r="J370" s="56"/>
      <c r="K370" s="52"/>
      <c r="L370" s="52"/>
      <c r="M370" s="58" t="s">
        <v>388</v>
      </c>
      <c r="N370" s="52"/>
      <c r="O370" s="52"/>
      <c r="P370" s="54"/>
      <c r="Q370" s="54"/>
      <c r="R370" s="54"/>
      <c r="S370" s="54"/>
      <c r="T370" s="54"/>
      <c r="U370" s="54"/>
    </row>
    <row r="371" spans="1:21" ht="15" customHeight="1" x14ac:dyDescent="0.2">
      <c r="A371" s="90" t="s">
        <v>408</v>
      </c>
      <c r="B371" s="39" t="s">
        <v>189</v>
      </c>
      <c r="C371" s="49" t="s">
        <v>162</v>
      </c>
      <c r="D371" s="53" t="s">
        <v>409</v>
      </c>
      <c r="E371" s="36" t="s">
        <v>246</v>
      </c>
      <c r="F371" s="44" t="str">
        <f>IF(AND(ISNA(VLOOKUP(E371,DataType_Platform!A:A,1,FALSE())),ISNA(VLOOKUP(E371,BaseType!A:A,1,FALSE()))),"N","Y")</f>
        <v>Y</v>
      </c>
      <c r="G371" s="51"/>
      <c r="H371" s="57" t="s">
        <v>165</v>
      </c>
      <c r="I371" s="57" t="s">
        <v>166</v>
      </c>
      <c r="J371" s="56"/>
      <c r="K371" s="52"/>
      <c r="L371" s="52"/>
      <c r="M371" s="58" t="s">
        <v>388</v>
      </c>
      <c r="N371" s="52"/>
      <c r="O371" s="52"/>
      <c r="P371" s="54"/>
      <c r="Q371" s="54"/>
      <c r="R371" s="54"/>
      <c r="S371" s="54"/>
      <c r="T371" s="54"/>
      <c r="U371" s="54"/>
    </row>
    <row r="372" spans="1:21" ht="15" customHeight="1" x14ac:dyDescent="0.2">
      <c r="A372" s="90" t="s">
        <v>408</v>
      </c>
      <c r="B372" s="39" t="s">
        <v>189</v>
      </c>
      <c r="C372" s="49" t="s">
        <v>162</v>
      </c>
      <c r="D372" s="53" t="s">
        <v>280</v>
      </c>
      <c r="E372" s="36" t="s">
        <v>246</v>
      </c>
      <c r="F372" s="44" t="str">
        <f>IF(AND(ISNA(VLOOKUP(E372,DataType_Platform!A:A,1,FALSE())),ISNA(VLOOKUP(E372,BaseType!A:A,1,FALSE()))),"N","Y")</f>
        <v>Y</v>
      </c>
      <c r="G372" s="51"/>
      <c r="H372" s="57" t="s">
        <v>165</v>
      </c>
      <c r="I372" s="57" t="s">
        <v>166</v>
      </c>
      <c r="J372" s="56"/>
      <c r="K372" s="52"/>
      <c r="L372" s="52"/>
      <c r="M372" s="58" t="s">
        <v>388</v>
      </c>
      <c r="N372" s="52"/>
      <c r="O372" s="52"/>
      <c r="P372" s="54"/>
      <c r="Q372" s="54"/>
      <c r="R372" s="54"/>
      <c r="S372" s="54"/>
      <c r="T372" s="54"/>
      <c r="U372" s="54"/>
    </row>
    <row r="373" spans="1:21" ht="15" customHeight="1" x14ac:dyDescent="0.2">
      <c r="A373" s="90" t="s">
        <v>408</v>
      </c>
      <c r="B373" s="39" t="s">
        <v>189</v>
      </c>
      <c r="C373" s="49" t="s">
        <v>162</v>
      </c>
      <c r="D373" s="53" t="s">
        <v>323</v>
      </c>
      <c r="E373" s="36" t="s">
        <v>246</v>
      </c>
      <c r="F373" s="44" t="str">
        <f>IF(AND(ISNA(VLOOKUP(E373,DataType_Platform!A:A,1,FALSE())),ISNA(VLOOKUP(E373,BaseType!A:A,1,FALSE()))),"N","Y")</f>
        <v>Y</v>
      </c>
      <c r="G373" s="51"/>
      <c r="H373" s="57" t="s">
        <v>165</v>
      </c>
      <c r="I373" s="57" t="s">
        <v>166</v>
      </c>
      <c r="J373" s="56"/>
      <c r="K373" s="52"/>
      <c r="L373" s="52"/>
      <c r="M373" s="58" t="s">
        <v>388</v>
      </c>
      <c r="N373" s="52"/>
      <c r="O373" s="52"/>
      <c r="P373" s="54"/>
      <c r="Q373" s="54"/>
      <c r="R373" s="54"/>
      <c r="S373" s="54"/>
      <c r="T373" s="54"/>
      <c r="U373" s="54"/>
    </row>
    <row r="374" spans="1:21" ht="15" customHeight="1" x14ac:dyDescent="0.2">
      <c r="A374" s="90" t="s">
        <v>408</v>
      </c>
      <c r="B374" s="39" t="s">
        <v>189</v>
      </c>
      <c r="C374" s="49" t="s">
        <v>162</v>
      </c>
      <c r="D374" s="53" t="s">
        <v>338</v>
      </c>
      <c r="E374" s="36" t="s">
        <v>246</v>
      </c>
      <c r="F374" s="44" t="str">
        <f>IF(AND(ISNA(VLOOKUP(E374,DataType_Platform!A:A,1,FALSE())),ISNA(VLOOKUP(E374,BaseType!A:A,1,FALSE()))),"N","Y")</f>
        <v>Y</v>
      </c>
      <c r="G374" s="51"/>
      <c r="H374" s="57" t="s">
        <v>165</v>
      </c>
      <c r="I374" s="57" t="s">
        <v>166</v>
      </c>
      <c r="J374" s="56"/>
      <c r="K374" s="52"/>
      <c r="L374" s="52"/>
      <c r="M374" s="58" t="s">
        <v>388</v>
      </c>
      <c r="N374" s="52"/>
      <c r="O374" s="52"/>
      <c r="P374" s="54"/>
      <c r="Q374" s="54"/>
      <c r="R374" s="54"/>
      <c r="S374" s="54"/>
      <c r="T374" s="54"/>
      <c r="U374" s="54"/>
    </row>
    <row r="375" spans="1:21" ht="15" customHeight="1" x14ac:dyDescent="0.2">
      <c r="A375" s="90" t="s">
        <v>408</v>
      </c>
      <c r="B375" s="39" t="s">
        <v>189</v>
      </c>
      <c r="C375" s="49" t="s">
        <v>162</v>
      </c>
      <c r="D375" s="53" t="s">
        <v>350</v>
      </c>
      <c r="E375" s="36" t="s">
        <v>246</v>
      </c>
      <c r="F375" s="44" t="str">
        <f>IF(AND(ISNA(VLOOKUP(E375,DataType_Platform!A:A,1,FALSE())),ISNA(VLOOKUP(E375,BaseType!A:A,1,FALSE()))),"N","Y")</f>
        <v>Y</v>
      </c>
      <c r="G375" s="51"/>
      <c r="H375" s="57" t="s">
        <v>165</v>
      </c>
      <c r="I375" s="57" t="s">
        <v>166</v>
      </c>
      <c r="J375" s="56"/>
      <c r="K375" s="52"/>
      <c r="L375" s="52"/>
      <c r="M375" s="58" t="s">
        <v>388</v>
      </c>
      <c r="N375" s="52"/>
      <c r="O375" s="52"/>
      <c r="P375" s="54"/>
      <c r="Q375" s="54"/>
      <c r="R375" s="54"/>
      <c r="S375" s="54"/>
      <c r="T375" s="54"/>
      <c r="U375" s="54"/>
    </row>
    <row r="376" spans="1:21" ht="15" customHeight="1" x14ac:dyDescent="0.2">
      <c r="A376" s="90" t="s">
        <v>408</v>
      </c>
      <c r="B376" s="39" t="s">
        <v>189</v>
      </c>
      <c r="C376" s="49" t="s">
        <v>162</v>
      </c>
      <c r="D376" s="53" t="s">
        <v>363</v>
      </c>
      <c r="E376" s="36" t="s">
        <v>246</v>
      </c>
      <c r="F376" s="44" t="str">
        <f>IF(AND(ISNA(VLOOKUP(E376,DataType_Platform!A:A,1,FALSE())),ISNA(VLOOKUP(E376,BaseType!A:A,1,FALSE()))),"N","Y")</f>
        <v>Y</v>
      </c>
      <c r="G376" s="51"/>
      <c r="H376" s="57" t="s">
        <v>165</v>
      </c>
      <c r="I376" s="57" t="s">
        <v>166</v>
      </c>
      <c r="J376" s="56"/>
      <c r="K376" s="52"/>
      <c r="L376" s="52"/>
      <c r="M376" s="58" t="s">
        <v>388</v>
      </c>
      <c r="N376" s="52"/>
      <c r="O376" s="52"/>
      <c r="P376" s="54"/>
      <c r="Q376" s="54"/>
      <c r="R376" s="54"/>
      <c r="S376" s="54"/>
      <c r="T376" s="54"/>
      <c r="U376" s="54"/>
    </row>
    <row r="377" spans="1:21" ht="15" customHeight="1" x14ac:dyDescent="0.2">
      <c r="A377" s="90" t="s">
        <v>408</v>
      </c>
      <c r="B377" s="39" t="s">
        <v>189</v>
      </c>
      <c r="C377" s="49" t="s">
        <v>162</v>
      </c>
      <c r="D377" s="53" t="s">
        <v>367</v>
      </c>
      <c r="E377" s="36" t="s">
        <v>246</v>
      </c>
      <c r="F377" s="44" t="str">
        <f>IF(AND(ISNA(VLOOKUP(E377,DataType_Platform!A:A,1,FALSE())),ISNA(VLOOKUP(E377,BaseType!A:A,1,FALSE()))),"N","Y")</f>
        <v>Y</v>
      </c>
      <c r="G377" s="51"/>
      <c r="H377" s="57" t="s">
        <v>165</v>
      </c>
      <c r="I377" s="57" t="s">
        <v>166</v>
      </c>
      <c r="J377" s="56"/>
      <c r="K377" s="52"/>
      <c r="L377" s="52"/>
      <c r="M377" s="58" t="s">
        <v>388</v>
      </c>
      <c r="N377" s="52"/>
      <c r="O377" s="52"/>
      <c r="P377" s="54"/>
      <c r="Q377" s="54"/>
      <c r="R377" s="54"/>
      <c r="S377" s="54"/>
      <c r="T377" s="54"/>
      <c r="U377" s="54"/>
    </row>
    <row r="378" spans="1:21" ht="15" customHeight="1" x14ac:dyDescent="0.2">
      <c r="A378" s="90" t="s">
        <v>408</v>
      </c>
      <c r="B378" s="39" t="s">
        <v>189</v>
      </c>
      <c r="C378" s="49" t="s">
        <v>162</v>
      </c>
      <c r="D378" s="53" t="s">
        <v>375</v>
      </c>
      <c r="E378" s="36" t="s">
        <v>246</v>
      </c>
      <c r="F378" s="44" t="str">
        <f>IF(AND(ISNA(VLOOKUP(E378,DataType_Platform!A:A,1,FALSE())),ISNA(VLOOKUP(E378,BaseType!A:A,1,FALSE()))),"N","Y")</f>
        <v>Y</v>
      </c>
      <c r="G378" s="51"/>
      <c r="H378" s="57" t="s">
        <v>165</v>
      </c>
      <c r="I378" s="57" t="s">
        <v>166</v>
      </c>
      <c r="J378" s="56"/>
      <c r="K378" s="52"/>
      <c r="L378" s="52"/>
      <c r="M378" s="58" t="s">
        <v>388</v>
      </c>
      <c r="N378" s="52"/>
      <c r="O378" s="52"/>
      <c r="P378" s="54"/>
      <c r="Q378" s="54"/>
      <c r="R378" s="54"/>
      <c r="S378" s="54"/>
      <c r="T378" s="54"/>
      <c r="U378" s="54"/>
    </row>
    <row r="379" spans="1:21" ht="15" customHeight="1" x14ac:dyDescent="0.2">
      <c r="A379" s="90" t="s">
        <v>408</v>
      </c>
      <c r="B379" s="39" t="s">
        <v>189</v>
      </c>
      <c r="C379" s="49" t="s">
        <v>162</v>
      </c>
      <c r="D379" s="53" t="s">
        <v>396</v>
      </c>
      <c r="E379" s="36" t="s">
        <v>246</v>
      </c>
      <c r="F379" s="44" t="str">
        <f>IF(AND(ISNA(VLOOKUP(E379,DataType_Platform!A:A,1,FALSE())),ISNA(VLOOKUP(E379,BaseType!A:A,1,FALSE()))),"N","Y")</f>
        <v>Y</v>
      </c>
      <c r="G379" s="51"/>
      <c r="H379" s="57" t="s">
        <v>165</v>
      </c>
      <c r="I379" s="57" t="s">
        <v>166</v>
      </c>
      <c r="J379" s="56"/>
      <c r="K379" s="52"/>
      <c r="L379" s="52"/>
      <c r="M379" s="58" t="s">
        <v>388</v>
      </c>
      <c r="N379" s="52"/>
      <c r="O379" s="52"/>
      <c r="P379" s="54"/>
      <c r="Q379" s="54"/>
      <c r="R379" s="54"/>
      <c r="S379" s="54"/>
      <c r="T379" s="54"/>
      <c r="U379" s="54"/>
    </row>
    <row r="380" spans="1:21" ht="15" customHeight="1" x14ac:dyDescent="0.2">
      <c r="A380" s="90" t="s">
        <v>408</v>
      </c>
      <c r="B380" s="39" t="s">
        <v>189</v>
      </c>
      <c r="C380" s="49" t="s">
        <v>162</v>
      </c>
      <c r="D380" s="53" t="s">
        <v>402</v>
      </c>
      <c r="E380" s="36" t="s">
        <v>246</v>
      </c>
      <c r="F380" s="44" t="str">
        <f>IF(AND(ISNA(VLOOKUP(E380,DataType_Platform!A:A,1,FALSE())),ISNA(VLOOKUP(E380,BaseType!A:A,1,FALSE()))),"N","Y")</f>
        <v>Y</v>
      </c>
      <c r="G380" s="51"/>
      <c r="H380" s="57" t="s">
        <v>165</v>
      </c>
      <c r="I380" s="57" t="s">
        <v>166</v>
      </c>
      <c r="J380" s="56"/>
      <c r="K380" s="52"/>
      <c r="L380" s="52"/>
      <c r="M380" s="58" t="s">
        <v>388</v>
      </c>
      <c r="N380" s="52"/>
      <c r="O380" s="52"/>
      <c r="P380" s="54"/>
      <c r="Q380" s="54"/>
      <c r="R380" s="54"/>
      <c r="S380" s="54"/>
      <c r="T380" s="54"/>
      <c r="U380" s="54"/>
    </row>
    <row r="381" spans="1:21" ht="15" customHeight="1" x14ac:dyDescent="0.2">
      <c r="A381" s="90" t="s">
        <v>408</v>
      </c>
      <c r="B381" s="36" t="s">
        <v>189</v>
      </c>
      <c r="C381" s="49" t="s">
        <v>162</v>
      </c>
      <c r="D381" s="53" t="s">
        <v>183</v>
      </c>
      <c r="E381" s="50" t="s">
        <v>184</v>
      </c>
      <c r="F381" s="44" t="str">
        <f>IF(AND(ISNA(VLOOKUP(E381,DataType_Platform!A:A,1,FALSE())),ISNA(VLOOKUP(E381,BaseType!A:A,1,FALSE()))),"N","Y")</f>
        <v>Y</v>
      </c>
      <c r="G381" s="51"/>
      <c r="H381" s="57" t="s">
        <v>165</v>
      </c>
      <c r="I381" s="57" t="s">
        <v>166</v>
      </c>
      <c r="J381" s="56"/>
      <c r="K381" s="52"/>
      <c r="L381" s="52"/>
      <c r="M381" s="58" t="s">
        <v>166</v>
      </c>
      <c r="N381" s="52"/>
      <c r="O381" s="52"/>
      <c r="P381" s="54"/>
      <c r="Q381" s="54"/>
      <c r="R381" s="54"/>
      <c r="S381" s="54"/>
      <c r="T381" s="54"/>
      <c r="U381" s="54"/>
    </row>
    <row r="382" spans="1:21" ht="15" customHeight="1" x14ac:dyDescent="0.2">
      <c r="A382" s="90" t="s">
        <v>408</v>
      </c>
      <c r="B382" s="39" t="s">
        <v>161</v>
      </c>
      <c r="C382" s="49" t="s">
        <v>162</v>
      </c>
      <c r="D382" s="53" t="s">
        <v>410</v>
      </c>
      <c r="E382" s="36" t="s">
        <v>411</v>
      </c>
      <c r="F382" s="44" t="str">
        <f>IF(AND(ISNA(VLOOKUP(E382,DataType_Platform!A:A,1,FALSE())),ISNA(VLOOKUP(E382,BaseType!A:A,1,FALSE()))),"N","Y")</f>
        <v>Y</v>
      </c>
      <c r="G382" s="51"/>
      <c r="H382" s="57" t="s">
        <v>165</v>
      </c>
      <c r="I382" s="57" t="s">
        <v>166</v>
      </c>
      <c r="J382" s="56"/>
      <c r="K382" s="52"/>
      <c r="L382" s="52"/>
      <c r="M382" s="58" t="s">
        <v>166</v>
      </c>
      <c r="N382" s="52"/>
      <c r="O382" s="52"/>
      <c r="P382" s="54"/>
      <c r="Q382" s="54"/>
      <c r="R382" s="54"/>
      <c r="S382" s="54"/>
      <c r="T382" s="54"/>
      <c r="U382" s="54"/>
    </row>
    <row r="383" spans="1:21" ht="15" customHeight="1" x14ac:dyDescent="0.2">
      <c r="A383" s="93" t="s">
        <v>412</v>
      </c>
      <c r="B383" s="39" t="s">
        <v>189</v>
      </c>
      <c r="C383" s="49" t="s">
        <v>162</v>
      </c>
      <c r="D383" s="53" t="s">
        <v>183</v>
      </c>
      <c r="E383" s="50" t="s">
        <v>184</v>
      </c>
      <c r="F383" s="44" t="str">
        <f>IF(AND(ISNA(VLOOKUP(E383,DataType_Platform!A:A,1,FALSE())),ISNA(VLOOKUP(E383,BaseType!A:A,1,FALSE()))),"N","Y")</f>
        <v>Y</v>
      </c>
      <c r="G383" s="75"/>
      <c r="H383" s="57" t="s">
        <v>165</v>
      </c>
      <c r="I383" s="56" t="s">
        <v>166</v>
      </c>
      <c r="J383" s="57"/>
      <c r="K383" s="58"/>
      <c r="L383" s="58"/>
      <c r="M383" s="58"/>
      <c r="N383" s="58"/>
      <c r="O383" s="58"/>
      <c r="P383" s="54"/>
      <c r="Q383" s="54"/>
      <c r="R383" s="54"/>
      <c r="S383" s="54"/>
      <c r="T383" s="54"/>
      <c r="U383" s="54"/>
    </row>
    <row r="384" spans="1:21" ht="15" customHeight="1" x14ac:dyDescent="0.2">
      <c r="A384" s="93" t="s">
        <v>412</v>
      </c>
      <c r="B384" s="39" t="s">
        <v>189</v>
      </c>
      <c r="C384" s="49" t="s">
        <v>162</v>
      </c>
      <c r="D384" s="53" t="s">
        <v>413</v>
      </c>
      <c r="E384" s="36" t="s">
        <v>414</v>
      </c>
      <c r="F384" s="44" t="str">
        <f>IF(AND(ISNA(VLOOKUP(E384,DataType_Platform!A:A,1,FALSE())),ISNA(VLOOKUP(E384,BaseType!A:A,1,FALSE()))),"N","Y")</f>
        <v>Y</v>
      </c>
      <c r="G384" s="51"/>
      <c r="H384" s="57" t="s">
        <v>165</v>
      </c>
      <c r="I384" s="57" t="s">
        <v>388</v>
      </c>
      <c r="J384" s="56">
        <v>8</v>
      </c>
      <c r="K384" s="52"/>
      <c r="L384" s="52"/>
      <c r="M384" s="58" t="s">
        <v>166</v>
      </c>
      <c r="N384" s="52"/>
      <c r="O384" s="52"/>
      <c r="P384" s="54"/>
      <c r="Q384" s="54"/>
      <c r="R384" s="54"/>
      <c r="S384" s="54"/>
      <c r="T384" s="54"/>
      <c r="U384" s="54"/>
    </row>
    <row r="385" spans="1:21" ht="15" customHeight="1" x14ac:dyDescent="0.2">
      <c r="A385" s="93" t="s">
        <v>412</v>
      </c>
      <c r="B385" s="39" t="s">
        <v>189</v>
      </c>
      <c r="C385" s="49" t="s">
        <v>162</v>
      </c>
      <c r="D385" s="53" t="s">
        <v>415</v>
      </c>
      <c r="E385" s="36" t="s">
        <v>416</v>
      </c>
      <c r="F385" s="44" t="str">
        <f>IF(AND(ISNA(VLOOKUP(E385,DataType_Platform!A:A,1,FALSE())),ISNA(VLOOKUP(E385,BaseType!A:A,1,FALSE()))),"N","Y")</f>
        <v>Y</v>
      </c>
      <c r="G385" s="51"/>
      <c r="H385" s="57" t="s">
        <v>165</v>
      </c>
      <c r="I385" s="57" t="s">
        <v>388</v>
      </c>
      <c r="J385" s="56">
        <v>3</v>
      </c>
      <c r="K385" s="52"/>
      <c r="L385" s="52"/>
      <c r="M385" s="58" t="s">
        <v>166</v>
      </c>
      <c r="N385" s="52"/>
      <c r="O385" s="52"/>
      <c r="P385" s="54"/>
      <c r="Q385" s="54"/>
      <c r="R385" s="54"/>
      <c r="S385" s="54"/>
      <c r="T385" s="54"/>
      <c r="U385" s="54"/>
    </row>
    <row r="386" spans="1:21" ht="15" customHeight="1" x14ac:dyDescent="0.2">
      <c r="A386" s="93" t="s">
        <v>412</v>
      </c>
      <c r="B386" s="39" t="s">
        <v>189</v>
      </c>
      <c r="C386" s="49" t="s">
        <v>162</v>
      </c>
      <c r="D386" s="53" t="s">
        <v>417</v>
      </c>
      <c r="E386" s="36" t="s">
        <v>418</v>
      </c>
      <c r="F386" s="44" t="str">
        <f>IF(AND(ISNA(VLOOKUP(E386,DataType_Platform!A:A,1,FALSE())),ISNA(VLOOKUP(E386,BaseType!A:A,1,FALSE()))),"N","Y")</f>
        <v>Y</v>
      </c>
      <c r="G386" s="51"/>
      <c r="H386" s="57" t="s">
        <v>165</v>
      </c>
      <c r="I386" s="57" t="s">
        <v>388</v>
      </c>
      <c r="J386" s="56">
        <v>3</v>
      </c>
      <c r="K386" s="52"/>
      <c r="L386" s="52"/>
      <c r="M386" s="58" t="s">
        <v>166</v>
      </c>
      <c r="N386" s="52"/>
      <c r="O386" s="52"/>
      <c r="P386" s="54"/>
      <c r="Q386" s="54"/>
      <c r="R386" s="54"/>
      <c r="S386" s="54"/>
      <c r="T386" s="54"/>
      <c r="U386" s="54"/>
    </row>
    <row r="387" spans="1:21" ht="15" customHeight="1" x14ac:dyDescent="0.2">
      <c r="A387" s="93" t="s">
        <v>412</v>
      </c>
      <c r="B387" s="39" t="s">
        <v>189</v>
      </c>
      <c r="C387" s="49" t="s">
        <v>162</v>
      </c>
      <c r="D387" s="53" t="s">
        <v>419</v>
      </c>
      <c r="E387" s="36" t="s">
        <v>420</v>
      </c>
      <c r="F387" s="44" t="str">
        <f>IF(AND(ISNA(VLOOKUP(E387,DataType_Platform!A:A,1,FALSE())),ISNA(VLOOKUP(E387,BaseType!A:A,1,FALSE()))),"N","Y")</f>
        <v>Y</v>
      </c>
      <c r="G387" s="51"/>
      <c r="H387" s="57" t="s">
        <v>165</v>
      </c>
      <c r="I387" s="57" t="s">
        <v>388</v>
      </c>
      <c r="J387" s="56">
        <v>3</v>
      </c>
      <c r="K387" s="52"/>
      <c r="L387" s="52"/>
      <c r="M387" s="58" t="s">
        <v>166</v>
      </c>
      <c r="N387" s="52"/>
      <c r="O387" s="52"/>
      <c r="P387" s="54"/>
      <c r="Q387" s="54"/>
      <c r="R387" s="54"/>
      <c r="S387" s="54"/>
      <c r="T387" s="54"/>
      <c r="U387" s="54"/>
    </row>
    <row r="388" spans="1:21" ht="15" customHeight="1" x14ac:dyDescent="0.2">
      <c r="A388" s="93" t="s">
        <v>412</v>
      </c>
      <c r="B388" s="39" t="s">
        <v>189</v>
      </c>
      <c r="C388" s="49" t="s">
        <v>162</v>
      </c>
      <c r="D388" s="53" t="s">
        <v>421</v>
      </c>
      <c r="E388" s="36" t="s">
        <v>422</v>
      </c>
      <c r="F388" s="44" t="str">
        <f>IF(AND(ISNA(VLOOKUP(E388,DataType_Platform!A:A,1,FALSE())),ISNA(VLOOKUP(E388,BaseType!A:A,1,FALSE()))),"N","Y")</f>
        <v>Y</v>
      </c>
      <c r="G388" s="51"/>
      <c r="H388" s="57" t="s">
        <v>165</v>
      </c>
      <c r="I388" s="57" t="s">
        <v>388</v>
      </c>
      <c r="J388" s="56">
        <v>3</v>
      </c>
      <c r="K388" s="52"/>
      <c r="L388" s="52"/>
      <c r="M388" s="58" t="s">
        <v>166</v>
      </c>
      <c r="N388" s="52"/>
      <c r="O388" s="52"/>
      <c r="P388" s="54"/>
      <c r="Q388" s="54"/>
      <c r="R388" s="54"/>
      <c r="S388" s="54"/>
      <c r="T388" s="54"/>
      <c r="U388" s="54"/>
    </row>
    <row r="389" spans="1:21" ht="15" customHeight="1" x14ac:dyDescent="0.2">
      <c r="A389" s="93" t="s">
        <v>412</v>
      </c>
      <c r="B389" s="39" t="s">
        <v>189</v>
      </c>
      <c r="C389" s="49" t="s">
        <v>162</v>
      </c>
      <c r="D389" s="53" t="s">
        <v>423</v>
      </c>
      <c r="E389" s="36" t="s">
        <v>424</v>
      </c>
      <c r="F389" s="44" t="str">
        <f>IF(AND(ISNA(VLOOKUP(E389,DataType_Platform!A:A,1,FALSE())),ISNA(VLOOKUP(E389,BaseType!A:A,1,FALSE()))),"N","Y")</f>
        <v>Y</v>
      </c>
      <c r="G389" s="51"/>
      <c r="H389" s="57" t="s">
        <v>165</v>
      </c>
      <c r="I389" s="57" t="s">
        <v>388</v>
      </c>
      <c r="J389" s="56">
        <v>3</v>
      </c>
      <c r="K389" s="52"/>
      <c r="L389" s="52"/>
      <c r="M389" s="58" t="s">
        <v>166</v>
      </c>
      <c r="N389" s="52"/>
      <c r="O389" s="52"/>
      <c r="P389" s="54"/>
      <c r="Q389" s="54"/>
      <c r="R389" s="54"/>
      <c r="S389" s="54"/>
      <c r="T389" s="54"/>
      <c r="U389" s="54"/>
    </row>
    <row r="390" spans="1:21" ht="15" customHeight="1" x14ac:dyDescent="0.2">
      <c r="A390" s="93" t="s">
        <v>412</v>
      </c>
      <c r="B390" s="39" t="s">
        <v>189</v>
      </c>
      <c r="C390" s="49" t="s">
        <v>162</v>
      </c>
      <c r="D390" s="53" t="s">
        <v>425</v>
      </c>
      <c r="E390" s="36" t="s">
        <v>426</v>
      </c>
      <c r="F390" s="44" t="str">
        <f>IF(AND(ISNA(VLOOKUP(E390,DataType_Platform!A:A,1,FALSE())),ISNA(VLOOKUP(E390,BaseType!A:A,1,FALSE()))),"N","Y")</f>
        <v>Y</v>
      </c>
      <c r="G390" s="51"/>
      <c r="H390" s="57" t="s">
        <v>165</v>
      </c>
      <c r="I390" s="57" t="s">
        <v>388</v>
      </c>
      <c r="J390" s="56">
        <v>3</v>
      </c>
      <c r="K390" s="52"/>
      <c r="L390" s="52"/>
      <c r="M390" s="58" t="s">
        <v>166</v>
      </c>
      <c r="N390" s="52"/>
      <c r="O390" s="52"/>
      <c r="P390" s="54"/>
      <c r="Q390" s="54"/>
      <c r="R390" s="54"/>
      <c r="S390" s="54"/>
      <c r="T390" s="54"/>
      <c r="U390" s="54"/>
    </row>
    <row r="391" spans="1:21" ht="15" customHeight="1" x14ac:dyDescent="0.2">
      <c r="A391" s="93" t="s">
        <v>412</v>
      </c>
      <c r="B391" s="39" t="s">
        <v>189</v>
      </c>
      <c r="C391" s="49" t="s">
        <v>162</v>
      </c>
      <c r="D391" s="53" t="s">
        <v>427</v>
      </c>
      <c r="E391" s="36" t="s">
        <v>428</v>
      </c>
      <c r="F391" s="44" t="str">
        <f>IF(AND(ISNA(VLOOKUP(E391,DataType_Platform!A:A,1,FALSE())),ISNA(VLOOKUP(E391,BaseType!A:A,1,FALSE()))),"N","Y")</f>
        <v>Y</v>
      </c>
      <c r="G391" s="51"/>
      <c r="H391" s="57" t="s">
        <v>165</v>
      </c>
      <c r="I391" s="57" t="s">
        <v>166</v>
      </c>
      <c r="J391" s="56"/>
      <c r="K391" s="52"/>
      <c r="L391" s="52"/>
      <c r="M391" s="58" t="s">
        <v>166</v>
      </c>
      <c r="N391" s="52"/>
      <c r="O391" s="52"/>
      <c r="P391" s="54"/>
      <c r="Q391" s="54"/>
      <c r="R391" s="54"/>
      <c r="S391" s="54"/>
      <c r="T391" s="54"/>
      <c r="U391" s="54"/>
    </row>
    <row r="392" spans="1:21" ht="15" customHeight="1" x14ac:dyDescent="0.2">
      <c r="A392" s="93" t="s">
        <v>412</v>
      </c>
      <c r="B392" s="39" t="s">
        <v>161</v>
      </c>
      <c r="C392" s="49" t="s">
        <v>162</v>
      </c>
      <c r="D392" s="53" t="s">
        <v>381</v>
      </c>
      <c r="E392" s="36" t="s">
        <v>298</v>
      </c>
      <c r="F392" s="44" t="str">
        <f>IF(AND(ISNA(VLOOKUP(E392,DataType_Platform!A:A,1,FALSE())),ISNA(VLOOKUP(E392,BaseType!A:A,1,FALSE()))),"N","Y")</f>
        <v>Y</v>
      </c>
      <c r="G392" s="51"/>
      <c r="H392" s="57" t="s">
        <v>165</v>
      </c>
      <c r="I392" s="57" t="s">
        <v>166</v>
      </c>
      <c r="J392" s="56"/>
      <c r="K392" s="52"/>
      <c r="L392" s="52"/>
      <c r="M392" s="58" t="s">
        <v>166</v>
      </c>
      <c r="N392" s="52"/>
      <c r="O392" s="52"/>
      <c r="P392" s="54"/>
      <c r="Q392" s="54"/>
      <c r="R392" s="54"/>
      <c r="S392" s="54"/>
      <c r="T392" s="54"/>
      <c r="U392" s="54"/>
    </row>
    <row r="393" spans="1:21" ht="15" customHeight="1" x14ac:dyDescent="0.2">
      <c r="A393" s="93" t="s">
        <v>412</v>
      </c>
      <c r="B393" s="43" t="s">
        <v>161</v>
      </c>
      <c r="C393" s="49" t="s">
        <v>162</v>
      </c>
      <c r="D393" s="53" t="s">
        <v>409</v>
      </c>
      <c r="E393" s="36" t="s">
        <v>246</v>
      </c>
      <c r="F393" s="44" t="str">
        <f>IF(AND(ISNA(VLOOKUP(E393,DataType_Platform!A:A,1,FALSE())),ISNA(VLOOKUP(E393,BaseType!A:A,1,FALSE()))),"N","Y")</f>
        <v>Y</v>
      </c>
      <c r="G393" s="51"/>
      <c r="H393" s="57" t="s">
        <v>165</v>
      </c>
      <c r="I393" s="57" t="s">
        <v>166</v>
      </c>
      <c r="J393" s="56"/>
      <c r="K393" s="52"/>
      <c r="L393" s="52"/>
      <c r="M393" s="58" t="s">
        <v>166</v>
      </c>
      <c r="N393" s="52"/>
      <c r="O393" s="52"/>
      <c r="P393" s="54"/>
      <c r="Q393" s="54"/>
      <c r="R393" s="54"/>
      <c r="S393" s="54"/>
      <c r="T393" s="54"/>
      <c r="U393" s="54"/>
    </row>
    <row r="394" spans="1:21" ht="15" customHeight="1" x14ac:dyDescent="0.2">
      <c r="A394" s="70" t="s">
        <v>429</v>
      </c>
      <c r="B394" s="43" t="s">
        <v>161</v>
      </c>
      <c r="C394" s="49" t="s">
        <v>162</v>
      </c>
      <c r="D394" s="53" t="s">
        <v>430</v>
      </c>
      <c r="E394" s="36" t="s">
        <v>431</v>
      </c>
      <c r="F394" s="44" t="str">
        <f>IF(AND(ISNA(VLOOKUP(E394,DataType_Platform!A:A,1,FALSE())),ISNA(VLOOKUP(E394,BaseType!A:A,1,FALSE()))),"N","Y")</f>
        <v>Y</v>
      </c>
      <c r="G394" s="51"/>
      <c r="H394" s="57" t="s">
        <v>165</v>
      </c>
      <c r="I394" s="57" t="s">
        <v>166</v>
      </c>
      <c r="J394" s="56"/>
      <c r="K394" s="52"/>
      <c r="L394" s="52"/>
      <c r="M394" s="58" t="s">
        <v>166</v>
      </c>
      <c r="N394" s="52"/>
      <c r="O394" s="52"/>
      <c r="P394" s="54"/>
      <c r="Q394" s="54"/>
      <c r="R394" s="54"/>
      <c r="S394" s="54"/>
      <c r="T394" s="54"/>
      <c r="U394" s="54"/>
    </row>
    <row r="395" spans="1:21" ht="15" customHeight="1" x14ac:dyDescent="0.2">
      <c r="A395" s="70" t="s">
        <v>429</v>
      </c>
      <c r="B395" s="43" t="s">
        <v>161</v>
      </c>
      <c r="C395" s="49" t="s">
        <v>162</v>
      </c>
      <c r="D395" s="53" t="s">
        <v>432</v>
      </c>
      <c r="E395" s="36" t="s">
        <v>433</v>
      </c>
      <c r="F395" s="44" t="str">
        <f>IF(AND(ISNA(VLOOKUP(E395,DataType_Platform!A:A,1,FALSE())),ISNA(VLOOKUP(E395,BaseType!A:A,1,FALSE()))),"N","Y")</f>
        <v>Y</v>
      </c>
      <c r="G395" s="51"/>
      <c r="H395" s="57" t="s">
        <v>165</v>
      </c>
      <c r="I395" s="57" t="s">
        <v>166</v>
      </c>
      <c r="J395" s="56"/>
      <c r="K395" s="52"/>
      <c r="L395" s="52"/>
      <c r="M395" s="58" t="s">
        <v>166</v>
      </c>
      <c r="N395" s="52"/>
      <c r="O395" s="52"/>
      <c r="P395" s="54"/>
      <c r="Q395" s="54"/>
      <c r="R395" s="54"/>
      <c r="S395" s="54"/>
      <c r="T395" s="54"/>
      <c r="U395" s="54"/>
    </row>
    <row r="396" spans="1:21" ht="15" customHeight="1" x14ac:dyDescent="0.2">
      <c r="A396" s="70" t="s">
        <v>429</v>
      </c>
      <c r="B396" s="43" t="s">
        <v>161</v>
      </c>
      <c r="C396" s="49" t="s">
        <v>162</v>
      </c>
      <c r="D396" s="53" t="s">
        <v>434</v>
      </c>
      <c r="E396" s="36" t="s">
        <v>435</v>
      </c>
      <c r="F396" s="44" t="str">
        <f>IF(AND(ISNA(VLOOKUP(E396,DataType_Platform!A:A,1,FALSE())),ISNA(VLOOKUP(E396,BaseType!A:A,1,FALSE()))),"N","Y")</f>
        <v>Y</v>
      </c>
      <c r="G396" s="51"/>
      <c r="H396" s="57" t="s">
        <v>165</v>
      </c>
      <c r="I396" s="57" t="s">
        <v>166</v>
      </c>
      <c r="J396" s="56"/>
      <c r="K396" s="52"/>
      <c r="L396" s="52"/>
      <c r="M396" s="58" t="s">
        <v>166</v>
      </c>
      <c r="N396" s="52"/>
      <c r="O396" s="52"/>
      <c r="P396" s="54"/>
      <c r="Q396" s="54"/>
      <c r="R396" s="54"/>
      <c r="S396" s="54"/>
      <c r="T396" s="54"/>
      <c r="U396" s="54"/>
    </row>
    <row r="397" spans="1:21" ht="15" customHeight="1" x14ac:dyDescent="0.2">
      <c r="A397" s="128" t="s">
        <v>429</v>
      </c>
      <c r="B397" s="43" t="s">
        <v>161</v>
      </c>
      <c r="C397" s="49" t="s">
        <v>162</v>
      </c>
      <c r="D397" s="68" t="s">
        <v>436</v>
      </c>
      <c r="E397" s="50" t="s">
        <v>437</v>
      </c>
      <c r="F397" s="44" t="str">
        <f>IF(AND(ISNA(VLOOKUP(E397,DataType_Platform!A:A,1,FALSE())),ISNA(VLOOKUP(E397,BaseType!A:A,1,FALSE()))),"N","Y")</f>
        <v>Y</v>
      </c>
      <c r="G397" s="80"/>
      <c r="H397" s="56" t="s">
        <v>165</v>
      </c>
      <c r="I397" s="56" t="s">
        <v>166</v>
      </c>
      <c r="J397" s="56"/>
      <c r="K397" s="81"/>
      <c r="L397" s="81"/>
      <c r="M397" s="65" t="s">
        <v>166</v>
      </c>
      <c r="N397" s="81"/>
      <c r="O397" s="81"/>
      <c r="P397" s="63"/>
      <c r="Q397" s="63"/>
      <c r="R397" s="63"/>
      <c r="S397" s="63"/>
      <c r="T397" s="63"/>
      <c r="U397" s="63"/>
    </row>
    <row r="398" spans="1:21" ht="15" customHeight="1" x14ac:dyDescent="0.2">
      <c r="A398" s="128" t="s">
        <v>429</v>
      </c>
      <c r="B398" s="43" t="s">
        <v>161</v>
      </c>
      <c r="C398" s="49" t="s">
        <v>162</v>
      </c>
      <c r="D398" s="68" t="s">
        <v>438</v>
      </c>
      <c r="E398" s="50" t="s">
        <v>439</v>
      </c>
      <c r="F398" s="44" t="str">
        <f>IF(AND(ISNA(VLOOKUP(E398,DataType_Platform!A:A,1,FALSE())),ISNA(VLOOKUP(E398,BaseType!A:A,1,FALSE()))),"N","Y")</f>
        <v>Y</v>
      </c>
      <c r="G398" s="80"/>
      <c r="H398" s="56" t="s">
        <v>165</v>
      </c>
      <c r="I398" s="56" t="s">
        <v>166</v>
      </c>
      <c r="J398" s="56"/>
      <c r="K398" s="81"/>
      <c r="L398" s="81"/>
      <c r="M398" s="65" t="s">
        <v>166</v>
      </c>
      <c r="N398" s="81"/>
      <c r="O398" s="81"/>
      <c r="P398" s="63"/>
      <c r="Q398" s="63"/>
      <c r="R398" s="63"/>
      <c r="S398" s="63"/>
      <c r="T398" s="63"/>
      <c r="U398" s="63"/>
    </row>
    <row r="399" spans="1:21" ht="15" customHeight="1" x14ac:dyDescent="0.2">
      <c r="A399" s="70" t="s">
        <v>429</v>
      </c>
      <c r="B399" s="43" t="s">
        <v>161</v>
      </c>
      <c r="C399" s="49" t="s">
        <v>162</v>
      </c>
      <c r="D399" s="53" t="s">
        <v>440</v>
      </c>
      <c r="E399" s="36" t="s">
        <v>441</v>
      </c>
      <c r="F399" s="44" t="str">
        <f>IF(AND(ISNA(VLOOKUP(E399,DataType_Platform!A:A,1,FALSE())),ISNA(VLOOKUP(E399,BaseType!A:A,1,FALSE()))),"N","Y")</f>
        <v>Y</v>
      </c>
      <c r="G399" s="51"/>
      <c r="H399" s="57" t="s">
        <v>165</v>
      </c>
      <c r="I399" s="57" t="s">
        <v>166</v>
      </c>
      <c r="J399" s="56"/>
      <c r="K399" s="52"/>
      <c r="L399" s="52"/>
      <c r="M399" s="58" t="s">
        <v>166</v>
      </c>
      <c r="N399" s="52"/>
      <c r="O399" s="52"/>
      <c r="P399" s="54"/>
      <c r="Q399" s="54"/>
      <c r="R399" s="54"/>
      <c r="S399" s="54"/>
      <c r="T399" s="54"/>
      <c r="U399" s="54"/>
    </row>
    <row r="400" spans="1:21" ht="15" customHeight="1" x14ac:dyDescent="0.2">
      <c r="A400" s="70" t="s">
        <v>429</v>
      </c>
      <c r="B400" s="43" t="s">
        <v>161</v>
      </c>
      <c r="C400" s="49" t="s">
        <v>162</v>
      </c>
      <c r="D400" s="53" t="s">
        <v>442</v>
      </c>
      <c r="E400" s="36" t="s">
        <v>443</v>
      </c>
      <c r="F400" s="44" t="str">
        <f>IF(AND(ISNA(VLOOKUP(E400,DataType_Platform!A:A,1,FALSE())),ISNA(VLOOKUP(E400,BaseType!A:A,1,FALSE()))),"N","Y")</f>
        <v>Y</v>
      </c>
      <c r="G400" s="51"/>
      <c r="H400" s="57" t="s">
        <v>165</v>
      </c>
      <c r="I400" s="57" t="s">
        <v>166</v>
      </c>
      <c r="J400" s="56"/>
      <c r="K400" s="52"/>
      <c r="L400" s="52"/>
      <c r="M400" s="58" t="s">
        <v>166</v>
      </c>
      <c r="N400" s="52"/>
      <c r="O400" s="52"/>
      <c r="P400" s="54"/>
      <c r="Q400" s="54"/>
      <c r="R400" s="54"/>
      <c r="S400" s="54"/>
      <c r="T400" s="54"/>
      <c r="U400" s="54"/>
    </row>
    <row r="401" spans="1:21" ht="15" customHeight="1" x14ac:dyDescent="0.2">
      <c r="A401" s="70" t="s">
        <v>429</v>
      </c>
      <c r="B401" s="43" t="s">
        <v>161</v>
      </c>
      <c r="C401" s="49" t="s">
        <v>162</v>
      </c>
      <c r="D401" s="53" t="s">
        <v>444</v>
      </c>
      <c r="E401" s="36" t="s">
        <v>445</v>
      </c>
      <c r="F401" s="44" t="str">
        <f>IF(AND(ISNA(VLOOKUP(E401,DataType_Platform!A:A,1,FALSE())),ISNA(VLOOKUP(E401,BaseType!A:A,1,FALSE()))),"N","Y")</f>
        <v>Y</v>
      </c>
      <c r="G401" s="51"/>
      <c r="H401" s="57" t="s">
        <v>165</v>
      </c>
      <c r="I401" s="57" t="s">
        <v>166</v>
      </c>
      <c r="J401" s="56"/>
      <c r="K401" s="52"/>
      <c r="L401" s="52"/>
      <c r="M401" s="58" t="s">
        <v>166</v>
      </c>
      <c r="N401" s="52"/>
      <c r="O401" s="52"/>
      <c r="P401" s="54"/>
      <c r="Q401" s="54"/>
      <c r="R401" s="54"/>
      <c r="S401" s="54"/>
      <c r="T401" s="54"/>
      <c r="U401" s="54"/>
    </row>
    <row r="402" spans="1:21" ht="15" customHeight="1" x14ac:dyDescent="0.2">
      <c r="A402" s="70" t="s">
        <v>429</v>
      </c>
      <c r="B402" s="43" t="s">
        <v>161</v>
      </c>
      <c r="C402" s="49" t="s">
        <v>162</v>
      </c>
      <c r="D402" s="53" t="s">
        <v>446</v>
      </c>
      <c r="E402" s="36" t="s">
        <v>447</v>
      </c>
      <c r="F402" s="44" t="str">
        <f>IF(AND(ISNA(VLOOKUP(E402,DataType_Platform!A:A,1,FALSE())),ISNA(VLOOKUP(E402,BaseType!A:A,1,FALSE()))),"N","Y")</f>
        <v>Y</v>
      </c>
      <c r="G402" s="51"/>
      <c r="H402" s="57" t="s">
        <v>165</v>
      </c>
      <c r="I402" s="57" t="s">
        <v>166</v>
      </c>
      <c r="J402" s="56"/>
      <c r="K402" s="52"/>
      <c r="L402" s="52"/>
      <c r="M402" s="58" t="s">
        <v>166</v>
      </c>
      <c r="N402" s="52"/>
      <c r="O402" s="52"/>
      <c r="P402" s="54"/>
      <c r="Q402" s="54"/>
      <c r="R402" s="54"/>
      <c r="S402" s="54"/>
      <c r="T402" s="54"/>
      <c r="U402" s="54"/>
    </row>
    <row r="403" spans="1:21" ht="15" customHeight="1" x14ac:dyDescent="0.2">
      <c r="A403" s="70" t="s">
        <v>429</v>
      </c>
      <c r="B403" s="43" t="s">
        <v>161</v>
      </c>
      <c r="C403" s="49" t="s">
        <v>162</v>
      </c>
      <c r="D403" s="53" t="s">
        <v>448</v>
      </c>
      <c r="E403" s="36" t="s">
        <v>449</v>
      </c>
      <c r="F403" s="44" t="str">
        <f>IF(AND(ISNA(VLOOKUP(E403,DataType_Platform!A:A,1,FALSE())),ISNA(VLOOKUP(E403,BaseType!A:A,1,FALSE()))),"N","Y")</f>
        <v>Y</v>
      </c>
      <c r="G403" s="51"/>
      <c r="H403" s="57" t="s">
        <v>165</v>
      </c>
      <c r="I403" s="57" t="s">
        <v>166</v>
      </c>
      <c r="J403" s="56"/>
      <c r="K403" s="52"/>
      <c r="L403" s="52"/>
      <c r="M403" s="58" t="s">
        <v>166</v>
      </c>
      <c r="N403" s="52"/>
      <c r="O403" s="52"/>
      <c r="P403" s="54"/>
      <c r="Q403" s="54"/>
      <c r="R403" s="54"/>
      <c r="S403" s="54"/>
      <c r="T403" s="54"/>
      <c r="U403" s="54"/>
    </row>
    <row r="404" spans="1:21" ht="15" customHeight="1" x14ac:dyDescent="0.2">
      <c r="A404" s="70" t="s">
        <v>429</v>
      </c>
      <c r="B404" s="43" t="s">
        <v>161</v>
      </c>
      <c r="C404" s="49" t="s">
        <v>162</v>
      </c>
      <c r="D404" s="53" t="s">
        <v>450</v>
      </c>
      <c r="E404" s="36" t="s">
        <v>451</v>
      </c>
      <c r="F404" s="44" t="str">
        <f>IF(AND(ISNA(VLOOKUP(E404,DataType_Platform!A:A,1,FALSE())),ISNA(VLOOKUP(E404,BaseType!A:A,1,FALSE()))),"N","Y")</f>
        <v>Y</v>
      </c>
      <c r="G404" s="51"/>
      <c r="H404" s="57" t="s">
        <v>165</v>
      </c>
      <c r="I404" s="57" t="s">
        <v>166</v>
      </c>
      <c r="J404" s="56"/>
      <c r="K404" s="52"/>
      <c r="L404" s="52"/>
      <c r="M404" s="58" t="s">
        <v>166</v>
      </c>
      <c r="N404" s="52"/>
      <c r="O404" s="52"/>
      <c r="P404" s="54"/>
      <c r="Q404" s="54"/>
      <c r="R404" s="54"/>
      <c r="S404" s="54"/>
      <c r="T404" s="54"/>
      <c r="U404" s="54"/>
    </row>
    <row r="405" spans="1:21" ht="15" customHeight="1" x14ac:dyDescent="0.2">
      <c r="A405" s="70" t="s">
        <v>429</v>
      </c>
      <c r="B405" s="43" t="s">
        <v>161</v>
      </c>
      <c r="C405" s="49" t="s">
        <v>162</v>
      </c>
      <c r="D405" s="53" t="s">
        <v>452</v>
      </c>
      <c r="E405" s="36" t="s">
        <v>453</v>
      </c>
      <c r="F405" s="44" t="str">
        <f>IF(AND(ISNA(VLOOKUP(E405,DataType_Platform!A:A,1,FALSE())),ISNA(VLOOKUP(E405,BaseType!A:A,1,FALSE()))),"N","Y")</f>
        <v>Y</v>
      </c>
      <c r="G405" s="51"/>
      <c r="H405" s="57" t="s">
        <v>165</v>
      </c>
      <c r="I405" s="57" t="s">
        <v>166</v>
      </c>
      <c r="J405" s="56"/>
      <c r="K405" s="52"/>
      <c r="L405" s="52"/>
      <c r="M405" s="58" t="s">
        <v>166</v>
      </c>
      <c r="N405" s="52"/>
      <c r="O405" s="52"/>
      <c r="P405" s="54"/>
      <c r="Q405" s="54"/>
      <c r="R405" s="54"/>
      <c r="S405" s="54"/>
      <c r="T405" s="54"/>
      <c r="U405" s="54"/>
    </row>
    <row r="406" spans="1:21" ht="15" customHeight="1" x14ac:dyDescent="0.2">
      <c r="A406" s="70" t="s">
        <v>429</v>
      </c>
      <c r="B406" s="43" t="s">
        <v>189</v>
      </c>
      <c r="C406" s="49" t="s">
        <v>162</v>
      </c>
      <c r="D406" s="66" t="s">
        <v>273</v>
      </c>
      <c r="E406" s="11" t="s">
        <v>274</v>
      </c>
      <c r="F406" s="44" t="str">
        <f>IF(AND(ISNA(VLOOKUP(E406,DataType_Platform!A:A,1,FALSE())),ISNA(VLOOKUP(E406,BaseType!A:A,1,FALSE()))),"N","Y")</f>
        <v>Y</v>
      </c>
      <c r="G406" s="91"/>
      <c r="H406" s="56" t="s">
        <v>165</v>
      </c>
      <c r="I406" s="56" t="s">
        <v>166</v>
      </c>
      <c r="J406" s="56"/>
      <c r="K406" s="65">
        <v>0</v>
      </c>
      <c r="L406" s="65">
        <v>0</v>
      </c>
      <c r="M406" s="65" t="s">
        <v>166</v>
      </c>
      <c r="N406" s="52"/>
      <c r="O406" s="52"/>
      <c r="P406" s="54"/>
      <c r="Q406" s="54"/>
      <c r="R406" s="54"/>
      <c r="S406" s="54"/>
      <c r="T406" s="54"/>
      <c r="U406" s="54"/>
    </row>
    <row r="407" spans="1:21" ht="15" customHeight="1" x14ac:dyDescent="0.2">
      <c r="A407" s="70" t="s">
        <v>429</v>
      </c>
      <c r="B407" s="43" t="s">
        <v>189</v>
      </c>
      <c r="C407" s="49" t="s">
        <v>162</v>
      </c>
      <c r="D407" s="66" t="s">
        <v>192</v>
      </c>
      <c r="E407" s="11" t="s">
        <v>193</v>
      </c>
      <c r="F407" s="44" t="str">
        <f>IF(AND(ISNA(VLOOKUP(E407,DataType_Platform!A:A,1,FALSE())),ISNA(VLOOKUP(E407,BaseType!A:A,1,FALSE()))),"N","Y")</f>
        <v>Y</v>
      </c>
      <c r="G407" s="91"/>
      <c r="H407" s="56" t="s">
        <v>165</v>
      </c>
      <c r="I407" s="56" t="s">
        <v>166</v>
      </c>
      <c r="J407" s="56"/>
      <c r="K407" s="65">
        <v>0</v>
      </c>
      <c r="L407" s="65">
        <v>0</v>
      </c>
      <c r="M407" s="65" t="s">
        <v>166</v>
      </c>
      <c r="N407" s="52"/>
      <c r="O407" s="52"/>
      <c r="P407" s="54"/>
      <c r="Q407" s="54"/>
      <c r="R407" s="54"/>
      <c r="S407" s="54"/>
      <c r="T407" s="54"/>
      <c r="U407" s="54"/>
    </row>
    <row r="408" spans="1:21" ht="15" customHeight="1" x14ac:dyDescent="0.2">
      <c r="A408" s="70" t="s">
        <v>429</v>
      </c>
      <c r="B408" s="43" t="s">
        <v>189</v>
      </c>
      <c r="C408" s="49" t="s">
        <v>162</v>
      </c>
      <c r="D408" s="53" t="s">
        <v>206</v>
      </c>
      <c r="E408" s="36" t="s">
        <v>207</v>
      </c>
      <c r="F408" s="44" t="str">
        <f>IF(AND(ISNA(VLOOKUP(E408,DataType_Platform!A:A,1,FALSE())),ISNA(VLOOKUP(E408,BaseType!A:A,1,FALSE()))),"N","Y")</f>
        <v>Y</v>
      </c>
      <c r="G408" s="51"/>
      <c r="H408" s="57" t="s">
        <v>165</v>
      </c>
      <c r="I408" s="57" t="s">
        <v>166</v>
      </c>
      <c r="J408" s="56"/>
      <c r="K408" s="52"/>
      <c r="L408" s="52"/>
      <c r="M408" s="58" t="s">
        <v>166</v>
      </c>
      <c r="N408" s="52"/>
      <c r="O408" s="52"/>
      <c r="P408" s="54"/>
      <c r="Q408" s="54"/>
      <c r="R408" s="54"/>
      <c r="S408" s="54"/>
      <c r="T408" s="54"/>
      <c r="U408" s="54"/>
    </row>
    <row r="409" spans="1:21" ht="15" customHeight="1" x14ac:dyDescent="0.2">
      <c r="A409" s="70" t="s">
        <v>429</v>
      </c>
      <c r="B409" s="43" t="s">
        <v>189</v>
      </c>
      <c r="C409" s="49" t="s">
        <v>162</v>
      </c>
      <c r="D409" s="53" t="s">
        <v>198</v>
      </c>
      <c r="E409" s="36" t="s">
        <v>199</v>
      </c>
      <c r="F409" s="44" t="str">
        <f>IF(AND(ISNA(VLOOKUP(E409,DataType_Platform!A:A,1,FALSE())),ISNA(VLOOKUP(E409,BaseType!A:A,1,FALSE()))),"N","Y")</f>
        <v>Y</v>
      </c>
      <c r="G409" s="51"/>
      <c r="H409" s="57" t="s">
        <v>165</v>
      </c>
      <c r="I409" s="57" t="s">
        <v>166</v>
      </c>
      <c r="J409" s="56"/>
      <c r="K409" s="52"/>
      <c r="L409" s="52"/>
      <c r="M409" s="58" t="s">
        <v>166</v>
      </c>
      <c r="N409" s="52"/>
      <c r="O409" s="52"/>
      <c r="P409" s="54"/>
      <c r="Q409" s="54"/>
      <c r="R409" s="54"/>
      <c r="S409" s="54"/>
      <c r="T409" s="54"/>
      <c r="U409" s="54"/>
    </row>
    <row r="410" spans="1:21" ht="15" customHeight="1" x14ac:dyDescent="0.2">
      <c r="A410" s="70" t="s">
        <v>429</v>
      </c>
      <c r="B410" s="43" t="s">
        <v>189</v>
      </c>
      <c r="C410" s="49" t="s">
        <v>162</v>
      </c>
      <c r="D410" s="53" t="s">
        <v>315</v>
      </c>
      <c r="E410" s="36" t="s">
        <v>316</v>
      </c>
      <c r="F410" s="44" t="str">
        <f>IF(AND(ISNA(VLOOKUP(E410,DataType_Platform!A:A,1,FALSE())),ISNA(VLOOKUP(E410,BaseType!A:A,1,FALSE()))),"N","Y")</f>
        <v>Y</v>
      </c>
      <c r="G410" s="51"/>
      <c r="H410" s="57" t="s">
        <v>165</v>
      </c>
      <c r="I410" s="57" t="s">
        <v>166</v>
      </c>
      <c r="J410" s="56"/>
      <c r="K410" s="52"/>
      <c r="L410" s="52"/>
      <c r="M410" s="58" t="s">
        <v>166</v>
      </c>
      <c r="N410" s="52"/>
      <c r="O410" s="52"/>
      <c r="P410" s="54"/>
      <c r="Q410" s="54"/>
      <c r="R410" s="54"/>
      <c r="S410" s="54"/>
      <c r="T410" s="54"/>
      <c r="U410" s="54"/>
    </row>
    <row r="411" spans="1:21" ht="15" customHeight="1" x14ac:dyDescent="0.2">
      <c r="A411" s="70" t="s">
        <v>429</v>
      </c>
      <c r="B411" s="43" t="s">
        <v>189</v>
      </c>
      <c r="C411" s="49" t="s">
        <v>162</v>
      </c>
      <c r="D411" s="53" t="s">
        <v>351</v>
      </c>
      <c r="E411" s="36" t="s">
        <v>352</v>
      </c>
      <c r="F411" s="44" t="str">
        <f>IF(AND(ISNA(VLOOKUP(E411,DataType_Platform!A:A,1,FALSE())),ISNA(VLOOKUP(E411,BaseType!A:A,1,FALSE()))),"N","Y")</f>
        <v>Y</v>
      </c>
      <c r="G411" s="51"/>
      <c r="H411" s="57" t="s">
        <v>165</v>
      </c>
      <c r="I411" s="57" t="s">
        <v>166</v>
      </c>
      <c r="J411" s="56"/>
      <c r="K411" s="52"/>
      <c r="L411" s="52"/>
      <c r="M411" s="58" t="s">
        <v>166</v>
      </c>
      <c r="N411" s="52"/>
      <c r="O411" s="52"/>
      <c r="P411" s="54"/>
      <c r="Q411" s="54"/>
      <c r="R411" s="54"/>
      <c r="S411" s="54"/>
      <c r="T411" s="54"/>
      <c r="U411" s="54"/>
    </row>
    <row r="412" spans="1:21" ht="15" customHeight="1" x14ac:dyDescent="0.2">
      <c r="A412" s="70" t="s">
        <v>429</v>
      </c>
      <c r="B412" s="43" t="s">
        <v>189</v>
      </c>
      <c r="C412" s="49" t="s">
        <v>162</v>
      </c>
      <c r="D412" s="53" t="s">
        <v>299</v>
      </c>
      <c r="E412" s="36" t="s">
        <v>300</v>
      </c>
      <c r="F412" s="44" t="str">
        <f>IF(AND(ISNA(VLOOKUP(E412,DataType_Platform!A:A,1,FALSE())),ISNA(VLOOKUP(E412,BaseType!A:A,1,FALSE()))),"N","Y")</f>
        <v>Y</v>
      </c>
      <c r="G412" s="51"/>
      <c r="H412" s="57" t="s">
        <v>165</v>
      </c>
      <c r="I412" s="57" t="s">
        <v>166</v>
      </c>
      <c r="J412" s="56"/>
      <c r="K412" s="52"/>
      <c r="L412" s="52"/>
      <c r="M412" s="58" t="s">
        <v>166</v>
      </c>
      <c r="N412" s="52"/>
      <c r="O412" s="52"/>
      <c r="P412" s="54"/>
      <c r="Q412" s="54"/>
      <c r="R412" s="54"/>
      <c r="S412" s="54"/>
      <c r="T412" s="54"/>
      <c r="U412" s="54"/>
    </row>
    <row r="413" spans="1:21" ht="15" customHeight="1" x14ac:dyDescent="0.2">
      <c r="A413" s="70" t="s">
        <v>429</v>
      </c>
      <c r="B413" s="43" t="s">
        <v>189</v>
      </c>
      <c r="C413" s="49" t="s">
        <v>162</v>
      </c>
      <c r="D413" s="53" t="s">
        <v>364</v>
      </c>
      <c r="E413" s="36" t="s">
        <v>365</v>
      </c>
      <c r="F413" s="44" t="str">
        <f>IF(AND(ISNA(VLOOKUP(E413,DataType_Platform!A:A,1,FALSE())),ISNA(VLOOKUP(E413,BaseType!A:A,1,FALSE()))),"N","Y")</f>
        <v>Y</v>
      </c>
      <c r="G413" s="51"/>
      <c r="H413" s="57" t="s">
        <v>165</v>
      </c>
      <c r="I413" s="57" t="s">
        <v>166</v>
      </c>
      <c r="J413" s="56"/>
      <c r="K413" s="52"/>
      <c r="L413" s="52"/>
      <c r="M413" s="58" t="s">
        <v>166</v>
      </c>
      <c r="N413" s="52"/>
      <c r="O413" s="52"/>
      <c r="P413" s="54"/>
      <c r="Q413" s="54"/>
      <c r="R413" s="54"/>
      <c r="S413" s="54"/>
      <c r="T413" s="54"/>
      <c r="U413" s="54"/>
    </row>
    <row r="414" spans="1:21" ht="15" customHeight="1" x14ac:dyDescent="0.2">
      <c r="A414" s="70" t="s">
        <v>429</v>
      </c>
      <c r="B414" s="43" t="s">
        <v>189</v>
      </c>
      <c r="C414" s="49" t="s">
        <v>162</v>
      </c>
      <c r="D414" s="53" t="s">
        <v>339</v>
      </c>
      <c r="E414" s="36" t="s">
        <v>340</v>
      </c>
      <c r="F414" s="44" t="str">
        <f>IF(AND(ISNA(VLOOKUP(E414,DataType_Platform!A:A,1,FALSE())),ISNA(VLOOKUP(E414,BaseType!A:A,1,FALSE()))),"N","Y")</f>
        <v>Y</v>
      </c>
      <c r="G414" s="51"/>
      <c r="H414" s="57" t="s">
        <v>165</v>
      </c>
      <c r="I414" s="57" t="s">
        <v>166</v>
      </c>
      <c r="J414" s="56"/>
      <c r="K414" s="52"/>
      <c r="L414" s="52"/>
      <c r="M414" s="58" t="s">
        <v>166</v>
      </c>
      <c r="N414" s="52"/>
      <c r="O414" s="52"/>
      <c r="P414" s="54"/>
      <c r="Q414" s="54"/>
      <c r="R414" s="54"/>
      <c r="S414" s="54"/>
      <c r="T414" s="54"/>
      <c r="U414" s="54"/>
    </row>
    <row r="415" spans="1:21" ht="15" customHeight="1" x14ac:dyDescent="0.2">
      <c r="A415" s="70" t="s">
        <v>429</v>
      </c>
      <c r="B415" s="43" t="s">
        <v>189</v>
      </c>
      <c r="C415" s="49" t="s">
        <v>162</v>
      </c>
      <c r="D415" s="53" t="s">
        <v>202</v>
      </c>
      <c r="E415" s="36" t="s">
        <v>203</v>
      </c>
      <c r="F415" s="44" t="str">
        <f>IF(AND(ISNA(VLOOKUP(E415,DataType_Platform!A:A,1,FALSE())),ISNA(VLOOKUP(E415,BaseType!A:A,1,FALSE()))),"N","Y")</f>
        <v>Y</v>
      </c>
      <c r="G415" s="51"/>
      <c r="H415" s="57" t="s">
        <v>165</v>
      </c>
      <c r="I415" s="57" t="s">
        <v>166</v>
      </c>
      <c r="J415" s="56"/>
      <c r="K415" s="52"/>
      <c r="L415" s="52"/>
      <c r="M415" s="58" t="s">
        <v>166</v>
      </c>
      <c r="N415" s="52"/>
      <c r="O415" s="52"/>
      <c r="P415" s="54"/>
      <c r="Q415" s="54"/>
      <c r="R415" s="54"/>
      <c r="S415" s="54"/>
      <c r="T415" s="54"/>
      <c r="U415" s="54"/>
    </row>
    <row r="416" spans="1:21" ht="15" customHeight="1" x14ac:dyDescent="0.2">
      <c r="A416" s="70" t="s">
        <v>429</v>
      </c>
      <c r="B416" s="43" t="s">
        <v>189</v>
      </c>
      <c r="C416" s="49" t="s">
        <v>162</v>
      </c>
      <c r="D416" s="53" t="s">
        <v>204</v>
      </c>
      <c r="E416" s="36" t="s">
        <v>205</v>
      </c>
      <c r="F416" s="44" t="str">
        <f>IF(AND(ISNA(VLOOKUP(E416,DataType_Platform!A:A,1,FALSE())),ISNA(VLOOKUP(E416,BaseType!A:A,1,FALSE()))),"N","Y")</f>
        <v>Y</v>
      </c>
      <c r="G416" s="51"/>
      <c r="H416" s="57" t="s">
        <v>165</v>
      </c>
      <c r="I416" s="57" t="s">
        <v>166</v>
      </c>
      <c r="J416" s="56"/>
      <c r="K416" s="52"/>
      <c r="L416" s="52"/>
      <c r="M416" s="58" t="s">
        <v>166</v>
      </c>
      <c r="N416" s="52"/>
      <c r="O416" s="52"/>
      <c r="P416" s="54"/>
      <c r="Q416" s="54"/>
      <c r="R416" s="54"/>
      <c r="S416" s="54"/>
      <c r="T416" s="54"/>
      <c r="U416" s="54"/>
    </row>
    <row r="417" spans="1:21" ht="15" customHeight="1" x14ac:dyDescent="0.2">
      <c r="A417" s="70" t="s">
        <v>429</v>
      </c>
      <c r="B417" s="43" t="s">
        <v>189</v>
      </c>
      <c r="C417" s="49" t="s">
        <v>162</v>
      </c>
      <c r="D417" s="53" t="s">
        <v>194</v>
      </c>
      <c r="E417" s="36" t="s">
        <v>195</v>
      </c>
      <c r="F417" s="44" t="str">
        <f>IF(AND(ISNA(VLOOKUP(E417,DataType_Platform!A:A,1,FALSE())),ISNA(VLOOKUP(E417,BaseType!A:A,1,FALSE()))),"N","Y")</f>
        <v>Y</v>
      </c>
      <c r="G417" s="51"/>
      <c r="H417" s="57" t="s">
        <v>165</v>
      </c>
      <c r="I417" s="57" t="s">
        <v>166</v>
      </c>
      <c r="J417" s="56"/>
      <c r="K417" s="52"/>
      <c r="L417" s="52"/>
      <c r="M417" s="58" t="s">
        <v>166</v>
      </c>
      <c r="N417" s="52"/>
      <c r="O417" s="52"/>
      <c r="P417" s="54"/>
      <c r="Q417" s="54"/>
      <c r="R417" s="54"/>
      <c r="S417" s="54"/>
      <c r="T417" s="54"/>
      <c r="U417" s="54"/>
    </row>
    <row r="418" spans="1:21" ht="15" customHeight="1" x14ac:dyDescent="0.2">
      <c r="A418" s="70" t="s">
        <v>429</v>
      </c>
      <c r="B418" s="43" t="s">
        <v>189</v>
      </c>
      <c r="C418" s="49" t="s">
        <v>162</v>
      </c>
      <c r="D418" s="53" t="s">
        <v>196</v>
      </c>
      <c r="E418" s="36" t="s">
        <v>197</v>
      </c>
      <c r="F418" s="44" t="str">
        <f>IF(AND(ISNA(VLOOKUP(E418,DataType_Platform!A:A,1,FALSE())),ISNA(VLOOKUP(E418,BaseType!A:A,1,FALSE()))),"N","Y")</f>
        <v>Y</v>
      </c>
      <c r="G418" s="51"/>
      <c r="H418" s="57" t="s">
        <v>165</v>
      </c>
      <c r="I418" s="57" t="s">
        <v>166</v>
      </c>
      <c r="J418" s="56"/>
      <c r="K418" s="52"/>
      <c r="L418" s="52"/>
      <c r="M418" s="58" t="s">
        <v>166</v>
      </c>
      <c r="N418" s="52"/>
      <c r="O418" s="52"/>
      <c r="P418" s="54"/>
      <c r="Q418" s="54"/>
      <c r="R418" s="54"/>
      <c r="S418" s="54"/>
      <c r="T418" s="54"/>
      <c r="U418" s="54"/>
    </row>
    <row r="419" spans="1:21" ht="15" customHeight="1" x14ac:dyDescent="0.2">
      <c r="A419" s="70" t="s">
        <v>429</v>
      </c>
      <c r="B419" s="43" t="s">
        <v>189</v>
      </c>
      <c r="C419" s="49" t="s">
        <v>162</v>
      </c>
      <c r="D419" s="53" t="s">
        <v>281</v>
      </c>
      <c r="E419" s="36" t="s">
        <v>225</v>
      </c>
      <c r="F419" s="44" t="str">
        <f>IF(AND(ISNA(VLOOKUP(E419,DataType_Platform!A:A,1,FALSE())),ISNA(VLOOKUP(E419,BaseType!A:A,1,FALSE()))),"N","Y")</f>
        <v>Y</v>
      </c>
      <c r="G419" s="51"/>
      <c r="H419" s="57" t="s">
        <v>165</v>
      </c>
      <c r="I419" s="57" t="s">
        <v>166</v>
      </c>
      <c r="J419" s="56"/>
      <c r="K419" s="52"/>
      <c r="L419" s="52"/>
      <c r="M419" s="58" t="s">
        <v>166</v>
      </c>
      <c r="N419" s="52"/>
      <c r="O419" s="52"/>
      <c r="P419" s="54"/>
      <c r="Q419" s="54"/>
      <c r="R419" s="54"/>
      <c r="S419" s="54"/>
      <c r="T419" s="54"/>
      <c r="U419" s="54"/>
    </row>
    <row r="420" spans="1:21" ht="15" customHeight="1" x14ac:dyDescent="0.2">
      <c r="A420" s="70" t="s">
        <v>429</v>
      </c>
      <c r="B420" s="43" t="s">
        <v>189</v>
      </c>
      <c r="C420" s="49" t="s">
        <v>162</v>
      </c>
      <c r="D420" s="53" t="s">
        <v>282</v>
      </c>
      <c r="E420" s="36" t="s">
        <v>225</v>
      </c>
      <c r="F420" s="44" t="str">
        <f>IF(AND(ISNA(VLOOKUP(E420,DataType_Platform!A:A,1,FALSE())),ISNA(VLOOKUP(E420,BaseType!A:A,1,FALSE()))),"N","Y")</f>
        <v>Y</v>
      </c>
      <c r="G420" s="51"/>
      <c r="H420" s="57" t="s">
        <v>165</v>
      </c>
      <c r="I420" s="57" t="s">
        <v>166</v>
      </c>
      <c r="J420" s="56"/>
      <c r="K420" s="52"/>
      <c r="L420" s="52"/>
      <c r="M420" s="58" t="s">
        <v>166</v>
      </c>
      <c r="N420" s="52"/>
      <c r="O420" s="52"/>
      <c r="P420" s="54"/>
      <c r="Q420" s="54"/>
      <c r="R420" s="54"/>
      <c r="S420" s="54"/>
      <c r="T420" s="54"/>
      <c r="U420" s="54"/>
    </row>
    <row r="421" spans="1:21" ht="15" customHeight="1" x14ac:dyDescent="0.2">
      <c r="A421" s="70" t="s">
        <v>429</v>
      </c>
      <c r="B421" s="43" t="s">
        <v>189</v>
      </c>
      <c r="C421" s="49" t="s">
        <v>162</v>
      </c>
      <c r="D421" s="53" t="s">
        <v>283</v>
      </c>
      <c r="E421" s="36" t="s">
        <v>225</v>
      </c>
      <c r="F421" s="44" t="str">
        <f>IF(AND(ISNA(VLOOKUP(E421,DataType_Platform!A:A,1,FALSE())),ISNA(VLOOKUP(E421,BaseType!A:A,1,FALSE()))),"N","Y")</f>
        <v>Y</v>
      </c>
      <c r="G421" s="51"/>
      <c r="H421" s="57" t="s">
        <v>165</v>
      </c>
      <c r="I421" s="57" t="s">
        <v>166</v>
      </c>
      <c r="J421" s="56"/>
      <c r="K421" s="52"/>
      <c r="L421" s="52"/>
      <c r="M421" s="58" t="s">
        <v>166</v>
      </c>
      <c r="N421" s="52"/>
      <c r="O421" s="52"/>
      <c r="P421" s="54"/>
      <c r="Q421" s="54"/>
      <c r="R421" s="54"/>
      <c r="S421" s="54"/>
      <c r="T421" s="54"/>
      <c r="U421" s="54"/>
    </row>
    <row r="422" spans="1:21" ht="15" customHeight="1" x14ac:dyDescent="0.2">
      <c r="A422" s="70" t="s">
        <v>429</v>
      </c>
      <c r="B422" s="43" t="s">
        <v>189</v>
      </c>
      <c r="C422" s="49" t="s">
        <v>162</v>
      </c>
      <c r="D422" s="53" t="s">
        <v>284</v>
      </c>
      <c r="E422" s="36" t="s">
        <v>225</v>
      </c>
      <c r="F422" s="44" t="str">
        <f>IF(AND(ISNA(VLOOKUP(E422,DataType_Platform!A:A,1,FALSE())),ISNA(VLOOKUP(E422,BaseType!A:A,1,FALSE()))),"N","Y")</f>
        <v>Y</v>
      </c>
      <c r="G422" s="51"/>
      <c r="H422" s="57" t="s">
        <v>165</v>
      </c>
      <c r="I422" s="57" t="s">
        <v>166</v>
      </c>
      <c r="J422" s="56"/>
      <c r="K422" s="52"/>
      <c r="L422" s="52"/>
      <c r="M422" s="58" t="s">
        <v>166</v>
      </c>
      <c r="N422" s="52"/>
      <c r="O422" s="52"/>
      <c r="P422" s="54"/>
      <c r="Q422" s="54"/>
      <c r="R422" s="54"/>
      <c r="S422" s="54"/>
      <c r="T422" s="54"/>
      <c r="U422" s="54"/>
    </row>
    <row r="423" spans="1:21" ht="15" customHeight="1" x14ac:dyDescent="0.2">
      <c r="A423" s="70" t="s">
        <v>429</v>
      </c>
      <c r="B423" s="43" t="s">
        <v>189</v>
      </c>
      <c r="C423" s="49" t="s">
        <v>162</v>
      </c>
      <c r="D423" s="53" t="s">
        <v>285</v>
      </c>
      <c r="E423" s="36" t="s">
        <v>225</v>
      </c>
      <c r="F423" s="44" t="str">
        <f>IF(AND(ISNA(VLOOKUP(E423,DataType_Platform!A:A,1,FALSE())),ISNA(VLOOKUP(E423,BaseType!A:A,1,FALSE()))),"N","Y")</f>
        <v>Y</v>
      </c>
      <c r="G423" s="51"/>
      <c r="H423" s="57" t="s">
        <v>165</v>
      </c>
      <c r="I423" s="57" t="s">
        <v>166</v>
      </c>
      <c r="J423" s="56"/>
      <c r="K423" s="52"/>
      <c r="L423" s="52"/>
      <c r="M423" s="58" t="s">
        <v>166</v>
      </c>
      <c r="N423" s="52"/>
      <c r="O423" s="52"/>
      <c r="P423" s="54"/>
      <c r="Q423" s="54"/>
      <c r="R423" s="54"/>
      <c r="S423" s="54"/>
      <c r="T423" s="54"/>
      <c r="U423" s="54"/>
    </row>
    <row r="424" spans="1:21" ht="15" customHeight="1" x14ac:dyDescent="0.2">
      <c r="A424" s="70" t="s">
        <v>429</v>
      </c>
      <c r="B424" s="43" t="s">
        <v>189</v>
      </c>
      <c r="C424" s="49" t="s">
        <v>162</v>
      </c>
      <c r="D424" s="53" t="s">
        <v>286</v>
      </c>
      <c r="E424" s="36" t="s">
        <v>225</v>
      </c>
      <c r="F424" s="44" t="str">
        <f>IF(AND(ISNA(VLOOKUP(E424,DataType_Platform!A:A,1,FALSE())),ISNA(VLOOKUP(E424,BaseType!A:A,1,FALSE()))),"N","Y")</f>
        <v>Y</v>
      </c>
      <c r="G424" s="51"/>
      <c r="H424" s="57" t="s">
        <v>165</v>
      </c>
      <c r="I424" s="57" t="s">
        <v>166</v>
      </c>
      <c r="J424" s="56"/>
      <c r="K424" s="52"/>
      <c r="L424" s="52"/>
      <c r="M424" s="58" t="s">
        <v>166</v>
      </c>
      <c r="N424" s="52"/>
      <c r="O424" s="52"/>
      <c r="P424" s="54"/>
      <c r="Q424" s="54"/>
      <c r="R424" s="54"/>
      <c r="S424" s="54"/>
      <c r="T424" s="54"/>
      <c r="U424" s="54"/>
    </row>
    <row r="425" spans="1:21" ht="15" customHeight="1" x14ac:dyDescent="0.2">
      <c r="A425" s="70" t="s">
        <v>429</v>
      </c>
      <c r="B425" s="43" t="s">
        <v>189</v>
      </c>
      <c r="C425" s="49" t="s">
        <v>162</v>
      </c>
      <c r="D425" s="53" t="s">
        <v>287</v>
      </c>
      <c r="E425" s="36" t="s">
        <v>225</v>
      </c>
      <c r="F425" s="44" t="str">
        <f>IF(AND(ISNA(VLOOKUP(E425,DataType_Platform!A:A,1,FALSE())),ISNA(VLOOKUP(E425,BaseType!A:A,1,FALSE()))),"N","Y")</f>
        <v>Y</v>
      </c>
      <c r="G425" s="51"/>
      <c r="H425" s="57" t="s">
        <v>165</v>
      </c>
      <c r="I425" s="57" t="s">
        <v>166</v>
      </c>
      <c r="J425" s="56"/>
      <c r="K425" s="52"/>
      <c r="L425" s="52"/>
      <c r="M425" s="58" t="s">
        <v>166</v>
      </c>
      <c r="N425" s="52"/>
      <c r="O425" s="52"/>
      <c r="P425" s="54"/>
      <c r="Q425" s="54"/>
      <c r="R425" s="54"/>
      <c r="S425" s="54"/>
      <c r="T425" s="54"/>
      <c r="U425" s="54"/>
    </row>
    <row r="426" spans="1:21" ht="15" customHeight="1" x14ac:dyDescent="0.2">
      <c r="A426" s="70" t="s">
        <v>429</v>
      </c>
      <c r="B426" s="43" t="s">
        <v>189</v>
      </c>
      <c r="C426" s="49" t="s">
        <v>162</v>
      </c>
      <c r="D426" s="53" t="s">
        <v>288</v>
      </c>
      <c r="E426" s="36" t="s">
        <v>225</v>
      </c>
      <c r="F426" s="44" t="str">
        <f>IF(AND(ISNA(VLOOKUP(E426,DataType_Platform!A:A,1,FALSE())),ISNA(VLOOKUP(E426,BaseType!A:A,1,FALSE()))),"N","Y")</f>
        <v>Y</v>
      </c>
      <c r="G426" s="51"/>
      <c r="H426" s="57" t="s">
        <v>165</v>
      </c>
      <c r="I426" s="57" t="s">
        <v>166</v>
      </c>
      <c r="J426" s="56"/>
      <c r="K426" s="52"/>
      <c r="L426" s="52"/>
      <c r="M426" s="58" t="s">
        <v>166</v>
      </c>
      <c r="N426" s="52"/>
      <c r="O426" s="52"/>
      <c r="P426" s="54"/>
      <c r="Q426" s="54"/>
      <c r="R426" s="54"/>
      <c r="S426" s="54"/>
      <c r="T426" s="54"/>
      <c r="U426" s="54"/>
    </row>
    <row r="427" spans="1:21" ht="15" customHeight="1" x14ac:dyDescent="0.2">
      <c r="A427" s="70" t="s">
        <v>429</v>
      </c>
      <c r="B427" s="43" t="s">
        <v>189</v>
      </c>
      <c r="C427" s="49" t="s">
        <v>162</v>
      </c>
      <c r="D427" s="53" t="s">
        <v>289</v>
      </c>
      <c r="E427" s="36" t="s">
        <v>225</v>
      </c>
      <c r="F427" s="44" t="str">
        <f>IF(AND(ISNA(VLOOKUP(E427,DataType_Platform!A:A,1,FALSE())),ISNA(VLOOKUP(E427,BaseType!A:A,1,FALSE()))),"N","Y")</f>
        <v>Y</v>
      </c>
      <c r="G427" s="51"/>
      <c r="H427" s="57" t="s">
        <v>165</v>
      </c>
      <c r="I427" s="57" t="s">
        <v>166</v>
      </c>
      <c r="J427" s="56"/>
      <c r="K427" s="52"/>
      <c r="L427" s="52"/>
      <c r="M427" s="58" t="s">
        <v>166</v>
      </c>
      <c r="N427" s="52"/>
      <c r="O427" s="52"/>
      <c r="P427" s="54"/>
      <c r="Q427" s="54"/>
      <c r="R427" s="54"/>
      <c r="S427" s="54"/>
      <c r="T427" s="54"/>
      <c r="U427" s="54"/>
    </row>
    <row r="428" spans="1:21" ht="15" customHeight="1" x14ac:dyDescent="0.2">
      <c r="A428" s="70" t="s">
        <v>429</v>
      </c>
      <c r="B428" s="43" t="s">
        <v>189</v>
      </c>
      <c r="C428" s="49" t="s">
        <v>162</v>
      </c>
      <c r="D428" s="53" t="s">
        <v>290</v>
      </c>
      <c r="E428" s="36" t="s">
        <v>225</v>
      </c>
      <c r="F428" s="44" t="str">
        <f>IF(AND(ISNA(VLOOKUP(E428,DataType_Platform!A:A,1,FALSE())),ISNA(VLOOKUP(E428,BaseType!A:A,1,FALSE()))),"N","Y")</f>
        <v>Y</v>
      </c>
      <c r="G428" s="51"/>
      <c r="H428" s="57" t="s">
        <v>165</v>
      </c>
      <c r="I428" s="57" t="s">
        <v>166</v>
      </c>
      <c r="J428" s="56"/>
      <c r="K428" s="52"/>
      <c r="L428" s="52"/>
      <c r="M428" s="58" t="s">
        <v>166</v>
      </c>
      <c r="N428" s="52"/>
      <c r="O428" s="52"/>
      <c r="P428" s="54"/>
      <c r="Q428" s="54"/>
      <c r="R428" s="54"/>
      <c r="S428" s="54"/>
      <c r="T428" s="54"/>
      <c r="U428" s="54"/>
    </row>
    <row r="429" spans="1:21" ht="15" customHeight="1" x14ac:dyDescent="0.2">
      <c r="A429" s="70" t="s">
        <v>429</v>
      </c>
      <c r="B429" s="43" t="s">
        <v>189</v>
      </c>
      <c r="C429" s="49" t="s">
        <v>162</v>
      </c>
      <c r="D429" s="53" t="s">
        <v>291</v>
      </c>
      <c r="E429" s="36" t="s">
        <v>225</v>
      </c>
      <c r="F429" s="44" t="str">
        <f>IF(AND(ISNA(VLOOKUP(E429,DataType_Platform!A:A,1,FALSE())),ISNA(VLOOKUP(E429,BaseType!A:A,1,FALSE()))),"N","Y")</f>
        <v>Y</v>
      </c>
      <c r="G429" s="51"/>
      <c r="H429" s="57" t="s">
        <v>165</v>
      </c>
      <c r="I429" s="57" t="s">
        <v>166</v>
      </c>
      <c r="J429" s="56"/>
      <c r="K429" s="52"/>
      <c r="L429" s="52"/>
      <c r="M429" s="58" t="s">
        <v>166</v>
      </c>
      <c r="N429" s="52"/>
      <c r="O429" s="52"/>
      <c r="P429" s="54"/>
      <c r="Q429" s="54"/>
      <c r="R429" s="54"/>
      <c r="S429" s="54"/>
      <c r="T429" s="54"/>
      <c r="U429" s="54"/>
    </row>
    <row r="430" spans="1:21" ht="15" customHeight="1" x14ac:dyDescent="0.2">
      <c r="A430" s="70" t="s">
        <v>429</v>
      </c>
      <c r="B430" s="43" t="s">
        <v>189</v>
      </c>
      <c r="C430" s="49" t="s">
        <v>162</v>
      </c>
      <c r="D430" s="53" t="s">
        <v>224</v>
      </c>
      <c r="E430" s="36" t="s">
        <v>225</v>
      </c>
      <c r="F430" s="44" t="str">
        <f>IF(AND(ISNA(VLOOKUP(E430,DataType_Platform!A:A,1,FALSE())),ISNA(VLOOKUP(E430,BaseType!A:A,1,FALSE()))),"N","Y")</f>
        <v>Y</v>
      </c>
      <c r="G430" s="51"/>
      <c r="H430" s="57" t="s">
        <v>165</v>
      </c>
      <c r="I430" s="57" t="s">
        <v>166</v>
      </c>
      <c r="J430" s="56"/>
      <c r="K430" s="52"/>
      <c r="L430" s="52"/>
      <c r="M430" s="58" t="s">
        <v>166</v>
      </c>
      <c r="N430" s="52"/>
      <c r="O430" s="52"/>
      <c r="P430" s="54"/>
      <c r="Q430" s="54"/>
      <c r="R430" s="54"/>
      <c r="S430" s="54"/>
      <c r="T430" s="54"/>
      <c r="U430" s="54"/>
    </row>
    <row r="431" spans="1:21" ht="15" customHeight="1" x14ac:dyDescent="0.2">
      <c r="A431" s="70" t="s">
        <v>429</v>
      </c>
      <c r="B431" s="43" t="s">
        <v>189</v>
      </c>
      <c r="C431" s="49" t="s">
        <v>162</v>
      </c>
      <c r="D431" s="53" t="s">
        <v>292</v>
      </c>
      <c r="E431" s="36" t="s">
        <v>293</v>
      </c>
      <c r="F431" s="44" t="str">
        <f>IF(AND(ISNA(VLOOKUP(E431,DataType_Platform!A:A,1,FALSE())),ISNA(VLOOKUP(E431,BaseType!A:A,1,FALSE()))),"N","Y")</f>
        <v>Y</v>
      </c>
      <c r="G431" s="51"/>
      <c r="H431" s="57" t="s">
        <v>165</v>
      </c>
      <c r="I431" s="57" t="s">
        <v>166</v>
      </c>
      <c r="J431" s="56"/>
      <c r="K431" s="52"/>
      <c r="L431" s="52"/>
      <c r="M431" s="58" t="s">
        <v>166</v>
      </c>
      <c r="N431" s="52"/>
      <c r="O431" s="52"/>
      <c r="P431" s="54"/>
      <c r="Q431" s="54"/>
      <c r="R431" s="54"/>
      <c r="S431" s="54"/>
      <c r="T431" s="54"/>
      <c r="U431" s="54"/>
    </row>
    <row r="432" spans="1:21" ht="15" customHeight="1" x14ac:dyDescent="0.2">
      <c r="A432" s="70" t="s">
        <v>429</v>
      </c>
      <c r="B432" s="43" t="s">
        <v>189</v>
      </c>
      <c r="C432" s="49" t="s">
        <v>162</v>
      </c>
      <c r="D432" s="53" t="s">
        <v>208</v>
      </c>
      <c r="E432" s="36" t="s">
        <v>209</v>
      </c>
      <c r="F432" s="44" t="str">
        <f>IF(AND(ISNA(VLOOKUP(E432,DataType_Platform!A:A,1,FALSE())),ISNA(VLOOKUP(E432,BaseType!A:A,1,FALSE()))),"N","Y")</f>
        <v>Y</v>
      </c>
      <c r="G432" s="51"/>
      <c r="H432" s="57" t="s">
        <v>165</v>
      </c>
      <c r="I432" s="57" t="s">
        <v>166</v>
      </c>
      <c r="J432" s="56"/>
      <c r="K432" s="52"/>
      <c r="L432" s="52"/>
      <c r="M432" s="58" t="s">
        <v>166</v>
      </c>
      <c r="N432" s="52"/>
      <c r="O432" s="52"/>
      <c r="P432" s="54"/>
      <c r="Q432" s="54"/>
      <c r="R432" s="54"/>
      <c r="S432" s="54"/>
      <c r="T432" s="54"/>
      <c r="U432" s="54"/>
    </row>
    <row r="433" spans="1:21" ht="15" customHeight="1" x14ac:dyDescent="0.2">
      <c r="A433" s="70" t="s">
        <v>429</v>
      </c>
      <c r="B433" s="43" t="s">
        <v>189</v>
      </c>
      <c r="C433" s="49" t="s">
        <v>162</v>
      </c>
      <c r="D433" s="53" t="s">
        <v>214</v>
      </c>
      <c r="E433" s="36" t="s">
        <v>215</v>
      </c>
      <c r="F433" s="44" t="str">
        <f>IF(AND(ISNA(VLOOKUP(E433,DataType_Platform!A:A,1,FALSE())),ISNA(VLOOKUP(E433,BaseType!A:A,1,FALSE()))),"N","Y")</f>
        <v>Y</v>
      </c>
      <c r="G433" s="51"/>
      <c r="H433" s="57" t="s">
        <v>165</v>
      </c>
      <c r="I433" s="57" t="s">
        <v>166</v>
      </c>
      <c r="J433" s="56"/>
      <c r="K433" s="52"/>
      <c r="L433" s="52"/>
      <c r="M433" s="58" t="s">
        <v>166</v>
      </c>
      <c r="N433" s="52"/>
      <c r="O433" s="52"/>
      <c r="P433" s="54"/>
      <c r="Q433" s="54"/>
      <c r="R433" s="54"/>
      <c r="S433" s="54"/>
      <c r="T433" s="54"/>
      <c r="U433" s="54"/>
    </row>
    <row r="434" spans="1:21" ht="15" customHeight="1" x14ac:dyDescent="0.2">
      <c r="A434" s="70" t="s">
        <v>429</v>
      </c>
      <c r="B434" s="43" t="s">
        <v>189</v>
      </c>
      <c r="C434" s="49" t="s">
        <v>162</v>
      </c>
      <c r="D434" s="53" t="s">
        <v>247</v>
      </c>
      <c r="E434" s="36" t="s">
        <v>248</v>
      </c>
      <c r="F434" s="44" t="str">
        <f>IF(AND(ISNA(VLOOKUP(E434,DataType_Platform!A:A,1,FALSE())),ISNA(VLOOKUP(E434,BaseType!A:A,1,FALSE()))),"N","Y")</f>
        <v>Y</v>
      </c>
      <c r="G434" s="51"/>
      <c r="H434" s="57" t="s">
        <v>165</v>
      </c>
      <c r="I434" s="57" t="s">
        <v>166</v>
      </c>
      <c r="J434" s="56"/>
      <c r="K434" s="52"/>
      <c r="L434" s="52"/>
      <c r="M434" s="58" t="s">
        <v>166</v>
      </c>
      <c r="N434" s="52"/>
      <c r="O434" s="52"/>
      <c r="P434" s="54"/>
      <c r="Q434" s="54"/>
      <c r="R434" s="54"/>
      <c r="S434" s="54"/>
      <c r="T434" s="54"/>
      <c r="U434" s="54"/>
    </row>
    <row r="435" spans="1:21" ht="15" customHeight="1" x14ac:dyDescent="0.2">
      <c r="A435" s="70" t="s">
        <v>429</v>
      </c>
      <c r="B435" s="43" t="s">
        <v>189</v>
      </c>
      <c r="C435" s="49" t="s">
        <v>162</v>
      </c>
      <c r="D435" s="53" t="s">
        <v>251</v>
      </c>
      <c r="E435" s="36" t="s">
        <v>252</v>
      </c>
      <c r="F435" s="44" t="str">
        <f>IF(AND(ISNA(VLOOKUP(E435,DataType_Platform!A:A,1,FALSE())),ISNA(VLOOKUP(E435,BaseType!A:A,1,FALSE()))),"N","Y")</f>
        <v>Y</v>
      </c>
      <c r="G435" s="51"/>
      <c r="H435" s="57" t="s">
        <v>165</v>
      </c>
      <c r="I435" s="57" t="s">
        <v>166</v>
      </c>
      <c r="J435" s="56"/>
      <c r="K435" s="52"/>
      <c r="L435" s="52"/>
      <c r="M435" s="58" t="s">
        <v>166</v>
      </c>
      <c r="N435" s="52"/>
      <c r="O435" s="52"/>
      <c r="P435" s="54"/>
      <c r="Q435" s="54"/>
      <c r="R435" s="54"/>
      <c r="S435" s="54"/>
      <c r="T435" s="54"/>
      <c r="U435" s="54"/>
    </row>
    <row r="436" spans="1:21" ht="15" customHeight="1" x14ac:dyDescent="0.2">
      <c r="A436" s="70" t="s">
        <v>429</v>
      </c>
      <c r="B436" s="43" t="s">
        <v>189</v>
      </c>
      <c r="C436" s="49" t="s">
        <v>162</v>
      </c>
      <c r="D436" s="53" t="s">
        <v>253</v>
      </c>
      <c r="E436" s="36" t="s">
        <v>254</v>
      </c>
      <c r="F436" s="44" t="str">
        <f>IF(AND(ISNA(VLOOKUP(E436,DataType_Platform!A:A,1,FALSE())),ISNA(VLOOKUP(E436,BaseType!A:A,1,FALSE()))),"N","Y")</f>
        <v>Y</v>
      </c>
      <c r="G436" s="51"/>
      <c r="H436" s="57" t="s">
        <v>165</v>
      </c>
      <c r="I436" s="57" t="s">
        <v>166</v>
      </c>
      <c r="J436" s="56"/>
      <c r="K436" s="52"/>
      <c r="L436" s="52"/>
      <c r="M436" s="58" t="s">
        <v>166</v>
      </c>
      <c r="N436" s="52"/>
      <c r="O436" s="52"/>
      <c r="P436" s="54"/>
      <c r="Q436" s="54"/>
      <c r="R436" s="54"/>
      <c r="S436" s="54"/>
      <c r="T436" s="54"/>
      <c r="U436" s="54"/>
    </row>
    <row r="437" spans="1:21" ht="15" customHeight="1" x14ac:dyDescent="0.2">
      <c r="A437" s="70" t="s">
        <v>429</v>
      </c>
      <c r="B437" s="43" t="s">
        <v>189</v>
      </c>
      <c r="C437" s="49" t="s">
        <v>162</v>
      </c>
      <c r="D437" s="53" t="s">
        <v>255</v>
      </c>
      <c r="E437" s="36" t="s">
        <v>256</v>
      </c>
      <c r="F437" s="44" t="str">
        <f>IF(AND(ISNA(VLOOKUP(E437,DataType_Platform!A:A,1,FALSE())),ISNA(VLOOKUP(E437,BaseType!A:A,1,FALSE()))),"N","Y")</f>
        <v>Y</v>
      </c>
      <c r="G437" s="51"/>
      <c r="H437" s="57" t="s">
        <v>165</v>
      </c>
      <c r="I437" s="57" t="s">
        <v>166</v>
      </c>
      <c r="J437" s="56"/>
      <c r="K437" s="52"/>
      <c r="L437" s="52"/>
      <c r="M437" s="58" t="s">
        <v>166</v>
      </c>
      <c r="N437" s="52"/>
      <c r="O437" s="52"/>
      <c r="P437" s="54"/>
      <c r="Q437" s="54"/>
      <c r="R437" s="54"/>
      <c r="S437" s="54"/>
      <c r="T437" s="54"/>
      <c r="U437" s="54"/>
    </row>
    <row r="438" spans="1:21" ht="15" customHeight="1" x14ac:dyDescent="0.2">
      <c r="A438" s="70" t="s">
        <v>429</v>
      </c>
      <c r="B438" s="43" t="s">
        <v>189</v>
      </c>
      <c r="C438" s="43" t="s">
        <v>162</v>
      </c>
      <c r="D438" s="53" t="s">
        <v>257</v>
      </c>
      <c r="E438" s="36" t="s">
        <v>258</v>
      </c>
      <c r="F438" s="44" t="str">
        <f>IF(AND(ISNA(VLOOKUP(E438,DataType_Platform!A:A,1,FALSE())),ISNA(VLOOKUP(E438,BaseType!A:A,1,FALSE()))),"N","Y")</f>
        <v>Y</v>
      </c>
      <c r="G438" s="51"/>
      <c r="H438" s="57" t="s">
        <v>165</v>
      </c>
      <c r="I438" s="57" t="s">
        <v>166</v>
      </c>
      <c r="J438" s="56"/>
      <c r="K438" s="52"/>
      <c r="L438" s="52"/>
      <c r="M438" s="58" t="s">
        <v>166</v>
      </c>
      <c r="N438" s="52"/>
      <c r="O438" s="52"/>
      <c r="P438" s="54"/>
      <c r="Q438" s="54"/>
      <c r="R438" s="54"/>
      <c r="S438" s="54"/>
      <c r="T438" s="54"/>
      <c r="U438" s="54"/>
    </row>
    <row r="439" spans="1:21" ht="15" customHeight="1" x14ac:dyDescent="0.2">
      <c r="A439" s="70" t="s">
        <v>429</v>
      </c>
      <c r="B439" s="43" t="s">
        <v>189</v>
      </c>
      <c r="C439" s="43" t="s">
        <v>162</v>
      </c>
      <c r="D439" s="53" t="s">
        <v>249</v>
      </c>
      <c r="E439" s="36" t="s">
        <v>250</v>
      </c>
      <c r="F439" s="44" t="str">
        <f>IF(AND(ISNA(VLOOKUP(E439,DataType_Platform!A:A,1,FALSE())),ISNA(VLOOKUP(E439,BaseType!A:A,1,FALSE()))),"N","Y")</f>
        <v>Y</v>
      </c>
      <c r="G439" s="51"/>
      <c r="H439" s="57" t="s">
        <v>165</v>
      </c>
      <c r="I439" s="57" t="s">
        <v>166</v>
      </c>
      <c r="J439" s="56"/>
      <c r="K439" s="52"/>
      <c r="L439" s="52"/>
      <c r="M439" s="58" t="s">
        <v>166</v>
      </c>
      <c r="N439" s="52"/>
      <c r="O439" s="52"/>
      <c r="P439" s="54"/>
      <c r="Q439" s="54"/>
      <c r="R439" s="54"/>
      <c r="S439" s="54"/>
      <c r="T439" s="54"/>
      <c r="U439" s="54"/>
    </row>
    <row r="440" spans="1:21" ht="15" customHeight="1" x14ac:dyDescent="0.2">
      <c r="A440" s="70" t="s">
        <v>429</v>
      </c>
      <c r="B440" s="43" t="s">
        <v>189</v>
      </c>
      <c r="C440" s="43" t="s">
        <v>162</v>
      </c>
      <c r="D440" s="53" t="s">
        <v>259</v>
      </c>
      <c r="E440" s="36" t="s">
        <v>260</v>
      </c>
      <c r="F440" s="44" t="str">
        <f>IF(AND(ISNA(VLOOKUP(E440,DataType_Platform!A:A,1,FALSE())),ISNA(VLOOKUP(E440,BaseType!A:A,1,FALSE()))),"N","Y")</f>
        <v>Y</v>
      </c>
      <c r="G440" s="51"/>
      <c r="H440" s="57" t="s">
        <v>165</v>
      </c>
      <c r="I440" s="57" t="s">
        <v>166</v>
      </c>
      <c r="J440" s="56"/>
      <c r="K440" s="52"/>
      <c r="L440" s="52"/>
      <c r="M440" s="58" t="s">
        <v>166</v>
      </c>
      <c r="N440" s="52"/>
      <c r="O440" s="52"/>
      <c r="P440" s="54"/>
      <c r="Q440" s="54"/>
      <c r="R440" s="54"/>
      <c r="S440" s="54"/>
      <c r="T440" s="54"/>
      <c r="U440" s="54"/>
    </row>
    <row r="441" spans="1:21" ht="15" customHeight="1" x14ac:dyDescent="0.2">
      <c r="A441" s="70" t="s">
        <v>429</v>
      </c>
      <c r="B441" s="43" t="s">
        <v>189</v>
      </c>
      <c r="C441" s="43" t="s">
        <v>162</v>
      </c>
      <c r="D441" s="53" t="s">
        <v>261</v>
      </c>
      <c r="E441" s="36" t="s">
        <v>262</v>
      </c>
      <c r="F441" s="44" t="str">
        <f>IF(AND(ISNA(VLOOKUP(E441,DataType_Platform!A:A,1,FALSE())),ISNA(VLOOKUP(E441,BaseType!A:A,1,FALSE()))),"N","Y")</f>
        <v>Y</v>
      </c>
      <c r="G441" s="51"/>
      <c r="H441" s="57" t="s">
        <v>165</v>
      </c>
      <c r="I441" s="57" t="s">
        <v>166</v>
      </c>
      <c r="J441" s="56"/>
      <c r="K441" s="52"/>
      <c r="L441" s="52"/>
      <c r="M441" s="58" t="s">
        <v>166</v>
      </c>
      <c r="N441" s="52"/>
      <c r="O441" s="52"/>
      <c r="P441" s="54"/>
      <c r="Q441" s="54"/>
      <c r="R441" s="54"/>
      <c r="S441" s="54"/>
      <c r="T441" s="54"/>
      <c r="U441" s="54"/>
    </row>
    <row r="442" spans="1:21" ht="15" customHeight="1" x14ac:dyDescent="0.2">
      <c r="A442" s="70" t="s">
        <v>429</v>
      </c>
      <c r="B442" s="43" t="s">
        <v>189</v>
      </c>
      <c r="C442" s="43" t="s">
        <v>162</v>
      </c>
      <c r="D442" s="53" t="s">
        <v>265</v>
      </c>
      <c r="E442" s="36" t="s">
        <v>227</v>
      </c>
      <c r="F442" s="44" t="str">
        <f>IF(AND(ISNA(VLOOKUP(E442,DataType_Platform!A:A,1,FALSE())),ISNA(VLOOKUP(E442,BaseType!A:A,1,FALSE()))),"N","Y")</f>
        <v>Y</v>
      </c>
      <c r="G442" s="51"/>
      <c r="H442" s="57" t="s">
        <v>165</v>
      </c>
      <c r="I442" s="57" t="s">
        <v>166</v>
      </c>
      <c r="J442" s="56"/>
      <c r="K442" s="52"/>
      <c r="L442" s="52"/>
      <c r="M442" s="58" t="s">
        <v>166</v>
      </c>
      <c r="N442" s="52"/>
      <c r="O442" s="52"/>
      <c r="P442" s="54"/>
      <c r="Q442" s="54"/>
      <c r="R442" s="54"/>
      <c r="S442" s="54"/>
      <c r="T442" s="54"/>
      <c r="U442" s="54"/>
    </row>
    <row r="443" spans="1:21" ht="15" customHeight="1" x14ac:dyDescent="0.2">
      <c r="A443" s="70" t="s">
        <v>429</v>
      </c>
      <c r="B443" s="43" t="s">
        <v>189</v>
      </c>
      <c r="C443" s="43" t="s">
        <v>162</v>
      </c>
      <c r="D443" s="53" t="s">
        <v>336</v>
      </c>
      <c r="E443" s="36" t="s">
        <v>337</v>
      </c>
      <c r="F443" s="44" t="str">
        <f>IF(AND(ISNA(VLOOKUP(E443,DataType_Platform!A:A,1,FALSE())),ISNA(VLOOKUP(E443,BaseType!A:A,1,FALSE()))),"N","Y")</f>
        <v>Y</v>
      </c>
      <c r="G443" s="51"/>
      <c r="H443" s="57" t="s">
        <v>165</v>
      </c>
      <c r="I443" s="57" t="s">
        <v>166</v>
      </c>
      <c r="J443" s="56"/>
      <c r="K443" s="52"/>
      <c r="L443" s="52"/>
      <c r="M443" s="58" t="s">
        <v>166</v>
      </c>
      <c r="N443" s="52"/>
      <c r="O443" s="52"/>
      <c r="P443" s="54"/>
      <c r="Q443" s="54"/>
      <c r="R443" s="54"/>
      <c r="S443" s="54"/>
      <c r="T443" s="54"/>
      <c r="U443" s="54"/>
    </row>
    <row r="444" spans="1:21" ht="15" customHeight="1" x14ac:dyDescent="0.2">
      <c r="A444" s="70" t="s">
        <v>429</v>
      </c>
      <c r="B444" s="43" t="s">
        <v>189</v>
      </c>
      <c r="C444" s="43" t="s">
        <v>162</v>
      </c>
      <c r="D444" s="53" t="s">
        <v>319</v>
      </c>
      <c r="E444" s="36" t="s">
        <v>320</v>
      </c>
      <c r="F444" s="44" t="str">
        <f>IF(AND(ISNA(VLOOKUP(E444,DataType_Platform!A:A,1,FALSE())),ISNA(VLOOKUP(E444,BaseType!A:A,1,FALSE()))),"N","Y")</f>
        <v>Y</v>
      </c>
      <c r="G444" s="51"/>
      <c r="H444" s="57" t="s">
        <v>165</v>
      </c>
      <c r="I444" s="57" t="s">
        <v>166</v>
      </c>
      <c r="J444" s="56"/>
      <c r="K444" s="52"/>
      <c r="L444" s="52"/>
      <c r="M444" s="58" t="s">
        <v>166</v>
      </c>
      <c r="N444" s="52"/>
      <c r="O444" s="52"/>
      <c r="P444" s="54"/>
      <c r="Q444" s="54"/>
      <c r="R444" s="54"/>
      <c r="S444" s="54"/>
      <c r="T444" s="54"/>
      <c r="U444" s="54"/>
    </row>
    <row r="445" spans="1:21" ht="15" customHeight="1" x14ac:dyDescent="0.2">
      <c r="A445" s="70" t="s">
        <v>429</v>
      </c>
      <c r="B445" s="43" t="s">
        <v>189</v>
      </c>
      <c r="C445" s="43" t="s">
        <v>162</v>
      </c>
      <c r="D445" s="53" t="s">
        <v>317</v>
      </c>
      <c r="E445" s="36" t="s">
        <v>318</v>
      </c>
      <c r="F445" s="44" t="str">
        <f>IF(AND(ISNA(VLOOKUP(E445,DataType_Platform!A:A,1,FALSE())),ISNA(VLOOKUP(E445,BaseType!A:A,1,FALSE()))),"N","Y")</f>
        <v>Y</v>
      </c>
      <c r="G445" s="51"/>
      <c r="H445" s="57" t="s">
        <v>165</v>
      </c>
      <c r="I445" s="57" t="s">
        <v>166</v>
      </c>
      <c r="J445" s="56"/>
      <c r="K445" s="52"/>
      <c r="L445" s="52"/>
      <c r="M445" s="58" t="s">
        <v>166</v>
      </c>
      <c r="N445" s="52"/>
      <c r="O445" s="52"/>
      <c r="P445" s="54"/>
      <c r="Q445" s="54"/>
      <c r="R445" s="54"/>
      <c r="S445" s="54"/>
      <c r="T445" s="54"/>
      <c r="U445" s="54"/>
    </row>
    <row r="446" spans="1:21" ht="15" customHeight="1" x14ac:dyDescent="0.2">
      <c r="A446" s="70" t="s">
        <v>429</v>
      </c>
      <c r="B446" s="43" t="s">
        <v>189</v>
      </c>
      <c r="C446" s="43" t="s">
        <v>162</v>
      </c>
      <c r="D446" s="53" t="s">
        <v>297</v>
      </c>
      <c r="E446" s="36" t="s">
        <v>298</v>
      </c>
      <c r="F446" s="44" t="str">
        <f>IF(AND(ISNA(VLOOKUP(E446,DataType_Platform!A:A,1,FALSE())),ISNA(VLOOKUP(E446,BaseType!A:A,1,FALSE()))),"N","Y")</f>
        <v>Y</v>
      </c>
      <c r="G446" s="51"/>
      <c r="H446" s="57" t="s">
        <v>165</v>
      </c>
      <c r="I446" s="57" t="s">
        <v>166</v>
      </c>
      <c r="J446" s="56"/>
      <c r="K446" s="52"/>
      <c r="L446" s="52"/>
      <c r="M446" s="58" t="s">
        <v>166</v>
      </c>
      <c r="N446" s="52"/>
      <c r="O446" s="52"/>
      <c r="P446" s="54"/>
      <c r="Q446" s="54"/>
      <c r="R446" s="54"/>
      <c r="S446" s="54"/>
      <c r="T446" s="54"/>
      <c r="U446" s="54"/>
    </row>
    <row r="447" spans="1:21" ht="15" customHeight="1" x14ac:dyDescent="0.2">
      <c r="A447" s="70" t="s">
        <v>429</v>
      </c>
      <c r="B447" s="43" t="s">
        <v>189</v>
      </c>
      <c r="C447" s="43" t="s">
        <v>162</v>
      </c>
      <c r="D447" s="53" t="s">
        <v>346</v>
      </c>
      <c r="E447" s="36" t="s">
        <v>347</v>
      </c>
      <c r="F447" s="44" t="str">
        <f>IF(AND(ISNA(VLOOKUP(E447,DataType_Platform!A:A,1,FALSE())),ISNA(VLOOKUP(E447,BaseType!A:A,1,FALSE()))),"N","Y")</f>
        <v>Y</v>
      </c>
      <c r="G447" s="51"/>
      <c r="H447" s="57" t="s">
        <v>165</v>
      </c>
      <c r="I447" s="57" t="s">
        <v>166</v>
      </c>
      <c r="J447" s="56"/>
      <c r="K447" s="52"/>
      <c r="L447" s="52"/>
      <c r="M447" s="58" t="s">
        <v>166</v>
      </c>
      <c r="N447" s="52"/>
      <c r="O447" s="52"/>
      <c r="P447" s="54"/>
      <c r="Q447" s="54"/>
      <c r="R447" s="54"/>
      <c r="S447" s="54"/>
      <c r="T447" s="54"/>
      <c r="U447" s="54"/>
    </row>
    <row r="448" spans="1:21" ht="15" customHeight="1" x14ac:dyDescent="0.2">
      <c r="A448" s="70" t="s">
        <v>429</v>
      </c>
      <c r="B448" s="43" t="s">
        <v>189</v>
      </c>
      <c r="C448" s="43" t="s">
        <v>162</v>
      </c>
      <c r="D448" s="53" t="s">
        <v>321</v>
      </c>
      <c r="E448" s="36" t="s">
        <v>322</v>
      </c>
      <c r="F448" s="44" t="str">
        <f>IF(AND(ISNA(VLOOKUP(E448,DataType_Platform!A:A,1,FALSE())),ISNA(VLOOKUP(E448,BaseType!A:A,1,FALSE()))),"N","Y")</f>
        <v>Y</v>
      </c>
      <c r="G448" s="51"/>
      <c r="H448" s="57" t="s">
        <v>165</v>
      </c>
      <c r="I448" s="57" t="s">
        <v>166</v>
      </c>
      <c r="J448" s="56"/>
      <c r="K448" s="52"/>
      <c r="L448" s="52"/>
      <c r="M448" s="58" t="s">
        <v>166</v>
      </c>
      <c r="N448" s="52"/>
      <c r="O448" s="52"/>
      <c r="P448" s="54"/>
      <c r="Q448" s="54"/>
      <c r="R448" s="54"/>
      <c r="S448" s="54"/>
      <c r="T448" s="54"/>
      <c r="U448" s="54"/>
    </row>
    <row r="449" spans="1:21" ht="15" customHeight="1" x14ac:dyDescent="0.2">
      <c r="A449" s="70" t="s">
        <v>429</v>
      </c>
      <c r="B449" s="43" t="s">
        <v>189</v>
      </c>
      <c r="C449" s="43" t="s">
        <v>162</v>
      </c>
      <c r="D449" s="53" t="s">
        <v>342</v>
      </c>
      <c r="E449" s="36" t="s">
        <v>343</v>
      </c>
      <c r="F449" s="44" t="str">
        <f>IF(AND(ISNA(VLOOKUP(E449,DataType_Platform!A:A,1,FALSE())),ISNA(VLOOKUP(E449,BaseType!A:A,1,FALSE()))),"N","Y")</f>
        <v>Y</v>
      </c>
      <c r="G449" s="51"/>
      <c r="H449" s="57" t="s">
        <v>165</v>
      </c>
      <c r="I449" s="57" t="s">
        <v>166</v>
      </c>
      <c r="J449" s="56"/>
      <c r="K449" s="52"/>
      <c r="L449" s="52"/>
      <c r="M449" s="58" t="s">
        <v>166</v>
      </c>
      <c r="N449" s="52"/>
      <c r="O449" s="52"/>
      <c r="P449" s="54"/>
      <c r="Q449" s="54"/>
      <c r="R449" s="54"/>
      <c r="S449" s="54"/>
      <c r="T449" s="54"/>
      <c r="U449" s="54"/>
    </row>
    <row r="450" spans="1:21" ht="15" customHeight="1" x14ac:dyDescent="0.2">
      <c r="A450" s="70" t="s">
        <v>429</v>
      </c>
      <c r="B450" s="43" t="s">
        <v>189</v>
      </c>
      <c r="C450" s="43" t="s">
        <v>162</v>
      </c>
      <c r="D450" s="53" t="s">
        <v>355</v>
      </c>
      <c r="E450" s="36" t="s">
        <v>343</v>
      </c>
      <c r="F450" s="44" t="str">
        <f>IF(AND(ISNA(VLOOKUP(E450,DataType_Platform!A:A,1,FALSE())),ISNA(VLOOKUP(E450,BaseType!A:A,1,FALSE()))),"N","Y")</f>
        <v>Y</v>
      </c>
      <c r="G450" s="51"/>
      <c r="H450" s="57" t="s">
        <v>165</v>
      </c>
      <c r="I450" s="57" t="s">
        <v>166</v>
      </c>
      <c r="J450" s="56"/>
      <c r="K450" s="52"/>
      <c r="L450" s="52"/>
      <c r="M450" s="58" t="s">
        <v>166</v>
      </c>
      <c r="N450" s="52"/>
      <c r="O450" s="52"/>
      <c r="P450" s="54"/>
      <c r="Q450" s="54"/>
      <c r="R450" s="54"/>
      <c r="S450" s="54"/>
      <c r="T450" s="54"/>
      <c r="U450" s="54"/>
    </row>
    <row r="451" spans="1:21" ht="15" customHeight="1" x14ac:dyDescent="0.2">
      <c r="A451" s="70" t="s">
        <v>429</v>
      </c>
      <c r="B451" s="43" t="s">
        <v>189</v>
      </c>
      <c r="C451" s="43" t="s">
        <v>162</v>
      </c>
      <c r="D451" s="53" t="s">
        <v>356</v>
      </c>
      <c r="E451" s="36" t="s">
        <v>343</v>
      </c>
      <c r="F451" s="44" t="str">
        <f>IF(AND(ISNA(VLOOKUP(E451,DataType_Platform!A:A,1,FALSE())),ISNA(VLOOKUP(E451,BaseType!A:A,1,FALSE()))),"N","Y")</f>
        <v>Y</v>
      </c>
      <c r="G451" s="51"/>
      <c r="H451" s="57" t="s">
        <v>165</v>
      </c>
      <c r="I451" s="57" t="s">
        <v>166</v>
      </c>
      <c r="J451" s="56"/>
      <c r="K451" s="52"/>
      <c r="L451" s="52"/>
      <c r="M451" s="58" t="s">
        <v>166</v>
      </c>
      <c r="N451" s="52"/>
      <c r="O451" s="52"/>
      <c r="P451" s="54"/>
      <c r="Q451" s="54"/>
      <c r="R451" s="54"/>
      <c r="S451" s="54"/>
      <c r="T451" s="54"/>
      <c r="U451" s="54"/>
    </row>
    <row r="452" spans="1:21" ht="15" customHeight="1" x14ac:dyDescent="0.2">
      <c r="A452" s="70" t="s">
        <v>429</v>
      </c>
      <c r="B452" s="43" t="s">
        <v>189</v>
      </c>
      <c r="C452" s="43" t="s">
        <v>162</v>
      </c>
      <c r="D452" s="53" t="s">
        <v>357</v>
      </c>
      <c r="E452" s="36" t="s">
        <v>343</v>
      </c>
      <c r="F452" s="44" t="str">
        <f>IF(AND(ISNA(VLOOKUP(E452,DataType_Platform!A:A,1,FALSE())),ISNA(VLOOKUP(E452,BaseType!A:A,1,FALSE()))),"N","Y")</f>
        <v>Y</v>
      </c>
      <c r="G452" s="51"/>
      <c r="H452" s="57" t="s">
        <v>165</v>
      </c>
      <c r="I452" s="57" t="s">
        <v>166</v>
      </c>
      <c r="J452" s="56"/>
      <c r="K452" s="52"/>
      <c r="L452" s="52"/>
      <c r="M452" s="58" t="s">
        <v>166</v>
      </c>
      <c r="N452" s="52"/>
      <c r="O452" s="52"/>
      <c r="P452" s="54"/>
      <c r="Q452" s="54"/>
      <c r="R452" s="54"/>
      <c r="S452" s="54"/>
      <c r="T452" s="54"/>
      <c r="U452" s="54"/>
    </row>
    <row r="453" spans="1:21" ht="15" customHeight="1" x14ac:dyDescent="0.2">
      <c r="A453" s="70" t="s">
        <v>429</v>
      </c>
      <c r="B453" s="43" t="s">
        <v>189</v>
      </c>
      <c r="C453" s="43" t="s">
        <v>162</v>
      </c>
      <c r="D453" s="53" t="s">
        <v>305</v>
      </c>
      <c r="E453" s="36" t="s">
        <v>306</v>
      </c>
      <c r="F453" s="44" t="str">
        <f>IF(AND(ISNA(VLOOKUP(E453,DataType_Platform!A:A,1,FALSE())),ISNA(VLOOKUP(E453,BaseType!A:A,1,FALSE()))),"N","Y")</f>
        <v>Y</v>
      </c>
      <c r="G453" s="51"/>
      <c r="H453" s="57" t="s">
        <v>165</v>
      </c>
      <c r="I453" s="57" t="s">
        <v>166</v>
      </c>
      <c r="J453" s="56"/>
      <c r="K453" s="52"/>
      <c r="L453" s="52"/>
      <c r="M453" s="58" t="s">
        <v>166</v>
      </c>
      <c r="N453" s="52"/>
      <c r="O453" s="52"/>
      <c r="P453" s="54"/>
      <c r="Q453" s="54"/>
      <c r="R453" s="54"/>
      <c r="S453" s="54"/>
      <c r="T453" s="54"/>
      <c r="U453" s="54"/>
    </row>
    <row r="454" spans="1:21" ht="15" customHeight="1" x14ac:dyDescent="0.2">
      <c r="A454" s="70" t="s">
        <v>429</v>
      </c>
      <c r="B454" s="43" t="s">
        <v>189</v>
      </c>
      <c r="C454" s="43" t="s">
        <v>162</v>
      </c>
      <c r="D454" s="53" t="s">
        <v>307</v>
      </c>
      <c r="E454" s="36" t="s">
        <v>308</v>
      </c>
      <c r="F454" s="44" t="str">
        <f>IF(AND(ISNA(VLOOKUP(E454,DataType_Platform!A:A,1,FALSE())),ISNA(VLOOKUP(E454,BaseType!A:A,1,FALSE()))),"N","Y")</f>
        <v>Y</v>
      </c>
      <c r="G454" s="51"/>
      <c r="H454" s="57" t="s">
        <v>165</v>
      </c>
      <c r="I454" s="57" t="s">
        <v>166</v>
      </c>
      <c r="J454" s="56"/>
      <c r="K454" s="52"/>
      <c r="L454" s="52"/>
      <c r="M454" s="58" t="s">
        <v>166</v>
      </c>
      <c r="N454" s="52"/>
      <c r="O454" s="52"/>
      <c r="P454" s="54"/>
      <c r="Q454" s="54"/>
      <c r="R454" s="54"/>
      <c r="S454" s="54"/>
      <c r="T454" s="54"/>
      <c r="U454" s="54"/>
    </row>
    <row r="455" spans="1:21" ht="15" customHeight="1" x14ac:dyDescent="0.2">
      <c r="A455" s="70" t="s">
        <v>429</v>
      </c>
      <c r="B455" s="43" t="s">
        <v>189</v>
      </c>
      <c r="C455" s="43" t="s">
        <v>162</v>
      </c>
      <c r="D455" s="53" t="s">
        <v>309</v>
      </c>
      <c r="E455" s="36" t="s">
        <v>310</v>
      </c>
      <c r="F455" s="44" t="str">
        <f>IF(AND(ISNA(VLOOKUP(E455,DataType_Platform!A:A,1,FALSE())),ISNA(VLOOKUP(E455,BaseType!A:A,1,FALSE()))),"N","Y")</f>
        <v>Y</v>
      </c>
      <c r="G455" s="51"/>
      <c r="H455" s="57" t="s">
        <v>165</v>
      </c>
      <c r="I455" s="57" t="s">
        <v>166</v>
      </c>
      <c r="J455" s="56"/>
      <c r="K455" s="52"/>
      <c r="L455" s="52"/>
      <c r="M455" s="58" t="s">
        <v>166</v>
      </c>
      <c r="N455" s="52"/>
      <c r="O455" s="52"/>
      <c r="P455" s="54"/>
      <c r="Q455" s="54"/>
      <c r="R455" s="54"/>
      <c r="S455" s="54"/>
      <c r="T455" s="54"/>
      <c r="U455" s="54"/>
    </row>
    <row r="456" spans="1:21" ht="15" customHeight="1" x14ac:dyDescent="0.2">
      <c r="A456" s="70" t="s">
        <v>429</v>
      </c>
      <c r="B456" s="43" t="s">
        <v>189</v>
      </c>
      <c r="C456" s="43" t="s">
        <v>162</v>
      </c>
      <c r="D456" s="53" t="s">
        <v>311</v>
      </c>
      <c r="E456" s="36" t="s">
        <v>312</v>
      </c>
      <c r="F456" s="44" t="str">
        <f>IF(AND(ISNA(VLOOKUP(E456,DataType_Platform!A:A,1,FALSE())),ISNA(VLOOKUP(E456,BaseType!A:A,1,FALSE()))),"N","Y")</f>
        <v>Y</v>
      </c>
      <c r="G456" s="51"/>
      <c r="H456" s="57" t="s">
        <v>165</v>
      </c>
      <c r="I456" s="57" t="s">
        <v>166</v>
      </c>
      <c r="J456" s="56"/>
      <c r="K456" s="52"/>
      <c r="L456" s="52"/>
      <c r="M456" s="58" t="s">
        <v>166</v>
      </c>
      <c r="N456" s="52"/>
      <c r="O456" s="52"/>
      <c r="P456" s="54"/>
      <c r="Q456" s="54"/>
      <c r="R456" s="54"/>
      <c r="S456" s="54"/>
      <c r="T456" s="54"/>
      <c r="U456" s="54"/>
    </row>
    <row r="457" spans="1:21" ht="15" customHeight="1" x14ac:dyDescent="0.2">
      <c r="A457" s="70" t="s">
        <v>429</v>
      </c>
      <c r="B457" s="43" t="s">
        <v>189</v>
      </c>
      <c r="C457" s="43" t="s">
        <v>162</v>
      </c>
      <c r="D457" s="53" t="s">
        <v>313</v>
      </c>
      <c r="E457" s="36" t="s">
        <v>314</v>
      </c>
      <c r="F457" s="44" t="str">
        <f>IF(AND(ISNA(VLOOKUP(E457,DataType_Platform!A:A,1,FALSE())),ISNA(VLOOKUP(E457,BaseType!A:A,1,FALSE()))),"N","Y")</f>
        <v>Y</v>
      </c>
      <c r="G457" s="51"/>
      <c r="H457" s="57" t="s">
        <v>165</v>
      </c>
      <c r="I457" s="57" t="s">
        <v>166</v>
      </c>
      <c r="J457" s="56"/>
      <c r="K457" s="52"/>
      <c r="L457" s="52"/>
      <c r="M457" s="58" t="s">
        <v>166</v>
      </c>
      <c r="N457" s="52"/>
      <c r="O457" s="52"/>
      <c r="P457" s="54"/>
      <c r="Q457" s="54"/>
      <c r="R457" s="54"/>
      <c r="S457" s="54"/>
      <c r="T457" s="54"/>
      <c r="U457" s="54"/>
    </row>
    <row r="458" spans="1:21" ht="15" customHeight="1" x14ac:dyDescent="0.2">
      <c r="A458" s="70" t="s">
        <v>429</v>
      </c>
      <c r="B458" s="43" t="s">
        <v>189</v>
      </c>
      <c r="C458" s="43" t="s">
        <v>162</v>
      </c>
      <c r="D458" s="53" t="s">
        <v>324</v>
      </c>
      <c r="E458" s="36" t="s">
        <v>325</v>
      </c>
      <c r="F458" s="44" t="str">
        <f>IF(AND(ISNA(VLOOKUP(E458,DataType_Platform!A:A,1,FALSE())),ISNA(VLOOKUP(E458,BaseType!A:A,1,FALSE()))),"N","Y")</f>
        <v>Y</v>
      </c>
      <c r="G458" s="51"/>
      <c r="H458" s="57" t="s">
        <v>165</v>
      </c>
      <c r="I458" s="57" t="s">
        <v>166</v>
      </c>
      <c r="J458" s="56"/>
      <c r="K458" s="52"/>
      <c r="L458" s="52"/>
      <c r="M458" s="58" t="s">
        <v>166</v>
      </c>
      <c r="N458" s="52"/>
      <c r="O458" s="52"/>
      <c r="P458" s="54"/>
      <c r="Q458" s="54"/>
      <c r="R458" s="54"/>
      <c r="S458" s="54"/>
      <c r="T458" s="54"/>
      <c r="U458" s="54"/>
    </row>
    <row r="459" spans="1:21" ht="15" customHeight="1" x14ac:dyDescent="0.2">
      <c r="A459" s="70" t="s">
        <v>429</v>
      </c>
      <c r="B459" s="43" t="s">
        <v>189</v>
      </c>
      <c r="C459" s="43" t="s">
        <v>162</v>
      </c>
      <c r="D459" s="53" t="s">
        <v>326</v>
      </c>
      <c r="E459" s="36" t="s">
        <v>454</v>
      </c>
      <c r="F459" s="44" t="str">
        <f>IF(AND(ISNA(VLOOKUP(E459,DataType_Platform!A:A,1,FALSE())),ISNA(VLOOKUP(E459,BaseType!A:A,1,FALSE()))),"N","Y")</f>
        <v>Y</v>
      </c>
      <c r="G459" s="51"/>
      <c r="H459" s="57" t="s">
        <v>165</v>
      </c>
      <c r="I459" s="57" t="s">
        <v>166</v>
      </c>
      <c r="J459" s="56"/>
      <c r="K459" s="52"/>
      <c r="L459" s="52"/>
      <c r="M459" s="58" t="s">
        <v>166</v>
      </c>
      <c r="N459" s="52"/>
      <c r="O459" s="52"/>
      <c r="P459" s="54"/>
      <c r="Q459" s="54"/>
      <c r="R459" s="54"/>
      <c r="S459" s="54"/>
      <c r="T459" s="54"/>
      <c r="U459" s="54"/>
    </row>
    <row r="460" spans="1:21" ht="15" customHeight="1" x14ac:dyDescent="0.2">
      <c r="A460" s="70" t="s">
        <v>429</v>
      </c>
      <c r="B460" s="43" t="s">
        <v>189</v>
      </c>
      <c r="C460" s="43" t="s">
        <v>162</v>
      </c>
      <c r="D460" s="53" t="s">
        <v>328</v>
      </c>
      <c r="E460" s="36" t="s">
        <v>329</v>
      </c>
      <c r="F460" s="44" t="str">
        <f>IF(AND(ISNA(VLOOKUP(E460,DataType_Platform!A:A,1,FALSE())),ISNA(VLOOKUP(E460,BaseType!A:A,1,FALSE()))),"N","Y")</f>
        <v>Y</v>
      </c>
      <c r="G460" s="51"/>
      <c r="H460" s="57" t="s">
        <v>165</v>
      </c>
      <c r="I460" s="57" t="s">
        <v>166</v>
      </c>
      <c r="J460" s="56"/>
      <c r="K460" s="52"/>
      <c r="L460" s="52"/>
      <c r="M460" s="58" t="s">
        <v>166</v>
      </c>
      <c r="N460" s="52"/>
      <c r="O460" s="52"/>
      <c r="P460" s="54"/>
      <c r="Q460" s="54"/>
      <c r="R460" s="54"/>
      <c r="S460" s="54"/>
      <c r="T460" s="54"/>
      <c r="U460" s="54"/>
    </row>
    <row r="461" spans="1:21" ht="15" customHeight="1" x14ac:dyDescent="0.2">
      <c r="A461" s="70" t="s">
        <v>429</v>
      </c>
      <c r="B461" s="43" t="s">
        <v>189</v>
      </c>
      <c r="C461" s="43" t="s">
        <v>162</v>
      </c>
      <c r="D461" s="53" t="s">
        <v>330</v>
      </c>
      <c r="E461" s="36" t="s">
        <v>331</v>
      </c>
      <c r="F461" s="44" t="str">
        <f>IF(AND(ISNA(VLOOKUP(E461,DataType_Platform!A:A,1,FALSE())),ISNA(VLOOKUP(E461,BaseType!A:A,1,FALSE()))),"N","Y")</f>
        <v>Y</v>
      </c>
      <c r="G461" s="51"/>
      <c r="H461" s="57" t="s">
        <v>165</v>
      </c>
      <c r="I461" s="57" t="s">
        <v>166</v>
      </c>
      <c r="J461" s="56"/>
      <c r="K461" s="52"/>
      <c r="L461" s="52"/>
      <c r="M461" s="58" t="s">
        <v>166</v>
      </c>
      <c r="N461" s="52"/>
      <c r="O461" s="52"/>
      <c r="P461" s="54"/>
      <c r="Q461" s="54"/>
      <c r="R461" s="54"/>
      <c r="S461" s="54"/>
      <c r="T461" s="54"/>
      <c r="U461" s="54"/>
    </row>
    <row r="462" spans="1:21" ht="15" customHeight="1" x14ac:dyDescent="0.2">
      <c r="A462" s="70" t="s">
        <v>429</v>
      </c>
      <c r="B462" s="43" t="s">
        <v>189</v>
      </c>
      <c r="C462" s="43" t="s">
        <v>162</v>
      </c>
      <c r="D462" s="53" t="s">
        <v>397</v>
      </c>
      <c r="E462" s="36" t="s">
        <v>398</v>
      </c>
      <c r="F462" s="44" t="str">
        <f>IF(AND(ISNA(VLOOKUP(E462,DataType_Platform!A:A,1,FALSE())),ISNA(VLOOKUP(E462,BaseType!A:A,1,FALSE()))),"N","Y")</f>
        <v>Y</v>
      </c>
      <c r="G462" s="51"/>
      <c r="H462" s="57" t="s">
        <v>165</v>
      </c>
      <c r="I462" s="57" t="s">
        <v>166</v>
      </c>
      <c r="J462" s="56"/>
      <c r="K462" s="52"/>
      <c r="L462" s="52"/>
      <c r="M462" s="58" t="s">
        <v>166</v>
      </c>
      <c r="N462" s="52"/>
      <c r="O462" s="52"/>
      <c r="P462" s="54"/>
      <c r="Q462" s="54"/>
      <c r="R462" s="54"/>
      <c r="S462" s="54"/>
      <c r="T462" s="54"/>
      <c r="U462" s="54"/>
    </row>
    <row r="463" spans="1:21" ht="15" customHeight="1" x14ac:dyDescent="0.2">
      <c r="A463" s="70" t="s">
        <v>429</v>
      </c>
      <c r="B463" s="43" t="s">
        <v>189</v>
      </c>
      <c r="C463" s="43" t="s">
        <v>162</v>
      </c>
      <c r="D463" s="66" t="s">
        <v>210</v>
      </c>
      <c r="E463" s="11" t="s">
        <v>211</v>
      </c>
      <c r="F463" s="44" t="str">
        <f>IF(AND(ISNA(VLOOKUP(E463,DataType_Platform!A:A,1,FALSE())),ISNA(VLOOKUP(E463,BaseType!A:A,1,FALSE()))),"N","Y")</f>
        <v>Y</v>
      </c>
      <c r="G463" s="51"/>
      <c r="H463" s="57" t="s">
        <v>165</v>
      </c>
      <c r="I463" s="57" t="s">
        <v>166</v>
      </c>
      <c r="J463" s="56"/>
      <c r="K463" s="52"/>
      <c r="L463" s="52"/>
      <c r="M463" s="58" t="s">
        <v>166</v>
      </c>
      <c r="N463" s="52"/>
      <c r="O463" s="52"/>
      <c r="P463" s="54"/>
      <c r="Q463" s="54"/>
      <c r="R463" s="54"/>
      <c r="S463" s="54"/>
      <c r="T463" s="54"/>
      <c r="U463" s="54"/>
    </row>
    <row r="464" spans="1:21" ht="15" customHeight="1" x14ac:dyDescent="0.2">
      <c r="A464" s="70" t="s">
        <v>429</v>
      </c>
      <c r="B464" s="43" t="s">
        <v>189</v>
      </c>
      <c r="C464" s="43" t="s">
        <v>162</v>
      </c>
      <c r="D464" s="53" t="s">
        <v>212</v>
      </c>
      <c r="E464" s="36" t="s">
        <v>213</v>
      </c>
      <c r="F464" s="44" t="str">
        <f>IF(AND(ISNA(VLOOKUP(E464,DataType_Platform!A:A,1,FALSE())),ISNA(VLOOKUP(E464,BaseType!A:A,1,FALSE()))),"N","Y")</f>
        <v>Y</v>
      </c>
      <c r="G464" s="51"/>
      <c r="H464" s="57" t="s">
        <v>165</v>
      </c>
      <c r="I464" s="57" t="s">
        <v>166</v>
      </c>
      <c r="J464" s="56"/>
      <c r="K464" s="52"/>
      <c r="L464" s="52"/>
      <c r="M464" s="58" t="s">
        <v>166</v>
      </c>
      <c r="N464" s="52"/>
      <c r="O464" s="52"/>
      <c r="P464" s="54"/>
      <c r="Q464" s="54"/>
      <c r="R464" s="54"/>
      <c r="S464" s="54"/>
      <c r="T464" s="54"/>
      <c r="U464" s="54"/>
    </row>
    <row r="465" spans="1:21" ht="15" customHeight="1" x14ac:dyDescent="0.2">
      <c r="A465" s="70" t="s">
        <v>429</v>
      </c>
      <c r="B465" s="43" t="s">
        <v>189</v>
      </c>
      <c r="C465" s="43" t="s">
        <v>162</v>
      </c>
      <c r="D465" s="53" t="s">
        <v>399</v>
      </c>
      <c r="E465" s="36" t="s">
        <v>400</v>
      </c>
      <c r="F465" s="44" t="str">
        <f>IF(AND(ISNA(VLOOKUP(E465,DataType_Platform!A:A,1,FALSE())),ISNA(VLOOKUP(E465,BaseType!A:A,1,FALSE()))),"N","Y")</f>
        <v>Y</v>
      </c>
      <c r="G465" s="51"/>
      <c r="H465" s="57" t="s">
        <v>165</v>
      </c>
      <c r="I465" s="57" t="s">
        <v>166</v>
      </c>
      <c r="J465" s="56"/>
      <c r="K465" s="52"/>
      <c r="L465" s="52"/>
      <c r="M465" s="58" t="s">
        <v>166</v>
      </c>
      <c r="N465" s="52"/>
      <c r="O465" s="52"/>
      <c r="P465" s="54"/>
      <c r="Q465" s="54"/>
      <c r="R465" s="54"/>
      <c r="S465" s="54"/>
      <c r="T465" s="54"/>
      <c r="U465" s="54"/>
    </row>
    <row r="466" spans="1:21" ht="15" customHeight="1" x14ac:dyDescent="0.2">
      <c r="A466" s="70" t="s">
        <v>429</v>
      </c>
      <c r="B466" s="43" t="s">
        <v>189</v>
      </c>
      <c r="C466" s="43" t="s">
        <v>162</v>
      </c>
      <c r="D466" s="53" t="s">
        <v>294</v>
      </c>
      <c r="E466" s="36" t="s">
        <v>225</v>
      </c>
      <c r="F466" s="44" t="str">
        <f>IF(AND(ISNA(VLOOKUP(E466,DataType_Platform!A:A,1,FALSE())),ISNA(VLOOKUP(E466,BaseType!A:A,1,FALSE()))),"N","Y")</f>
        <v>Y</v>
      </c>
      <c r="G466" s="51"/>
      <c r="H466" s="57" t="s">
        <v>165</v>
      </c>
      <c r="I466" s="57" t="s">
        <v>166</v>
      </c>
      <c r="J466" s="56"/>
      <c r="K466" s="52"/>
      <c r="L466" s="52"/>
      <c r="M466" s="58" t="s">
        <v>166</v>
      </c>
      <c r="N466" s="52"/>
      <c r="O466" s="52"/>
      <c r="P466" s="54"/>
      <c r="Q466" s="54"/>
      <c r="R466" s="54"/>
      <c r="S466" s="54"/>
      <c r="T466" s="54"/>
      <c r="U466" s="54"/>
    </row>
    <row r="467" spans="1:21" ht="15" customHeight="1" x14ac:dyDescent="0.2">
      <c r="A467" s="70" t="s">
        <v>429</v>
      </c>
      <c r="B467" s="43" t="s">
        <v>189</v>
      </c>
      <c r="C467" s="43" t="s">
        <v>162</v>
      </c>
      <c r="D467" s="53" t="s">
        <v>295</v>
      </c>
      <c r="E467" s="36" t="s">
        <v>225</v>
      </c>
      <c r="F467" s="44" t="str">
        <f>IF(AND(ISNA(VLOOKUP(E467,DataType_Platform!A:A,1,FALSE())),ISNA(VLOOKUP(E467,BaseType!A:A,1,FALSE()))),"N","Y")</f>
        <v>Y</v>
      </c>
      <c r="G467" s="51"/>
      <c r="H467" s="57" t="s">
        <v>165</v>
      </c>
      <c r="I467" s="57" t="s">
        <v>166</v>
      </c>
      <c r="J467" s="56"/>
      <c r="K467" s="52"/>
      <c r="L467" s="52"/>
      <c r="M467" s="58" t="s">
        <v>166</v>
      </c>
      <c r="N467" s="52"/>
      <c r="O467" s="52"/>
      <c r="P467" s="54"/>
      <c r="Q467" s="54"/>
      <c r="R467" s="54"/>
      <c r="S467" s="54"/>
      <c r="T467" s="54"/>
      <c r="U467" s="54"/>
    </row>
    <row r="468" spans="1:21" ht="15" customHeight="1" x14ac:dyDescent="0.2">
      <c r="A468" s="70" t="s">
        <v>429</v>
      </c>
      <c r="B468" s="43" t="s">
        <v>189</v>
      </c>
      <c r="C468" s="43" t="s">
        <v>162</v>
      </c>
      <c r="D468" s="53" t="s">
        <v>233</v>
      </c>
      <c r="E468" s="48" t="s">
        <v>234</v>
      </c>
      <c r="F468" s="44" t="str">
        <f>IF(AND(ISNA(VLOOKUP(E468,DataType_Platform!A:A,1,FALSE())),ISNA(VLOOKUP(E468,BaseType!A:A,1,FALSE()))),"N","Y")</f>
        <v>Y</v>
      </c>
      <c r="G468" s="51"/>
      <c r="H468" s="57" t="s">
        <v>165</v>
      </c>
      <c r="I468" s="57" t="s">
        <v>166</v>
      </c>
      <c r="J468" s="56"/>
      <c r="K468" s="52"/>
      <c r="L468" s="52"/>
      <c r="M468" s="58" t="s">
        <v>166</v>
      </c>
      <c r="N468" s="52"/>
      <c r="O468" s="52"/>
      <c r="P468" s="54"/>
      <c r="Q468" s="54"/>
      <c r="R468" s="54"/>
      <c r="S468" s="54"/>
      <c r="T468" s="54"/>
      <c r="U468" s="54"/>
    </row>
    <row r="469" spans="1:21" ht="15" customHeight="1" x14ac:dyDescent="0.2">
      <c r="A469" s="70" t="s">
        <v>429</v>
      </c>
      <c r="B469" s="43" t="s">
        <v>189</v>
      </c>
      <c r="C469" s="43" t="s">
        <v>162</v>
      </c>
      <c r="D469" s="53" t="s">
        <v>216</v>
      </c>
      <c r="E469" s="48" t="s">
        <v>217</v>
      </c>
      <c r="F469" s="44" t="str">
        <f>IF(AND(ISNA(VLOOKUP(E469,DataType_Platform!A:A,1,FALSE())),ISNA(VLOOKUP(E469,BaseType!A:A,1,FALSE()))),"N","Y")</f>
        <v>Y</v>
      </c>
      <c r="G469" s="51"/>
      <c r="H469" s="57" t="s">
        <v>165</v>
      </c>
      <c r="I469" s="57" t="s">
        <v>166</v>
      </c>
      <c r="J469" s="56"/>
      <c r="K469" s="52"/>
      <c r="L469" s="52"/>
      <c r="M469" s="58" t="s">
        <v>166</v>
      </c>
      <c r="N469" s="52"/>
      <c r="O469" s="52"/>
      <c r="P469" s="54"/>
      <c r="Q469" s="54"/>
      <c r="R469" s="54"/>
      <c r="S469" s="54"/>
      <c r="T469" s="54"/>
      <c r="U469" s="54"/>
    </row>
    <row r="470" spans="1:21" ht="15" customHeight="1" x14ac:dyDescent="0.2">
      <c r="A470" s="70" t="s">
        <v>429</v>
      </c>
      <c r="B470" s="43" t="s">
        <v>189</v>
      </c>
      <c r="C470" s="43" t="s">
        <v>162</v>
      </c>
      <c r="D470" s="53" t="s">
        <v>455</v>
      </c>
      <c r="E470" s="48" t="s">
        <v>293</v>
      </c>
      <c r="F470" s="44" t="str">
        <f>IF(AND(ISNA(VLOOKUP(E470,DataType_Platform!A:A,1,FALSE())),ISNA(VLOOKUP(E470,BaseType!A:A,1,FALSE()))),"N","Y")</f>
        <v>Y</v>
      </c>
      <c r="G470" s="51"/>
      <c r="H470" s="57" t="s">
        <v>165</v>
      </c>
      <c r="I470" s="57" t="s">
        <v>166</v>
      </c>
      <c r="J470" s="56"/>
      <c r="K470" s="52"/>
      <c r="L470" s="52"/>
      <c r="M470" s="58" t="s">
        <v>166</v>
      </c>
      <c r="N470" s="52"/>
      <c r="O470" s="52"/>
      <c r="P470" s="54"/>
      <c r="Q470" s="54"/>
      <c r="R470" s="54"/>
      <c r="S470" s="54"/>
      <c r="T470" s="54"/>
      <c r="U470" s="54"/>
    </row>
    <row r="471" spans="1:21" ht="15" customHeight="1" x14ac:dyDescent="0.2">
      <c r="A471" s="38" t="s">
        <v>456</v>
      </c>
      <c r="B471" s="39" t="s">
        <v>189</v>
      </c>
      <c r="C471" s="43" t="s">
        <v>162</v>
      </c>
      <c r="D471" s="51" t="s">
        <v>183</v>
      </c>
      <c r="E471" s="119" t="s">
        <v>184</v>
      </c>
      <c r="F471" s="44" t="str">
        <f>IF(AND(ISNA(VLOOKUP(E471,DataType_Platform!A:A,1,FALSE())),ISNA(VLOOKUP(E471,BaseType!A:A,1,FALSE()))),"N","Y")</f>
        <v>Y</v>
      </c>
      <c r="G471" s="75" t="s">
        <v>457</v>
      </c>
      <c r="H471" s="40" t="s">
        <v>165</v>
      </c>
      <c r="I471" s="40" t="s">
        <v>166</v>
      </c>
      <c r="J471" s="40"/>
      <c r="K471" s="118"/>
      <c r="L471" s="118"/>
      <c r="M471" s="118"/>
      <c r="N471" s="118"/>
      <c r="O471" s="118"/>
      <c r="P471" s="42"/>
      <c r="Q471" s="42"/>
      <c r="R471" s="42"/>
      <c r="S471" s="42"/>
      <c r="T471" s="42"/>
      <c r="U471" s="42"/>
    </row>
    <row r="472" spans="1:21" ht="15" customHeight="1" x14ac:dyDescent="0.2">
      <c r="A472" s="38" t="s">
        <v>456</v>
      </c>
      <c r="B472" s="39" t="s">
        <v>189</v>
      </c>
      <c r="C472" s="43" t="s">
        <v>162</v>
      </c>
      <c r="D472" s="47" t="s">
        <v>458</v>
      </c>
      <c r="E472" s="48" t="s">
        <v>234</v>
      </c>
      <c r="F472" s="44" t="str">
        <f>IF(AND(ISNA(VLOOKUP(E472,DataType_Platform!A:A,1,FALSE())),ISNA(VLOOKUP(E472,BaseType!A:A,1,FALSE()))),"N","Y")</f>
        <v>Y</v>
      </c>
      <c r="G472" s="45" t="s">
        <v>459</v>
      </c>
      <c r="H472" s="46" t="s">
        <v>165</v>
      </c>
      <c r="I472" s="40" t="s">
        <v>166</v>
      </c>
      <c r="J472" s="46"/>
      <c r="K472" s="41"/>
      <c r="L472" s="41"/>
      <c r="M472" s="41"/>
      <c r="N472" s="41"/>
      <c r="O472" s="41"/>
      <c r="P472" s="42"/>
      <c r="Q472" s="42"/>
      <c r="R472" s="42"/>
      <c r="S472" s="42"/>
      <c r="T472" s="42"/>
      <c r="U472" s="42"/>
    </row>
    <row r="473" spans="1:21" ht="15" customHeight="1" x14ac:dyDescent="0.2">
      <c r="A473" s="38" t="s">
        <v>456</v>
      </c>
      <c r="B473" s="39" t="s">
        <v>189</v>
      </c>
      <c r="C473" s="43" t="s">
        <v>162</v>
      </c>
      <c r="D473" s="47" t="s">
        <v>460</v>
      </c>
      <c r="E473" s="48" t="s">
        <v>293</v>
      </c>
      <c r="F473" s="44" t="str">
        <f>IF(AND(ISNA(VLOOKUP(E473,DataType_Platform!A:A,1,FALSE())),ISNA(VLOOKUP(E473,BaseType!A:A,1,FALSE()))),"N","Y")</f>
        <v>Y</v>
      </c>
      <c r="G473" s="45" t="s">
        <v>461</v>
      </c>
      <c r="H473" s="46" t="s">
        <v>165</v>
      </c>
      <c r="I473" s="40" t="s">
        <v>166</v>
      </c>
      <c r="J473" s="46"/>
      <c r="K473" s="41"/>
      <c r="L473" s="41"/>
      <c r="M473" s="41"/>
      <c r="N473" s="41"/>
      <c r="O473" s="41"/>
      <c r="P473" s="42"/>
      <c r="Q473" s="42"/>
      <c r="R473" s="42"/>
      <c r="S473" s="42"/>
      <c r="T473" s="42"/>
      <c r="U473" s="42"/>
    </row>
    <row r="474" spans="1:21" ht="15" customHeight="1" x14ac:dyDescent="0.2">
      <c r="A474" s="38" t="s">
        <v>456</v>
      </c>
      <c r="B474" s="39" t="s">
        <v>189</v>
      </c>
      <c r="C474" s="43" t="s">
        <v>162</v>
      </c>
      <c r="D474" s="91" t="s">
        <v>216</v>
      </c>
      <c r="E474" s="48" t="s">
        <v>217</v>
      </c>
      <c r="F474" s="44" t="str">
        <f>IF(AND(ISNA(VLOOKUP(E474,DataType_Platform!A:A,1,FALSE())),ISNA(VLOOKUP(E474,BaseType!A:A,1,FALSE()))),"N","Y")</f>
        <v>Y</v>
      </c>
      <c r="G474" s="45" t="s">
        <v>462</v>
      </c>
      <c r="H474" s="46" t="s">
        <v>165</v>
      </c>
      <c r="I474" s="40" t="s">
        <v>166</v>
      </c>
      <c r="J474" s="46"/>
      <c r="K474" s="41"/>
      <c r="L474" s="41"/>
      <c r="M474" s="41"/>
      <c r="N474" s="41"/>
      <c r="O474" s="41"/>
      <c r="P474" s="42"/>
      <c r="Q474" s="42"/>
      <c r="R474" s="42"/>
      <c r="S474" s="42"/>
      <c r="T474" s="42"/>
      <c r="U474" s="42"/>
    </row>
    <row r="475" spans="1:21" ht="15" customHeight="1" x14ac:dyDescent="0.2">
      <c r="A475" s="38" t="s">
        <v>456</v>
      </c>
      <c r="B475" s="39" t="s">
        <v>189</v>
      </c>
      <c r="C475" s="43" t="s">
        <v>162</v>
      </c>
      <c r="D475" s="91" t="s">
        <v>247</v>
      </c>
      <c r="E475" s="48" t="s">
        <v>248</v>
      </c>
      <c r="F475" s="44" t="str">
        <f>IF(AND(ISNA(VLOOKUP(E475,DataType_Platform!A:A,1,FALSE())),ISNA(VLOOKUP(E475,BaseType!A:A,1,FALSE()))),"N","Y")</f>
        <v>Y</v>
      </c>
      <c r="G475" s="45" t="s">
        <v>463</v>
      </c>
      <c r="H475" s="46" t="s">
        <v>165</v>
      </c>
      <c r="I475" s="40" t="s">
        <v>166</v>
      </c>
      <c r="J475" s="46"/>
      <c r="K475" s="41"/>
      <c r="L475" s="41"/>
      <c r="M475" s="41"/>
      <c r="N475" s="41"/>
      <c r="O475" s="41"/>
      <c r="P475" s="42"/>
      <c r="Q475" s="42"/>
      <c r="R475" s="42"/>
      <c r="S475" s="42"/>
      <c r="T475" s="42"/>
      <c r="U475" s="42"/>
    </row>
    <row r="476" spans="1:21" ht="15" customHeight="1" x14ac:dyDescent="0.2">
      <c r="A476" s="38" t="s">
        <v>456</v>
      </c>
      <c r="B476" s="39" t="s">
        <v>189</v>
      </c>
      <c r="C476" s="43" t="s">
        <v>162</v>
      </c>
      <c r="D476" s="91" t="s">
        <v>202</v>
      </c>
      <c r="E476" s="48" t="s">
        <v>203</v>
      </c>
      <c r="F476" s="44" t="str">
        <f>IF(AND(ISNA(VLOOKUP(E476,DataType_Platform!A:A,1,FALSE())),ISNA(VLOOKUP(E476,BaseType!A:A,1,FALSE()))),"N","Y")</f>
        <v>Y</v>
      </c>
      <c r="G476" s="45" t="s">
        <v>464</v>
      </c>
      <c r="H476" s="46" t="s">
        <v>165</v>
      </c>
      <c r="I476" s="40" t="s">
        <v>166</v>
      </c>
      <c r="J476" s="46"/>
      <c r="K476" s="41"/>
      <c r="L476" s="41"/>
      <c r="M476" s="41"/>
      <c r="N476" s="41"/>
      <c r="O476" s="41"/>
      <c r="P476" s="42"/>
      <c r="Q476" s="42"/>
      <c r="R476" s="42"/>
      <c r="S476" s="42"/>
      <c r="T476" s="42"/>
      <c r="U476" s="42"/>
    </row>
    <row r="477" spans="1:21" ht="15" customHeight="1" x14ac:dyDescent="0.2">
      <c r="A477" s="38" t="s">
        <v>456</v>
      </c>
      <c r="B477" s="39" t="s">
        <v>189</v>
      </c>
      <c r="C477" s="43" t="s">
        <v>162</v>
      </c>
      <c r="D477" s="47" t="s">
        <v>455</v>
      </c>
      <c r="E477" s="48" t="s">
        <v>293</v>
      </c>
      <c r="F477" s="44" t="str">
        <f>IF(AND(ISNA(VLOOKUP(E477,DataType_Platform!A:A,1,FALSE())),ISNA(VLOOKUP(E477,BaseType!A:A,1,FALSE()))),"N","Y")</f>
        <v>Y</v>
      </c>
      <c r="G477" s="45" t="s">
        <v>465</v>
      </c>
      <c r="H477" s="46" t="s">
        <v>165</v>
      </c>
      <c r="I477" s="40" t="s">
        <v>166</v>
      </c>
      <c r="J477" s="46"/>
      <c r="K477" s="41"/>
      <c r="L477" s="41"/>
      <c r="M477" s="41"/>
      <c r="N477" s="41"/>
      <c r="O477" s="41"/>
      <c r="P477" s="42"/>
      <c r="Q477" s="42"/>
      <c r="R477" s="42"/>
      <c r="S477" s="42"/>
      <c r="T477" s="42"/>
      <c r="U477" s="42"/>
    </row>
    <row r="478" spans="1:21" ht="15" customHeight="1" x14ac:dyDescent="0.2">
      <c r="A478" s="38" t="s">
        <v>456</v>
      </c>
      <c r="B478" s="39" t="s">
        <v>189</v>
      </c>
      <c r="C478" s="43" t="s">
        <v>162</v>
      </c>
      <c r="D478" s="91" t="s">
        <v>405</v>
      </c>
      <c r="E478" s="48" t="s">
        <v>406</v>
      </c>
      <c r="F478" s="44" t="str">
        <f>IF(AND(ISNA(VLOOKUP(E478,DataType_Platform!A:A,1,FALSE())),ISNA(VLOOKUP(E478,BaseType!A:A,1,FALSE()))),"N","Y")</f>
        <v>Y</v>
      </c>
      <c r="G478" s="45" t="s">
        <v>407</v>
      </c>
      <c r="H478" s="46" t="s">
        <v>165</v>
      </c>
      <c r="I478" s="40" t="s">
        <v>166</v>
      </c>
      <c r="J478" s="46"/>
      <c r="K478" s="41"/>
      <c r="L478" s="41"/>
      <c r="M478" s="41"/>
      <c r="N478" s="41"/>
      <c r="O478" s="41"/>
      <c r="P478" s="42"/>
      <c r="Q478" s="42"/>
      <c r="R478" s="42"/>
      <c r="S478" s="42"/>
      <c r="T478" s="42"/>
      <c r="U478" s="42"/>
    </row>
    <row r="479" spans="1:21" ht="15" customHeight="1" x14ac:dyDescent="0.2">
      <c r="A479" s="38" t="s">
        <v>456</v>
      </c>
      <c r="B479" s="39" t="s">
        <v>189</v>
      </c>
      <c r="C479" s="43" t="s">
        <v>162</v>
      </c>
      <c r="D479" s="91" t="s">
        <v>276</v>
      </c>
      <c r="E479" s="48" t="s">
        <v>277</v>
      </c>
      <c r="F479" s="44" t="str">
        <f>IF(AND(ISNA(VLOOKUP(E479,DataType_Platform!A:A,1,FALSE())),ISNA(VLOOKUP(E479,BaseType!A:A,1,FALSE()))),"N","Y")</f>
        <v>Y</v>
      </c>
      <c r="G479" s="45" t="s">
        <v>466</v>
      </c>
      <c r="H479" s="46" t="s">
        <v>165</v>
      </c>
      <c r="I479" s="40" t="s">
        <v>166</v>
      </c>
      <c r="J479" s="46"/>
      <c r="K479" s="41"/>
      <c r="L479" s="41"/>
      <c r="M479" s="41"/>
      <c r="N479" s="41"/>
      <c r="O479" s="41"/>
      <c r="P479" s="42"/>
      <c r="Q479" s="42"/>
      <c r="R479" s="42"/>
      <c r="S479" s="42"/>
      <c r="T479" s="42"/>
      <c r="U479" s="42"/>
    </row>
    <row r="480" spans="1:21" ht="15" customHeight="1" x14ac:dyDescent="0.2">
      <c r="A480" s="38" t="s">
        <v>456</v>
      </c>
      <c r="B480" s="39" t="s">
        <v>189</v>
      </c>
      <c r="C480" s="43" t="s">
        <v>236</v>
      </c>
      <c r="D480" s="47" t="s">
        <v>467</v>
      </c>
      <c r="E480" s="48" t="s">
        <v>238</v>
      </c>
      <c r="F480" s="44" t="str">
        <f>IF(AND(ISNA(VLOOKUP(E480,DataType_Platform!A:A,1,FALSE())),ISNA(VLOOKUP(E480,BaseType!A:A,1,FALSE()))),"N","Y")</f>
        <v>Y</v>
      </c>
      <c r="G480" s="45" t="s">
        <v>239</v>
      </c>
      <c r="H480" s="46" t="s">
        <v>240</v>
      </c>
      <c r="I480" s="40" t="s">
        <v>166</v>
      </c>
      <c r="J480" s="46"/>
      <c r="K480" s="41"/>
      <c r="L480" s="41" t="s">
        <v>166</v>
      </c>
      <c r="M480" s="41"/>
      <c r="N480" s="41"/>
      <c r="O480" s="41"/>
      <c r="P480" s="42"/>
      <c r="Q480" s="42"/>
      <c r="R480" s="42"/>
      <c r="S480" s="42"/>
      <c r="T480" s="42"/>
      <c r="U480" s="42"/>
    </row>
    <row r="481" spans="1:21" ht="15" customHeight="1" x14ac:dyDescent="0.2">
      <c r="A481" s="38" t="s">
        <v>456</v>
      </c>
      <c r="B481" s="39" t="s">
        <v>189</v>
      </c>
      <c r="C481" s="43" t="s">
        <v>236</v>
      </c>
      <c r="D481" s="47" t="s">
        <v>468</v>
      </c>
      <c r="E481" s="48" t="s">
        <v>238</v>
      </c>
      <c r="F481" s="44" t="str">
        <f>IF(AND(ISNA(VLOOKUP(E481,DataType_Platform!A:A,1,FALSE())),ISNA(VLOOKUP(E481,BaseType!A:A,1,FALSE()))),"N","Y")</f>
        <v>Y</v>
      </c>
      <c r="G481" s="45" t="s">
        <v>242</v>
      </c>
      <c r="H481" s="46" t="s">
        <v>240</v>
      </c>
      <c r="I481" s="40" t="s">
        <v>166</v>
      </c>
      <c r="J481" s="46"/>
      <c r="K481" s="41"/>
      <c r="L481" s="41" t="s">
        <v>166</v>
      </c>
      <c r="M481" s="41"/>
      <c r="N481" s="41"/>
      <c r="O481" s="41"/>
      <c r="P481" s="42"/>
      <c r="Q481" s="42"/>
      <c r="R481" s="42"/>
      <c r="S481" s="42"/>
      <c r="T481" s="42"/>
      <c r="U481" s="42"/>
    </row>
    <row r="482" spans="1:21" ht="15" customHeight="1" x14ac:dyDescent="0.2">
      <c r="A482" s="38" t="s">
        <v>456</v>
      </c>
      <c r="B482" s="39" t="s">
        <v>189</v>
      </c>
      <c r="C482" s="43" t="s">
        <v>236</v>
      </c>
      <c r="D482" s="47" t="s">
        <v>469</v>
      </c>
      <c r="E482" s="48" t="s">
        <v>238</v>
      </c>
      <c r="F482" s="44" t="str">
        <f>IF(AND(ISNA(VLOOKUP(E482,DataType_Platform!A:A,1,FALSE())),ISNA(VLOOKUP(E482,BaseType!A:A,1,FALSE()))),"N","Y")</f>
        <v>Y</v>
      </c>
      <c r="G482" s="45" t="s">
        <v>244</v>
      </c>
      <c r="H482" s="46" t="s">
        <v>240</v>
      </c>
      <c r="I482" s="40" t="s">
        <v>166</v>
      </c>
      <c r="J482" s="46"/>
      <c r="K482" s="41"/>
      <c r="L482" s="41" t="s">
        <v>166</v>
      </c>
      <c r="M482" s="41"/>
      <c r="N482" s="41"/>
      <c r="O482" s="41"/>
      <c r="P482" s="42"/>
      <c r="Q482" s="42"/>
      <c r="R482" s="42"/>
      <c r="S482" s="42"/>
      <c r="T482" s="42"/>
      <c r="U482" s="42"/>
    </row>
    <row r="483" spans="1:21" ht="15" customHeight="1" x14ac:dyDescent="0.2">
      <c r="A483" s="38" t="s">
        <v>456</v>
      </c>
      <c r="B483" s="39" t="s">
        <v>189</v>
      </c>
      <c r="C483" s="43" t="s">
        <v>162</v>
      </c>
      <c r="D483" s="110" t="s">
        <v>181</v>
      </c>
      <c r="E483" s="11" t="s">
        <v>182</v>
      </c>
      <c r="F483" s="44" t="str">
        <f>IF(AND(ISNA(VLOOKUP(E483,DataType_Platform!A:A,1,FALSE())),ISNA(VLOOKUP(E483,BaseType!A:A,1,FALSE()))),"N","Y")</f>
        <v>Y</v>
      </c>
      <c r="G483" s="45"/>
      <c r="H483" s="46" t="s">
        <v>165</v>
      </c>
      <c r="I483" s="46" t="s">
        <v>166</v>
      </c>
      <c r="J483" s="46"/>
      <c r="K483" s="41"/>
      <c r="L483" s="41"/>
      <c r="M483" s="41"/>
      <c r="N483" s="41"/>
      <c r="O483" s="41"/>
      <c r="P483" s="42"/>
      <c r="Q483" s="42"/>
      <c r="R483" s="42"/>
      <c r="S483" s="42"/>
      <c r="T483" s="42"/>
      <c r="U483" s="42"/>
    </row>
    <row r="484" spans="1:21" ht="15" customHeight="1" x14ac:dyDescent="0.2">
      <c r="A484" s="38" t="s">
        <v>456</v>
      </c>
      <c r="B484" s="43" t="s">
        <v>161</v>
      </c>
      <c r="C484" s="43" t="s">
        <v>162</v>
      </c>
      <c r="D484" s="91" t="s">
        <v>470</v>
      </c>
      <c r="E484" s="48" t="s">
        <v>293</v>
      </c>
      <c r="F484" s="44" t="str">
        <f>IF(AND(ISNA(VLOOKUP(E484,DataType_Platform!A:A,1,FALSE())),ISNA(VLOOKUP(E484,BaseType!A:A,1,FALSE()))),"N","Y")</f>
        <v>Y</v>
      </c>
      <c r="G484" s="45" t="s">
        <v>471</v>
      </c>
      <c r="H484" s="46" t="s">
        <v>165</v>
      </c>
      <c r="I484" s="40" t="s">
        <v>166</v>
      </c>
      <c r="J484" s="46"/>
      <c r="K484" s="41"/>
      <c r="L484" s="41"/>
      <c r="M484" s="41"/>
      <c r="N484" s="41"/>
      <c r="O484" s="41"/>
      <c r="P484" s="42"/>
      <c r="Q484" s="42"/>
      <c r="R484" s="42"/>
      <c r="S484" s="42"/>
      <c r="T484" s="42"/>
      <c r="U484" s="42"/>
    </row>
    <row r="485" spans="1:21" ht="15" customHeight="1" x14ac:dyDescent="0.2">
      <c r="A485" s="38" t="s">
        <v>456</v>
      </c>
      <c r="B485" s="43" t="s">
        <v>161</v>
      </c>
      <c r="C485" s="43" t="s">
        <v>162</v>
      </c>
      <c r="D485" s="91" t="s">
        <v>233</v>
      </c>
      <c r="E485" s="48" t="s">
        <v>234</v>
      </c>
      <c r="F485" s="44" t="str">
        <f>IF(AND(ISNA(VLOOKUP(E485,DataType_Platform!A:A,1,FALSE())),ISNA(VLOOKUP(E485,BaseType!A:A,1,FALSE()))),"N","Y")</f>
        <v>Y</v>
      </c>
      <c r="G485" s="45" t="s">
        <v>235</v>
      </c>
      <c r="H485" s="46" t="s">
        <v>165</v>
      </c>
      <c r="I485" s="40" t="s">
        <v>166</v>
      </c>
      <c r="J485" s="46"/>
      <c r="K485" s="41"/>
      <c r="L485" s="41"/>
      <c r="M485" s="41"/>
      <c r="N485" s="41"/>
      <c r="O485" s="41"/>
      <c r="P485" s="42"/>
      <c r="Q485" s="42"/>
      <c r="R485" s="42"/>
      <c r="S485" s="42"/>
      <c r="T485" s="42"/>
      <c r="U485" s="42"/>
    </row>
  </sheetData>
  <phoneticPr fontId="21" type="noConversion"/>
  <conditionalFormatting sqref="F1:F1048576">
    <cfRule type="cellIs" dxfId="49" priority="2" stopIfTrue="1" operator="equal">
      <formula>"N"</formula>
    </cfRule>
  </conditionalFormatting>
  <conditionalFormatting sqref="F1:F1048576">
    <cfRule type="cellIs" dxfId="48" priority="3" stopIfTrue="1" operator="equal">
      <formula>"Y"</formula>
    </cfRule>
  </conditionalFormatting>
  <conditionalFormatting sqref="B1:C1048576">
    <cfRule type="cellIs" dxfId="47" priority="4" stopIfTrue="1" operator="equal">
      <formula>"Outport"</formula>
    </cfRule>
  </conditionalFormatting>
  <conditionalFormatting sqref="B1:C1048576">
    <cfRule type="cellIs" dxfId="46" priority="5" stopIfTrue="1" operator="equal">
      <formula>"Inport"</formula>
    </cfRule>
  </conditionalFormatting>
  <dataValidations count="6">
    <dataValidation type="list" allowBlank="1" showErrorMessage="1" sqref="H28:H31 H471:H485">
      <formula1>"Explict,Implict,Async,Sync"</formula1>
    </dataValidation>
    <dataValidation type="list" allowBlank="1" showErrorMessage="1" sqref="H32:H470 H2:H27">
      <formula1>"Explict,Implict"</formula1>
    </dataValidation>
    <dataValidation type="list" allowBlank="1" showErrorMessage="1" sqref="L28:L31 L471:L485 M2:M485 I2:I485">
      <formula1>"Y,N"</formula1>
    </dataValidation>
    <dataValidation type="list" allowBlank="1" showErrorMessage="1" sqref="C2:C485">
      <formula1>"S/R,C/S"</formula1>
    </dataValidation>
    <dataValidation type="list" allowBlank="1" showErrorMessage="1" sqref="K2:K485">
      <formula1>"Network,Actuator,Sensor,NVM,TiMgr,Internal,Diag,Communication,ModCtrl"</formula1>
    </dataValidation>
    <dataValidation type="list" allowBlank="1" showErrorMessage="1" sqref="B1:B485">
      <formula1>"Inport,Outport"</formula1>
    </dataValidation>
  </dataValidations>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2226"/>
  <sheetViews>
    <sheetView workbookViewId="0">
      <pane ySplit="1" topLeftCell="A2" activePane="bottomLeft" state="frozen"/>
      <selection pane="bottomLeft"/>
    </sheetView>
  </sheetViews>
  <sheetFormatPr defaultColWidth="14" defaultRowHeight="12.75" x14ac:dyDescent="0.2"/>
  <cols>
    <col min="1" max="1" width="46" customWidth="1"/>
    <col min="2" max="2" width="11" customWidth="1"/>
    <col min="3" max="3" width="41" customWidth="1"/>
    <col min="4" max="4" width="26" customWidth="1"/>
    <col min="5" max="5" width="17" customWidth="1"/>
    <col min="6" max="6" width="8" customWidth="1"/>
    <col min="7" max="7" width="58" customWidth="1"/>
    <col min="8" max="13" width="12" customWidth="1"/>
    <col min="14" max="20" width="9" customWidth="1"/>
  </cols>
  <sheetData>
    <row r="1" spans="1:20" ht="15" customHeight="1" x14ac:dyDescent="0.2">
      <c r="A1" s="221" t="s">
        <v>472</v>
      </c>
      <c r="B1" s="218" t="s">
        <v>473</v>
      </c>
      <c r="C1" s="218" t="s">
        <v>474</v>
      </c>
      <c r="D1" s="218" t="s">
        <v>475</v>
      </c>
      <c r="E1" s="219" t="s">
        <v>476</v>
      </c>
      <c r="F1" s="218" t="s">
        <v>477</v>
      </c>
      <c r="G1" s="220" t="s">
        <v>152</v>
      </c>
      <c r="H1" s="222" t="s">
        <v>478</v>
      </c>
      <c r="I1" s="222" t="s">
        <v>479</v>
      </c>
      <c r="J1" s="222" t="s">
        <v>480</v>
      </c>
      <c r="K1" s="222" t="s">
        <v>481</v>
      </c>
      <c r="L1" s="217" t="s">
        <v>482</v>
      </c>
      <c r="M1" s="217" t="s">
        <v>483</v>
      </c>
      <c r="N1" s="140"/>
      <c r="O1" s="140"/>
      <c r="P1" s="140"/>
      <c r="Q1" s="140"/>
      <c r="R1" s="140"/>
      <c r="S1" s="140"/>
      <c r="T1" s="140"/>
    </row>
    <row r="2" spans="1:20" ht="15" customHeight="1" x14ac:dyDescent="0.2">
      <c r="A2" s="143" t="s">
        <v>209</v>
      </c>
      <c r="B2" s="143" t="str">
        <f>IF(ISBLANK(A2),"",IF(AND(ISNA(VLOOKUP(A2,Interface_Platform!E:E,1,FALSE())),ISNA(VLOOKUP(A2,D:D,1,FALSE()))),"N","Y"))</f>
        <v>Y</v>
      </c>
      <c r="C2" s="75"/>
      <c r="D2" s="143" t="s">
        <v>484</v>
      </c>
      <c r="E2" s="40"/>
      <c r="F2" s="143" t="str">
        <f>IF(AND(ISNA(VLOOKUP(D2,A:A,1,FALSE())),ISNA(VLOOKUP(D2,BaseType!A:A,1,FALSE())),D2&lt;&gt;"Struct"),"N","Y")</f>
        <v>Y</v>
      </c>
      <c r="G2" s="145"/>
      <c r="H2" s="139">
        <v>0</v>
      </c>
      <c r="I2" s="139">
        <v>0</v>
      </c>
      <c r="J2" s="139">
        <v>0</v>
      </c>
      <c r="K2" s="139">
        <v>0</v>
      </c>
      <c r="L2" s="143">
        <v>0</v>
      </c>
      <c r="M2" s="143">
        <v>0</v>
      </c>
      <c r="N2" s="140"/>
      <c r="O2" s="140"/>
      <c r="P2" s="140"/>
      <c r="Q2" s="140"/>
      <c r="R2" s="140"/>
      <c r="S2" s="140"/>
      <c r="T2" s="140"/>
    </row>
    <row r="3" spans="1:20" ht="15" customHeight="1" x14ac:dyDescent="0.2">
      <c r="A3" s="141"/>
      <c r="B3" s="143" t="str">
        <f>IF(ISBLANK(A3),"",IF(AND(ISNA(VLOOKUP(A3,Interface_Platform!E:E,1,FALSE())),ISNA(VLOOKUP(A3,D:D,1,FALSE()))),"N","Y"))</f>
        <v/>
      </c>
      <c r="C3" s="143" t="s">
        <v>485</v>
      </c>
      <c r="D3" s="143" t="s">
        <v>293</v>
      </c>
      <c r="E3" s="142">
        <v>1</v>
      </c>
      <c r="F3" s="143" t="str">
        <f>IF(AND(ISNA(VLOOKUP(D3,A:A,1,FALSE())),ISNA(VLOOKUP(D3,BaseType!A:A,1,FALSE())),D3&lt;&gt;"Struct"),"N","Y")</f>
        <v>Y</v>
      </c>
      <c r="G3" s="145"/>
      <c r="H3" s="139">
        <v>0</v>
      </c>
      <c r="I3" s="139">
        <v>0</v>
      </c>
      <c r="J3" s="139">
        <v>0</v>
      </c>
      <c r="K3" s="139">
        <v>0</v>
      </c>
      <c r="L3" s="143">
        <v>0</v>
      </c>
      <c r="M3" s="143">
        <v>0</v>
      </c>
      <c r="N3" s="140"/>
      <c r="O3" s="140"/>
      <c r="P3" s="140"/>
      <c r="Q3" s="140"/>
      <c r="R3" s="140"/>
      <c r="S3" s="140"/>
      <c r="T3" s="140"/>
    </row>
    <row r="4" spans="1:20" ht="15" customHeight="1" x14ac:dyDescent="0.2">
      <c r="A4" s="141"/>
      <c r="B4" s="143" t="str">
        <f>IF(ISBLANK(A4),"",IF(AND(ISNA(VLOOKUP(A4,Interface_Platform!E:E,1,FALSE())),ISNA(VLOOKUP(A4,D:D,1,FALSE()))),"N","Y"))</f>
        <v/>
      </c>
      <c r="C4" s="143" t="s">
        <v>486</v>
      </c>
      <c r="D4" s="143" t="s">
        <v>293</v>
      </c>
      <c r="E4" s="142">
        <v>1</v>
      </c>
      <c r="F4" s="143" t="str">
        <f>IF(AND(ISNA(VLOOKUP(D4,A:A,1,FALSE())),ISNA(VLOOKUP(D4,BaseType!A:A,1,FALSE())),D4&lt;&gt;"Struct"),"N","Y")</f>
        <v>Y</v>
      </c>
      <c r="G4" s="145"/>
      <c r="H4" s="139">
        <v>0</v>
      </c>
      <c r="I4" s="139">
        <v>0</v>
      </c>
      <c r="J4" s="139">
        <v>0</v>
      </c>
      <c r="K4" s="139">
        <v>0</v>
      </c>
      <c r="L4" s="143">
        <v>0</v>
      </c>
      <c r="M4" s="143">
        <v>0</v>
      </c>
      <c r="N4" s="140"/>
      <c r="O4" s="140"/>
      <c r="P4" s="140"/>
      <c r="Q4" s="140"/>
      <c r="R4" s="140"/>
      <c r="S4" s="140"/>
      <c r="T4" s="140"/>
    </row>
    <row r="5" spans="1:20" ht="15" customHeight="1" x14ac:dyDescent="0.2">
      <c r="A5" s="141"/>
      <c r="B5" s="143" t="str">
        <f>IF(ISBLANK(A5),"",IF(AND(ISNA(VLOOKUP(A5,Interface_Platform!E:E,1,FALSE())),ISNA(VLOOKUP(A5,D:D,1,FALSE()))),"N","Y"))</f>
        <v/>
      </c>
      <c r="C5" s="143" t="s">
        <v>487</v>
      </c>
      <c r="D5" s="143" t="s">
        <v>193</v>
      </c>
      <c r="E5" s="142">
        <v>1</v>
      </c>
      <c r="F5" s="143" t="str">
        <f>IF(AND(ISNA(VLOOKUP(D5,A:A,1,FALSE())),ISNA(VLOOKUP(D5,BaseType!A:A,1,FALSE())),D5&lt;&gt;"Struct"),"N","Y")</f>
        <v>Y</v>
      </c>
      <c r="G5" s="145" t="s">
        <v>488</v>
      </c>
      <c r="H5" s="139">
        <v>0</v>
      </c>
      <c r="I5" s="139">
        <v>0</v>
      </c>
      <c r="J5" s="139">
        <v>0</v>
      </c>
      <c r="K5" s="139">
        <v>0</v>
      </c>
      <c r="L5" s="143">
        <v>0</v>
      </c>
      <c r="M5" s="143">
        <v>0</v>
      </c>
      <c r="N5" s="140"/>
      <c r="O5" s="140"/>
      <c r="P5" s="140"/>
      <c r="Q5" s="140"/>
      <c r="R5" s="140"/>
      <c r="S5" s="140"/>
      <c r="T5" s="140"/>
    </row>
    <row r="6" spans="1:20" ht="15" customHeight="1" x14ac:dyDescent="0.2">
      <c r="A6" s="141"/>
      <c r="B6" s="143" t="str">
        <f>IF(ISBLANK(A6),"",IF(AND(ISNA(VLOOKUP(A6,Interface_Platform!E:E,1,FALSE())),ISNA(VLOOKUP(A6,D:D,1,FALSE()))),"N","Y"))</f>
        <v/>
      </c>
      <c r="C6" s="143" t="s">
        <v>489</v>
      </c>
      <c r="D6" s="143" t="s">
        <v>193</v>
      </c>
      <c r="E6" s="142">
        <v>1</v>
      </c>
      <c r="F6" s="143" t="str">
        <f>IF(AND(ISNA(VLOOKUP(D6,A:A,1,FALSE())),ISNA(VLOOKUP(D6,BaseType!A:A,1,FALSE())),D6&lt;&gt;"Struct"),"N","Y")</f>
        <v>Y</v>
      </c>
      <c r="G6" s="145" t="s">
        <v>490</v>
      </c>
      <c r="H6" s="139">
        <v>0</v>
      </c>
      <c r="I6" s="139">
        <v>0</v>
      </c>
      <c r="J6" s="139">
        <v>0</v>
      </c>
      <c r="K6" s="139">
        <v>0</v>
      </c>
      <c r="L6" s="143">
        <v>0</v>
      </c>
      <c r="M6" s="143">
        <v>0</v>
      </c>
      <c r="N6" s="140"/>
      <c r="O6" s="140"/>
      <c r="P6" s="140"/>
      <c r="Q6" s="140"/>
      <c r="R6" s="140"/>
      <c r="S6" s="140"/>
      <c r="T6" s="140"/>
    </row>
    <row r="7" spans="1:20" ht="15" customHeight="1" x14ac:dyDescent="0.2">
      <c r="A7" s="141"/>
      <c r="B7" s="143"/>
      <c r="C7" s="148" t="s">
        <v>491</v>
      </c>
      <c r="D7" s="143" t="s">
        <v>193</v>
      </c>
      <c r="E7" s="142">
        <v>1</v>
      </c>
      <c r="F7" s="143" t="str">
        <f>IF(AND(ISNA(VLOOKUP(D7,A:A,1,FALSE())),ISNA(VLOOKUP(D7,BaseType!A:A,1,FALSE())),D7&lt;&gt;"Struct"),"N","Y")</f>
        <v>Y</v>
      </c>
      <c r="G7" s="145" t="s">
        <v>492</v>
      </c>
      <c r="H7" s="139"/>
      <c r="I7" s="139"/>
      <c r="J7" s="139"/>
      <c r="K7" s="139"/>
      <c r="L7" s="143"/>
      <c r="M7" s="143"/>
      <c r="N7" s="140"/>
      <c r="O7" s="140"/>
      <c r="P7" s="140"/>
      <c r="Q7" s="140"/>
      <c r="R7" s="140"/>
      <c r="S7" s="140"/>
      <c r="T7" s="140"/>
    </row>
    <row r="8" spans="1:20" ht="15" customHeight="1" x14ac:dyDescent="0.2">
      <c r="A8" s="141"/>
      <c r="B8" s="143"/>
      <c r="C8" s="148" t="s">
        <v>493</v>
      </c>
      <c r="D8" s="143" t="s">
        <v>193</v>
      </c>
      <c r="E8" s="142">
        <v>1</v>
      </c>
      <c r="F8" s="143" t="str">
        <f>IF(AND(ISNA(VLOOKUP(D8,A:A,1,FALSE())),ISNA(VLOOKUP(D8,BaseType!A:A,1,FALSE())),D8&lt;&gt;"Struct"),"N","Y")</f>
        <v>Y</v>
      </c>
      <c r="G8" s="145" t="s">
        <v>494</v>
      </c>
      <c r="H8" s="139"/>
      <c r="I8" s="139"/>
      <c r="J8" s="139"/>
      <c r="K8" s="139"/>
      <c r="L8" s="143"/>
      <c r="M8" s="143"/>
      <c r="N8" s="140"/>
      <c r="O8" s="140"/>
      <c r="P8" s="140"/>
      <c r="Q8" s="140"/>
      <c r="R8" s="140"/>
      <c r="S8" s="140"/>
      <c r="T8" s="140"/>
    </row>
    <row r="9" spans="1:20" ht="15" customHeight="1" x14ac:dyDescent="0.2">
      <c r="A9" s="141"/>
      <c r="B9" s="143"/>
      <c r="C9" s="148" t="s">
        <v>495</v>
      </c>
      <c r="D9" s="148" t="s">
        <v>193</v>
      </c>
      <c r="E9" s="154">
        <v>1</v>
      </c>
      <c r="F9" s="144" t="str">
        <f>IF(AND(ISNA(VLOOKUP(D9,A:A,1,FALSE())),ISNA(VLOOKUP(D9,BaseType!A:A,1,FALSE())),D9&lt;&gt;"Struct"),"N","Y")</f>
        <v>Y</v>
      </c>
      <c r="G9" s="145" t="s">
        <v>496</v>
      </c>
      <c r="H9" s="139"/>
      <c r="I9" s="139"/>
      <c r="J9" s="139"/>
      <c r="K9" s="139"/>
      <c r="L9" s="143"/>
      <c r="M9" s="143"/>
      <c r="N9" s="140"/>
      <c r="O9" s="140"/>
      <c r="P9" s="140"/>
      <c r="Q9" s="140"/>
      <c r="R9" s="140"/>
      <c r="S9" s="140"/>
      <c r="T9" s="140"/>
    </row>
    <row r="10" spans="1:20" ht="15" customHeight="1" x14ac:dyDescent="0.2">
      <c r="A10" s="141"/>
      <c r="B10" s="143"/>
      <c r="C10" s="143" t="s">
        <v>497</v>
      </c>
      <c r="D10" s="148" t="s">
        <v>193</v>
      </c>
      <c r="E10" s="154">
        <v>1</v>
      </c>
      <c r="F10" s="144" t="str">
        <f>IF(AND(ISNA(VLOOKUP(D10,A:A,1,FALSE())),ISNA(VLOOKUP(D10,BaseType!A:A,1,FALSE())),D10&lt;&gt;"Struct"),"N","Y")</f>
        <v>Y</v>
      </c>
      <c r="G10" s="145" t="s">
        <v>498</v>
      </c>
      <c r="H10" s="139"/>
      <c r="I10" s="139"/>
      <c r="J10" s="139"/>
      <c r="K10" s="139"/>
      <c r="L10" s="143"/>
      <c r="M10" s="143"/>
      <c r="N10" s="140"/>
      <c r="O10" s="140"/>
      <c r="P10" s="140"/>
      <c r="Q10" s="140"/>
      <c r="R10" s="140"/>
      <c r="S10" s="140"/>
      <c r="T10" s="140"/>
    </row>
    <row r="11" spans="1:20" ht="15" customHeight="1" x14ac:dyDescent="0.2">
      <c r="A11" s="141"/>
      <c r="B11" s="143"/>
      <c r="C11" s="48" t="s">
        <v>499</v>
      </c>
      <c r="D11" s="148" t="s">
        <v>193</v>
      </c>
      <c r="E11" s="154">
        <v>1</v>
      </c>
      <c r="F11" s="144" t="str">
        <f>IF(AND(ISNA(VLOOKUP(D11,A:A,1,FALSE())),ISNA(VLOOKUP(D11,BaseType!A:A,1,FALSE())),D11&lt;&gt;"Struct"),"N","Y")</f>
        <v>Y</v>
      </c>
      <c r="G11" s="145" t="s">
        <v>500</v>
      </c>
      <c r="H11" s="139"/>
      <c r="I11" s="139"/>
      <c r="J11" s="139"/>
      <c r="K11" s="139"/>
      <c r="L11" s="143"/>
      <c r="M11" s="143"/>
      <c r="N11" s="140"/>
      <c r="O11" s="140"/>
      <c r="P11" s="140"/>
      <c r="Q11" s="140"/>
      <c r="R11" s="140"/>
      <c r="S11" s="140"/>
      <c r="T11" s="140"/>
    </row>
    <row r="12" spans="1:20" ht="15" customHeight="1" x14ac:dyDescent="0.2">
      <c r="A12" s="141"/>
      <c r="B12" s="143"/>
      <c r="C12" s="48" t="s">
        <v>501</v>
      </c>
      <c r="D12" s="148" t="s">
        <v>193</v>
      </c>
      <c r="E12" s="154">
        <v>1</v>
      </c>
      <c r="F12" s="144" t="str">
        <f>IF(AND(ISNA(VLOOKUP(D12,A:A,1,FALSE())),ISNA(VLOOKUP(D12,BaseType!A:A,1,FALSE())),D12&lt;&gt;"Struct"),"N","Y")</f>
        <v>Y</v>
      </c>
      <c r="G12" s="145" t="s">
        <v>502</v>
      </c>
      <c r="H12" s="139"/>
      <c r="I12" s="139"/>
      <c r="J12" s="139"/>
      <c r="K12" s="139"/>
      <c r="L12" s="143"/>
      <c r="M12" s="143"/>
      <c r="N12" s="140"/>
      <c r="O12" s="140"/>
      <c r="P12" s="140"/>
      <c r="Q12" s="140"/>
      <c r="R12" s="140"/>
      <c r="S12" s="140"/>
      <c r="T12" s="140"/>
    </row>
    <row r="13" spans="1:20" ht="15" customHeight="1" x14ac:dyDescent="0.2">
      <c r="A13" s="141"/>
      <c r="B13" s="143" t="str">
        <f>IF(ISBLANK(A13),"",IF(AND(ISNA(VLOOKUP(A13,Interface_Platform!E:E,1,FALSE())),ISNA(VLOOKUP(A13,D:D,1,FALSE()))),"N","Y"))</f>
        <v/>
      </c>
      <c r="C13" s="180" t="s">
        <v>503</v>
      </c>
      <c r="D13" s="180" t="s">
        <v>193</v>
      </c>
      <c r="E13" s="188">
        <v>2</v>
      </c>
      <c r="F13" s="143" t="str">
        <f>IF(AND(ISNA(VLOOKUP(D13,A:A,1,FALSE())),ISNA(VLOOKUP(D13,BaseType!A:A,1,FALSE())),D13&lt;&gt;"Struct"),"N","Y")</f>
        <v>Y</v>
      </c>
      <c r="G13" s="145" t="s">
        <v>504</v>
      </c>
      <c r="H13" s="139">
        <v>0</v>
      </c>
      <c r="I13" s="139">
        <v>0</v>
      </c>
      <c r="J13" s="139">
        <v>0</v>
      </c>
      <c r="K13" s="139">
        <v>0</v>
      </c>
      <c r="L13" s="143">
        <v>0</v>
      </c>
      <c r="M13" s="143">
        <v>0</v>
      </c>
      <c r="N13" s="140"/>
      <c r="O13" s="140"/>
      <c r="P13" s="140"/>
      <c r="Q13" s="140"/>
      <c r="R13" s="140"/>
      <c r="S13" s="140"/>
      <c r="T13" s="140"/>
    </row>
    <row r="14" spans="1:20" ht="15" customHeight="1" x14ac:dyDescent="0.2">
      <c r="A14" s="141"/>
      <c r="B14" s="143" t="str">
        <f>IF(ISBLANK(A14),"",IF(AND(ISNA(VLOOKUP(A14,Interface_Platform!E:E,1,FALSE())),ISNA(VLOOKUP(A14,D:D,1,FALSE()))),"N","Y"))</f>
        <v/>
      </c>
      <c r="C14" s="143" t="s">
        <v>505</v>
      </c>
      <c r="D14" s="143" t="s">
        <v>193</v>
      </c>
      <c r="E14" s="142">
        <v>1</v>
      </c>
      <c r="F14" s="143" t="str">
        <f>IF(AND(ISNA(VLOOKUP(D14,A:A,1,FALSE())),ISNA(VLOOKUP(D14,BaseType!A:A,1,FALSE())),D14&lt;&gt;"Struct"),"N","Y")</f>
        <v>Y</v>
      </c>
      <c r="G14" s="145" t="s">
        <v>506</v>
      </c>
      <c r="H14" s="139">
        <v>0</v>
      </c>
      <c r="I14" s="139">
        <v>0</v>
      </c>
      <c r="J14" s="139">
        <v>0</v>
      </c>
      <c r="K14" s="139">
        <v>0</v>
      </c>
      <c r="L14" s="143">
        <v>0</v>
      </c>
      <c r="M14" s="143">
        <v>0</v>
      </c>
      <c r="N14" s="140"/>
      <c r="O14" s="140"/>
      <c r="P14" s="140"/>
      <c r="Q14" s="140"/>
      <c r="R14" s="140"/>
      <c r="S14" s="140"/>
      <c r="T14" s="140"/>
    </row>
    <row r="15" spans="1:20" ht="15" customHeight="1" x14ac:dyDescent="0.2">
      <c r="A15" s="91"/>
      <c r="B15" s="148" t="str">
        <f>IF(ISBLANK(A15),"",IF(AND(ISNA(VLOOKUP(A15,Interface_Platform!E:E,1,FALSE())),ISNA(VLOOKUP(A15,D:D,1,FALSE()))),"N","Y"))</f>
        <v/>
      </c>
      <c r="C15" s="48" t="s">
        <v>507</v>
      </c>
      <c r="D15" s="148" t="s">
        <v>193</v>
      </c>
      <c r="E15" s="154">
        <v>1</v>
      </c>
      <c r="F15" s="144" t="str">
        <f>IF(AND(ISNA(VLOOKUP(D15,A:A,1,FALSE())),ISNA(VLOOKUP(D15,BaseType!A:A,1,FALSE())),D15&lt;&gt;"Struct"),"N","Y")</f>
        <v>Y</v>
      </c>
      <c r="G15" s="150"/>
      <c r="H15" s="152">
        <v>0</v>
      </c>
      <c r="I15" s="152">
        <v>0</v>
      </c>
      <c r="J15" s="152">
        <v>0</v>
      </c>
      <c r="K15" s="152">
        <v>0</v>
      </c>
      <c r="L15" s="148">
        <v>0</v>
      </c>
      <c r="M15" s="148">
        <v>0</v>
      </c>
      <c r="N15" s="42"/>
      <c r="O15" s="42"/>
      <c r="P15" s="42"/>
      <c r="Q15" s="42"/>
      <c r="R15" s="42"/>
      <c r="S15" s="42"/>
      <c r="T15" s="42"/>
    </row>
    <row r="16" spans="1:20" ht="15" customHeight="1" x14ac:dyDescent="0.2">
      <c r="A16" s="141"/>
      <c r="B16" s="143" t="str">
        <f>IF(ISBLANK(A16),"",IF(AND(ISNA(VLOOKUP(A16,Interface_Platform!E:E,1,FALSE())),ISNA(VLOOKUP(A16,D:D,1,FALSE()))),"N","Y"))</f>
        <v/>
      </c>
      <c r="C16" s="143" t="s">
        <v>508</v>
      </c>
      <c r="D16" s="143" t="s">
        <v>193</v>
      </c>
      <c r="E16" s="142">
        <v>1</v>
      </c>
      <c r="F16" s="143" t="str">
        <f>IF(AND(ISNA(VLOOKUP(D16,A:A,1,FALSE())),ISNA(VLOOKUP(D16,BaseType!A:A,1,FALSE())),D16&lt;&gt;"Struct"),"N","Y")</f>
        <v>Y</v>
      </c>
      <c r="G16" s="145" t="s">
        <v>9</v>
      </c>
      <c r="H16" s="139">
        <v>0</v>
      </c>
      <c r="I16" s="139">
        <v>0</v>
      </c>
      <c r="J16" s="139">
        <v>0</v>
      </c>
      <c r="K16" s="139">
        <v>0</v>
      </c>
      <c r="L16" s="143">
        <v>0</v>
      </c>
      <c r="M16" s="143">
        <v>0</v>
      </c>
      <c r="N16" s="140"/>
      <c r="O16" s="140"/>
      <c r="P16" s="140"/>
      <c r="Q16" s="140"/>
      <c r="R16" s="140"/>
      <c r="S16" s="140"/>
      <c r="T16" s="140"/>
    </row>
    <row r="17" spans="1:20" ht="15" customHeight="1" x14ac:dyDescent="0.2">
      <c r="A17" s="141"/>
      <c r="B17" s="143" t="str">
        <f>IF(ISBLANK(A17),"",IF(AND(ISNA(VLOOKUP(A17,Interface_Platform!E:E,1,FALSE())),ISNA(VLOOKUP(A17,D:D,1,FALSE()))),"N","Y"))</f>
        <v/>
      </c>
      <c r="C17" s="143" t="s">
        <v>509</v>
      </c>
      <c r="D17" s="143" t="s">
        <v>193</v>
      </c>
      <c r="E17" s="142">
        <v>1</v>
      </c>
      <c r="F17" s="143" t="str">
        <f>IF(AND(ISNA(VLOOKUP(D17,A:A,1,FALSE())),ISNA(VLOOKUP(D17,BaseType!A:A,1,FALSE())),D17&lt;&gt;"Struct"),"N","Y")</f>
        <v>Y</v>
      </c>
      <c r="G17" s="145" t="s">
        <v>510</v>
      </c>
      <c r="H17" s="139">
        <v>0</v>
      </c>
      <c r="I17" s="139">
        <v>0</v>
      </c>
      <c r="J17" s="139">
        <v>0</v>
      </c>
      <c r="K17" s="139">
        <v>0</v>
      </c>
      <c r="L17" s="143">
        <v>0</v>
      </c>
      <c r="M17" s="143">
        <v>0</v>
      </c>
      <c r="N17" s="140"/>
      <c r="O17" s="140"/>
      <c r="P17" s="140"/>
      <c r="Q17" s="140"/>
      <c r="R17" s="140"/>
      <c r="S17" s="140"/>
      <c r="T17" s="140"/>
    </row>
    <row r="18" spans="1:20" ht="15" customHeight="1" x14ac:dyDescent="0.2">
      <c r="A18" s="141"/>
      <c r="B18" s="143" t="str">
        <f>IF(ISBLANK(A18),"",IF(AND(ISNA(VLOOKUP(A18,Interface_Platform!E:E,1,FALSE())),ISNA(VLOOKUP(A18,D:D,1,FALSE()))),"N","Y"))</f>
        <v/>
      </c>
      <c r="C18" s="143" t="s">
        <v>511</v>
      </c>
      <c r="D18" s="143" t="s">
        <v>193</v>
      </c>
      <c r="E18" s="142">
        <v>1</v>
      </c>
      <c r="F18" s="143" t="str">
        <f>IF(AND(ISNA(VLOOKUP(D18,A:A,1,FALSE())),ISNA(VLOOKUP(D18,BaseType!A:A,1,FALSE())),D18&lt;&gt;"Struct"),"N","Y")</f>
        <v>Y</v>
      </c>
      <c r="G18" s="145"/>
      <c r="H18" s="139">
        <v>0</v>
      </c>
      <c r="I18" s="139">
        <v>0</v>
      </c>
      <c r="J18" s="139">
        <v>0</v>
      </c>
      <c r="K18" s="139">
        <v>0</v>
      </c>
      <c r="L18" s="143">
        <v>0</v>
      </c>
      <c r="M18" s="143">
        <v>0</v>
      </c>
      <c r="N18" s="140"/>
      <c r="O18" s="140"/>
      <c r="P18" s="140"/>
      <c r="Q18" s="140"/>
      <c r="R18" s="140"/>
      <c r="S18" s="140"/>
      <c r="T18" s="140"/>
    </row>
    <row r="19" spans="1:20" ht="15" customHeight="1" x14ac:dyDescent="0.2">
      <c r="A19" s="141"/>
      <c r="B19" s="143" t="str">
        <f>IF(ISBLANK(A19),"",IF(AND(ISNA(VLOOKUP(A19,Interface_Platform!E:E,1,FALSE())),ISNA(VLOOKUP(A19,D:D,1,FALSE()))),"N","Y"))</f>
        <v/>
      </c>
      <c r="C19" s="143" t="s">
        <v>512</v>
      </c>
      <c r="D19" s="143" t="s">
        <v>193</v>
      </c>
      <c r="E19" s="142">
        <v>1</v>
      </c>
      <c r="F19" s="143" t="str">
        <f>IF(AND(ISNA(VLOOKUP(D19,A:A,1,FALSE())),ISNA(VLOOKUP(D19,BaseType!A:A,1,FALSE())),D19&lt;&gt;"Struct"),"N","Y")</f>
        <v>Y</v>
      </c>
      <c r="G19" s="145" t="s">
        <v>513</v>
      </c>
      <c r="H19" s="139">
        <v>0</v>
      </c>
      <c r="I19" s="139">
        <v>0</v>
      </c>
      <c r="J19" s="139">
        <v>0</v>
      </c>
      <c r="K19" s="139">
        <v>0</v>
      </c>
      <c r="L19" s="143">
        <v>0</v>
      </c>
      <c r="M19" s="143">
        <v>0</v>
      </c>
      <c r="N19" s="140"/>
      <c r="O19" s="140"/>
      <c r="P19" s="140"/>
      <c r="Q19" s="140"/>
      <c r="R19" s="140"/>
      <c r="S19" s="140"/>
      <c r="T19" s="140"/>
    </row>
    <row r="20" spans="1:20" ht="15" customHeight="1" x14ac:dyDescent="0.2">
      <c r="A20" s="143" t="s">
        <v>316</v>
      </c>
      <c r="B20" s="143" t="str">
        <f>IF(ISBLANK(A20),"",IF(AND(ISNA(VLOOKUP(A20,Interface_Platform!E:E,1,FALSE())),ISNA(VLOOKUP(A20,D:D,1,FALSE()))),"N","Y"))</f>
        <v>Y</v>
      </c>
      <c r="C20" s="75"/>
      <c r="D20" s="143" t="s">
        <v>484</v>
      </c>
      <c r="E20" s="40"/>
      <c r="F20" s="143" t="str">
        <f>IF(AND(ISNA(VLOOKUP(D20,A:A,1,FALSE())),ISNA(VLOOKUP(D20,BaseType!A:A,1,FALSE())),D20&lt;&gt;"Struct"),"N","Y")</f>
        <v>Y</v>
      </c>
      <c r="G20" s="145"/>
      <c r="H20" s="139">
        <v>0</v>
      </c>
      <c r="I20" s="139">
        <v>0</v>
      </c>
      <c r="J20" s="139">
        <v>0</v>
      </c>
      <c r="K20" s="139">
        <v>0</v>
      </c>
      <c r="L20" s="143">
        <v>0</v>
      </c>
      <c r="M20" s="143">
        <v>0</v>
      </c>
      <c r="N20" s="140"/>
      <c r="O20" s="140"/>
      <c r="P20" s="140"/>
      <c r="Q20" s="140"/>
      <c r="R20" s="140"/>
      <c r="S20" s="140"/>
      <c r="T20" s="140"/>
    </row>
    <row r="21" spans="1:20" ht="15" customHeight="1" x14ac:dyDescent="0.2">
      <c r="A21" s="141"/>
      <c r="B21" s="143" t="str">
        <f>IF(ISBLANK(A21),"",IF(AND(ISNA(VLOOKUP(A21,Interface_Platform!E:E,1,FALSE())),ISNA(VLOOKUP(A21,D:D,1,FALSE()))),"N","Y"))</f>
        <v/>
      </c>
      <c r="C21" s="143" t="s">
        <v>514</v>
      </c>
      <c r="D21" s="143" t="s">
        <v>293</v>
      </c>
      <c r="E21" s="142">
        <v>1</v>
      </c>
      <c r="F21" s="143" t="str">
        <f>IF(AND(ISNA(VLOOKUP(D21,A:A,1,FALSE())),ISNA(VLOOKUP(D21,BaseType!A:A,1,FALSE())),D21&lt;&gt;"Struct"),"N","Y")</f>
        <v>Y</v>
      </c>
      <c r="G21" s="145"/>
      <c r="H21" s="139">
        <v>0</v>
      </c>
      <c r="I21" s="139">
        <v>0</v>
      </c>
      <c r="J21" s="139">
        <v>0</v>
      </c>
      <c r="K21" s="139">
        <v>0</v>
      </c>
      <c r="L21" s="143">
        <v>0</v>
      </c>
      <c r="M21" s="143">
        <v>0</v>
      </c>
      <c r="N21" s="140"/>
      <c r="O21" s="140"/>
      <c r="P21" s="140"/>
      <c r="Q21" s="140"/>
      <c r="R21" s="140"/>
      <c r="S21" s="140"/>
      <c r="T21" s="140"/>
    </row>
    <row r="22" spans="1:20" ht="15" customHeight="1" x14ac:dyDescent="0.2">
      <c r="A22" s="141"/>
      <c r="B22" s="143" t="str">
        <f>IF(ISBLANK(A22),"",IF(AND(ISNA(VLOOKUP(A22,Interface_Platform!E:E,1,FALSE())),ISNA(VLOOKUP(A22,D:D,1,FALSE()))),"N","Y"))</f>
        <v/>
      </c>
      <c r="C22" s="143" t="s">
        <v>515</v>
      </c>
      <c r="D22" s="143" t="s">
        <v>193</v>
      </c>
      <c r="E22" s="142">
        <v>1</v>
      </c>
      <c r="F22" s="143" t="str">
        <f>IF(AND(ISNA(VLOOKUP(D22,A:A,1,FALSE())),ISNA(VLOOKUP(D22,BaseType!A:A,1,FALSE())),D22&lt;&gt;"Struct"),"N","Y")</f>
        <v>Y</v>
      </c>
      <c r="G22" s="145"/>
      <c r="H22" s="139">
        <v>0</v>
      </c>
      <c r="I22" s="139">
        <v>0</v>
      </c>
      <c r="J22" s="139">
        <v>0</v>
      </c>
      <c r="K22" s="139">
        <v>0</v>
      </c>
      <c r="L22" s="143">
        <v>0</v>
      </c>
      <c r="M22" s="143">
        <v>0</v>
      </c>
      <c r="N22" s="140"/>
      <c r="O22" s="140"/>
      <c r="P22" s="140"/>
      <c r="Q22" s="140"/>
      <c r="R22" s="140"/>
      <c r="S22" s="140"/>
      <c r="T22" s="140"/>
    </row>
    <row r="23" spans="1:20" ht="15" customHeight="1" x14ac:dyDescent="0.2">
      <c r="A23" s="141"/>
      <c r="B23" s="143" t="str">
        <f>IF(ISBLANK(A23),"",IF(AND(ISNA(VLOOKUP(A23,Interface_Platform!E:E,1,FALSE())),ISNA(VLOOKUP(A23,D:D,1,FALSE()))),"N","Y"))</f>
        <v/>
      </c>
      <c r="C23" s="143" t="s">
        <v>516</v>
      </c>
      <c r="D23" s="143" t="s">
        <v>193</v>
      </c>
      <c r="E23" s="142">
        <v>1</v>
      </c>
      <c r="F23" s="143" t="str">
        <f>IF(AND(ISNA(VLOOKUP(D23,A:A,1,FALSE())),ISNA(VLOOKUP(D23,BaseType!A:A,1,FALSE())),D23&lt;&gt;"Struct"),"N","Y")</f>
        <v>Y</v>
      </c>
      <c r="G23" s="145"/>
      <c r="H23" s="139">
        <v>0</v>
      </c>
      <c r="I23" s="139">
        <v>0</v>
      </c>
      <c r="J23" s="139">
        <v>0</v>
      </c>
      <c r="K23" s="139">
        <v>0</v>
      </c>
      <c r="L23" s="143">
        <v>0</v>
      </c>
      <c r="M23" s="143">
        <v>0</v>
      </c>
      <c r="N23" s="140"/>
      <c r="O23" s="140"/>
      <c r="P23" s="140"/>
      <c r="Q23" s="140"/>
      <c r="R23" s="140"/>
      <c r="S23" s="140"/>
      <c r="T23" s="140"/>
    </row>
    <row r="24" spans="1:20" ht="15" customHeight="1" x14ac:dyDescent="0.2">
      <c r="A24" s="141"/>
      <c r="B24" s="143" t="str">
        <f>IF(ISBLANK(A24),"",IF(AND(ISNA(VLOOKUP(A24,Interface_Platform!E:E,1,FALSE())),ISNA(VLOOKUP(A24,D:D,1,FALSE()))),"N","Y"))</f>
        <v/>
      </c>
      <c r="C24" s="143" t="s">
        <v>517</v>
      </c>
      <c r="D24" s="143" t="s">
        <v>225</v>
      </c>
      <c r="E24" s="142">
        <v>1</v>
      </c>
      <c r="F24" s="143" t="str">
        <f>IF(AND(ISNA(VLOOKUP(D24,A:A,1,FALSE())),ISNA(VLOOKUP(D24,BaseType!A:A,1,FALSE())),D24&lt;&gt;"Struct"),"N","Y")</f>
        <v>Y</v>
      </c>
      <c r="G24" s="145"/>
      <c r="H24" s="139">
        <v>0</v>
      </c>
      <c r="I24" s="139">
        <v>0</v>
      </c>
      <c r="J24" s="139">
        <v>0</v>
      </c>
      <c r="K24" s="139">
        <v>0</v>
      </c>
      <c r="L24" s="143">
        <v>0</v>
      </c>
      <c r="M24" s="143">
        <v>0</v>
      </c>
      <c r="N24" s="140"/>
      <c r="O24" s="140"/>
      <c r="P24" s="140"/>
      <c r="Q24" s="140"/>
      <c r="R24" s="140"/>
      <c r="S24" s="140"/>
      <c r="T24" s="140"/>
    </row>
    <row r="25" spans="1:20" ht="15" customHeight="1" x14ac:dyDescent="0.2">
      <c r="A25" s="141"/>
      <c r="B25" s="143" t="str">
        <f>IF(ISBLANK(A25),"",IF(AND(ISNA(VLOOKUP(A25,Interface_Platform!E:E,1,FALSE())),ISNA(VLOOKUP(A25,D:D,1,FALSE()))),"N","Y"))</f>
        <v/>
      </c>
      <c r="C25" s="143" t="s">
        <v>518</v>
      </c>
      <c r="D25" s="143" t="s">
        <v>225</v>
      </c>
      <c r="E25" s="142">
        <v>1</v>
      </c>
      <c r="F25" s="143" t="str">
        <f>IF(AND(ISNA(VLOOKUP(D25,A:A,1,FALSE())),ISNA(VLOOKUP(D25,BaseType!A:A,1,FALSE())),D25&lt;&gt;"Struct"),"N","Y")</f>
        <v>Y</v>
      </c>
      <c r="G25" s="145"/>
      <c r="H25" s="139">
        <v>0</v>
      </c>
      <c r="I25" s="139">
        <v>0</v>
      </c>
      <c r="J25" s="139">
        <v>0</v>
      </c>
      <c r="K25" s="139">
        <v>0</v>
      </c>
      <c r="L25" s="143">
        <v>0</v>
      </c>
      <c r="M25" s="143">
        <v>0</v>
      </c>
      <c r="N25" s="140"/>
      <c r="O25" s="140"/>
      <c r="P25" s="140"/>
      <c r="Q25" s="140"/>
      <c r="R25" s="140"/>
      <c r="S25" s="140"/>
      <c r="T25" s="140"/>
    </row>
    <row r="26" spans="1:20" ht="15" customHeight="1" x14ac:dyDescent="0.2">
      <c r="A26" s="141"/>
      <c r="B26" s="143" t="str">
        <f>IF(ISBLANK(A26),"",IF(AND(ISNA(VLOOKUP(A26,Interface_Platform!E:E,1,FALSE())),ISNA(VLOOKUP(A26,D:D,1,FALSE()))),"N","Y"))</f>
        <v/>
      </c>
      <c r="C26" s="143" t="s">
        <v>519</v>
      </c>
      <c r="D26" s="143" t="s">
        <v>225</v>
      </c>
      <c r="E26" s="142">
        <v>1</v>
      </c>
      <c r="F26" s="143" t="str">
        <f>IF(AND(ISNA(VLOOKUP(D26,A:A,1,FALSE())),ISNA(VLOOKUP(D26,BaseType!A:A,1,FALSE())),D26&lt;&gt;"Struct"),"N","Y")</f>
        <v>Y</v>
      </c>
      <c r="G26" s="145"/>
      <c r="H26" s="139">
        <v>0</v>
      </c>
      <c r="I26" s="139">
        <v>0</v>
      </c>
      <c r="J26" s="139">
        <v>0</v>
      </c>
      <c r="K26" s="139">
        <v>0</v>
      </c>
      <c r="L26" s="143">
        <v>0</v>
      </c>
      <c r="M26" s="143">
        <v>0</v>
      </c>
      <c r="N26" s="140"/>
      <c r="O26" s="140"/>
      <c r="P26" s="140"/>
      <c r="Q26" s="140"/>
      <c r="R26" s="140"/>
      <c r="S26" s="140"/>
      <c r="T26" s="140"/>
    </row>
    <row r="27" spans="1:20" ht="15" customHeight="1" x14ac:dyDescent="0.2">
      <c r="A27" s="143" t="s">
        <v>352</v>
      </c>
      <c r="B27" s="143" t="str">
        <f>IF(ISBLANK(A27),"",IF(AND(ISNA(VLOOKUP(A27,Interface_Platform!E:E,1,FALSE())),ISNA(VLOOKUP(A27,D:D,1,FALSE()))),"N","Y"))</f>
        <v>Y</v>
      </c>
      <c r="C27" s="75"/>
      <c r="D27" s="143" t="s">
        <v>484</v>
      </c>
      <c r="E27" s="40"/>
      <c r="F27" s="143" t="str">
        <f>IF(AND(ISNA(VLOOKUP(D27,A:A,1,FALSE())),ISNA(VLOOKUP(D27,BaseType!A:A,1,FALSE())),D27&lt;&gt;"Struct"),"N","Y")</f>
        <v>Y</v>
      </c>
      <c r="G27" s="145"/>
      <c r="H27" s="139">
        <v>0</v>
      </c>
      <c r="I27" s="139">
        <v>0</v>
      </c>
      <c r="J27" s="139">
        <v>0</v>
      </c>
      <c r="K27" s="139">
        <v>0</v>
      </c>
      <c r="L27" s="143">
        <v>0</v>
      </c>
      <c r="M27" s="143">
        <v>0</v>
      </c>
      <c r="N27" s="140"/>
      <c r="O27" s="140"/>
      <c r="P27" s="140"/>
      <c r="Q27" s="140"/>
      <c r="R27" s="140"/>
      <c r="S27" s="140"/>
      <c r="T27" s="140"/>
    </row>
    <row r="28" spans="1:20" ht="15" customHeight="1" x14ac:dyDescent="0.2">
      <c r="A28" s="141"/>
      <c r="B28" s="143" t="str">
        <f>IF(ISBLANK(A28),"",IF(AND(ISNA(VLOOKUP(A28,Interface_Platform!E:E,1,FALSE())),ISNA(VLOOKUP(A28,D:D,1,FALSE()))),"N","Y"))</f>
        <v/>
      </c>
      <c r="C28" s="143" t="s">
        <v>520</v>
      </c>
      <c r="D28" s="143" t="s">
        <v>193</v>
      </c>
      <c r="E28" s="142">
        <v>1</v>
      </c>
      <c r="F28" s="143" t="str">
        <f>IF(AND(ISNA(VLOOKUP(D28,A:A,1,FALSE())),ISNA(VLOOKUP(D28,BaseType!A:A,1,FALSE())),D28&lt;&gt;"Struct"),"N","Y")</f>
        <v>Y</v>
      </c>
      <c r="G28" s="145"/>
      <c r="H28" s="139">
        <v>0</v>
      </c>
      <c r="I28" s="139">
        <v>0</v>
      </c>
      <c r="J28" s="139">
        <v>0</v>
      </c>
      <c r="K28" s="139">
        <v>0</v>
      </c>
      <c r="L28" s="143">
        <v>0</v>
      </c>
      <c r="M28" s="143">
        <v>0</v>
      </c>
      <c r="N28" s="140"/>
      <c r="O28" s="140"/>
      <c r="P28" s="140"/>
      <c r="Q28" s="140"/>
      <c r="R28" s="140"/>
      <c r="S28" s="140"/>
      <c r="T28" s="140"/>
    </row>
    <row r="29" spans="1:20" ht="15" customHeight="1" x14ac:dyDescent="0.2">
      <c r="A29" s="141"/>
      <c r="B29" s="143" t="str">
        <f>IF(ISBLANK(A29),"",IF(AND(ISNA(VLOOKUP(A29,Interface_Platform!E:E,1,FALSE())),ISNA(VLOOKUP(A29,D:D,1,FALSE()))),"N","Y"))</f>
        <v/>
      </c>
      <c r="C29" s="143" t="s">
        <v>521</v>
      </c>
      <c r="D29" s="143" t="s">
        <v>193</v>
      </c>
      <c r="E29" s="142">
        <v>1</v>
      </c>
      <c r="F29" s="143" t="str">
        <f>IF(AND(ISNA(VLOOKUP(D29,A:A,1,FALSE())),ISNA(VLOOKUP(D29,BaseType!A:A,1,FALSE())),D29&lt;&gt;"Struct"),"N","Y")</f>
        <v>Y</v>
      </c>
      <c r="G29" s="145" t="s">
        <v>522</v>
      </c>
      <c r="H29" s="139">
        <v>0</v>
      </c>
      <c r="I29" s="139">
        <v>0</v>
      </c>
      <c r="J29" s="139">
        <v>0</v>
      </c>
      <c r="K29" s="139">
        <v>0</v>
      </c>
      <c r="L29" s="143">
        <v>0</v>
      </c>
      <c r="M29" s="143">
        <v>0</v>
      </c>
      <c r="N29" s="140"/>
      <c r="O29" s="140"/>
      <c r="P29" s="140"/>
      <c r="Q29" s="140"/>
      <c r="R29" s="140"/>
      <c r="S29" s="140"/>
      <c r="T29" s="140"/>
    </row>
    <row r="30" spans="1:20" ht="15" customHeight="1" x14ac:dyDescent="0.2">
      <c r="A30" s="141"/>
      <c r="B30" s="143" t="str">
        <f>IF(ISBLANK(A30),"",IF(AND(ISNA(VLOOKUP(A30,Interface_Platform!E:E,1,FALSE())),ISNA(VLOOKUP(A30,D:D,1,FALSE()))),"N","Y"))</f>
        <v/>
      </c>
      <c r="C30" s="143" t="s">
        <v>503</v>
      </c>
      <c r="D30" s="143" t="s">
        <v>193</v>
      </c>
      <c r="E30" s="142">
        <v>1</v>
      </c>
      <c r="F30" s="143" t="str">
        <f>IF(AND(ISNA(VLOOKUP(D30,A:A,1,FALSE())),ISNA(VLOOKUP(D30,BaseType!A:A,1,FALSE())),D30&lt;&gt;"Struct"),"N","Y")</f>
        <v>Y</v>
      </c>
      <c r="G30" s="145" t="s">
        <v>523</v>
      </c>
      <c r="H30" s="139">
        <v>0</v>
      </c>
      <c r="I30" s="139">
        <v>0</v>
      </c>
      <c r="J30" s="139">
        <v>0</v>
      </c>
      <c r="K30" s="139">
        <v>0</v>
      </c>
      <c r="L30" s="143">
        <v>0</v>
      </c>
      <c r="M30" s="143">
        <v>0</v>
      </c>
      <c r="N30" s="140"/>
      <c r="O30" s="140"/>
      <c r="P30" s="140"/>
      <c r="Q30" s="140"/>
      <c r="R30" s="140"/>
      <c r="S30" s="140"/>
      <c r="T30" s="140"/>
    </row>
    <row r="31" spans="1:20" ht="15" customHeight="1" x14ac:dyDescent="0.2">
      <c r="A31" s="148"/>
      <c r="B31" s="148"/>
      <c r="C31" s="148" t="s">
        <v>524</v>
      </c>
      <c r="D31" s="148" t="s">
        <v>193</v>
      </c>
      <c r="E31" s="154">
        <v>1</v>
      </c>
      <c r="F31" s="144" t="str">
        <f>IF(AND(ISNA(VLOOKUP(D31,A:A,1,FALSE())),ISNA(VLOOKUP(D31,BaseType!A:A,1,FALSE())),D31&lt;&gt;"Struct"),"N","Y")</f>
        <v>Y</v>
      </c>
      <c r="G31" s="150" t="s">
        <v>525</v>
      </c>
      <c r="H31" s="91"/>
      <c r="I31" s="91"/>
      <c r="J31" s="91"/>
      <c r="K31" s="91"/>
      <c r="L31" s="149"/>
      <c r="M31" s="149"/>
      <c r="N31" s="42"/>
      <c r="O31" s="42"/>
      <c r="P31" s="42"/>
      <c r="Q31" s="42"/>
      <c r="R31" s="42"/>
      <c r="S31" s="42"/>
      <c r="T31" s="42"/>
    </row>
    <row r="32" spans="1:20" ht="15" customHeight="1" x14ac:dyDescent="0.2">
      <c r="A32" s="148"/>
      <c r="B32" s="148"/>
      <c r="C32" s="148" t="s">
        <v>526</v>
      </c>
      <c r="D32" s="148" t="s">
        <v>193</v>
      </c>
      <c r="E32" s="154">
        <v>1</v>
      </c>
      <c r="F32" s="144" t="str">
        <f>IF(AND(ISNA(VLOOKUP(D32,A:A,1,FALSE())),ISNA(VLOOKUP(D32,BaseType!A:A,1,FALSE())),D32&lt;&gt;"Struct"),"N","Y")</f>
        <v>Y</v>
      </c>
      <c r="G32" s="150" t="s">
        <v>527</v>
      </c>
      <c r="H32" s="91"/>
      <c r="I32" s="91"/>
      <c r="J32" s="91"/>
      <c r="K32" s="91"/>
      <c r="L32" s="149"/>
      <c r="M32" s="149"/>
      <c r="N32" s="42"/>
      <c r="O32" s="42"/>
      <c r="P32" s="42"/>
      <c r="Q32" s="42"/>
      <c r="R32" s="42"/>
      <c r="S32" s="42"/>
      <c r="T32" s="42"/>
    </row>
    <row r="33" spans="1:20" ht="15" customHeight="1" x14ac:dyDescent="0.2">
      <c r="A33" s="148"/>
      <c r="B33" s="148"/>
      <c r="C33" s="148" t="s">
        <v>528</v>
      </c>
      <c r="D33" s="148" t="s">
        <v>225</v>
      </c>
      <c r="E33" s="154">
        <v>1</v>
      </c>
      <c r="F33" s="144" t="str">
        <f>IF(AND(ISNA(VLOOKUP(D33,A:A,1,FALSE())),ISNA(VLOOKUP(D33,BaseType!A:A,1,FALSE())),D33&lt;&gt;"Struct"),"N","Y")</f>
        <v>Y</v>
      </c>
      <c r="G33" s="150"/>
      <c r="H33" s="91"/>
      <c r="I33" s="91"/>
      <c r="J33" s="91"/>
      <c r="K33" s="91"/>
      <c r="L33" s="149"/>
      <c r="M33" s="149"/>
      <c r="N33" s="42"/>
      <c r="O33" s="42"/>
      <c r="P33" s="42"/>
      <c r="Q33" s="42"/>
      <c r="R33" s="42"/>
      <c r="S33" s="42"/>
      <c r="T33" s="42"/>
    </row>
    <row r="34" spans="1:20" ht="15" customHeight="1" x14ac:dyDescent="0.2">
      <c r="A34" s="148"/>
      <c r="B34" s="148"/>
      <c r="C34" s="148" t="s">
        <v>529</v>
      </c>
      <c r="D34" s="148" t="s">
        <v>225</v>
      </c>
      <c r="E34" s="154">
        <v>1</v>
      </c>
      <c r="F34" s="144" t="str">
        <f>IF(AND(ISNA(VLOOKUP(D34,A:A,1,FALSE())),ISNA(VLOOKUP(D34,BaseType!A:A,1,FALSE())),D34&lt;&gt;"Struct"),"N","Y")</f>
        <v>Y</v>
      </c>
      <c r="G34" s="150"/>
      <c r="H34" s="91"/>
      <c r="I34" s="91"/>
      <c r="J34" s="91"/>
      <c r="K34" s="91"/>
      <c r="L34" s="149"/>
      <c r="M34" s="149"/>
      <c r="N34" s="42"/>
      <c r="O34" s="42"/>
      <c r="P34" s="42"/>
      <c r="Q34" s="42"/>
      <c r="R34" s="42"/>
      <c r="S34" s="42"/>
      <c r="T34" s="42"/>
    </row>
    <row r="35" spans="1:20" ht="15" customHeight="1" x14ac:dyDescent="0.2">
      <c r="A35" s="148"/>
      <c r="B35" s="148"/>
      <c r="C35" s="148" t="s">
        <v>530</v>
      </c>
      <c r="D35" s="148" t="s">
        <v>225</v>
      </c>
      <c r="E35" s="154">
        <v>1</v>
      </c>
      <c r="F35" s="144" t="str">
        <f>IF(AND(ISNA(VLOOKUP(D35,A:A,1,FALSE())),ISNA(VLOOKUP(D35,BaseType!A:A,1,FALSE())),D35&lt;&gt;"Struct"),"N","Y")</f>
        <v>Y</v>
      </c>
      <c r="G35" s="150"/>
      <c r="H35" s="91"/>
      <c r="I35" s="91"/>
      <c r="J35" s="91"/>
      <c r="K35" s="91"/>
      <c r="L35" s="149"/>
      <c r="M35" s="149"/>
      <c r="N35" s="42"/>
      <c r="O35" s="42"/>
      <c r="P35" s="42"/>
      <c r="Q35" s="42"/>
      <c r="R35" s="42"/>
      <c r="S35" s="42"/>
      <c r="T35" s="42"/>
    </row>
    <row r="36" spans="1:20" ht="15" customHeight="1" x14ac:dyDescent="0.2">
      <c r="A36" s="148"/>
      <c r="B36" s="148"/>
      <c r="C36" s="148" t="s">
        <v>531</v>
      </c>
      <c r="D36" s="148" t="s">
        <v>225</v>
      </c>
      <c r="E36" s="154">
        <v>1</v>
      </c>
      <c r="F36" s="144" t="str">
        <f>IF(AND(ISNA(VLOOKUP(D36,A:A,1,FALSE())),ISNA(VLOOKUP(D36,BaseType!A:A,1,FALSE())),D36&lt;&gt;"Struct"),"N","Y")</f>
        <v>Y</v>
      </c>
      <c r="G36" s="150"/>
      <c r="H36" s="91"/>
      <c r="I36" s="91"/>
      <c r="J36" s="91"/>
      <c r="K36" s="91"/>
      <c r="L36" s="149"/>
      <c r="M36" s="149"/>
      <c r="N36" s="42"/>
      <c r="O36" s="42"/>
      <c r="P36" s="42"/>
      <c r="Q36" s="42"/>
      <c r="R36" s="42"/>
      <c r="S36" s="42"/>
      <c r="T36" s="42"/>
    </row>
    <row r="37" spans="1:20" ht="15" customHeight="1" x14ac:dyDescent="0.2">
      <c r="A37" s="148"/>
      <c r="B37" s="148"/>
      <c r="C37" s="148" t="s">
        <v>532</v>
      </c>
      <c r="D37" s="148" t="s">
        <v>225</v>
      </c>
      <c r="E37" s="154">
        <v>1</v>
      </c>
      <c r="F37" s="144" t="str">
        <f>IF(AND(ISNA(VLOOKUP(D37,A:A,1,FALSE())),ISNA(VLOOKUP(D37,BaseType!A:A,1,FALSE())),D37&lt;&gt;"Struct"),"N","Y")</f>
        <v>Y</v>
      </c>
      <c r="G37" s="150"/>
      <c r="H37" s="91"/>
      <c r="I37" s="91"/>
      <c r="J37" s="91"/>
      <c r="K37" s="91"/>
      <c r="L37" s="149"/>
      <c r="M37" s="149"/>
      <c r="N37" s="42"/>
      <c r="O37" s="42"/>
      <c r="P37" s="42"/>
      <c r="Q37" s="42"/>
      <c r="R37" s="42"/>
      <c r="S37" s="42"/>
      <c r="T37" s="42"/>
    </row>
    <row r="38" spans="1:20" ht="15" customHeight="1" x14ac:dyDescent="0.2">
      <c r="A38" s="143" t="s">
        <v>345</v>
      </c>
      <c r="B38" s="143" t="str">
        <f>IF(ISBLANK(A38),"",IF(AND(ISNA(VLOOKUP(A38,Interface_Platform!E:E,1,FALSE())),ISNA(VLOOKUP(A38,D:D,1,FALSE()))),"N","Y"))</f>
        <v>Y</v>
      </c>
      <c r="C38" s="75"/>
      <c r="D38" s="143" t="s">
        <v>484</v>
      </c>
      <c r="E38" s="40"/>
      <c r="F38" s="143" t="str">
        <f>IF(AND(ISNA(VLOOKUP(D38,A:A,1,FALSE())),ISNA(VLOOKUP(D38,BaseType!A:A,1,FALSE())),D38&lt;&gt;"Struct"),"N","Y")</f>
        <v>Y</v>
      </c>
      <c r="G38" s="145"/>
      <c r="H38" s="139">
        <v>0</v>
      </c>
      <c r="I38" s="139">
        <v>0</v>
      </c>
      <c r="J38" s="139">
        <v>0</v>
      </c>
      <c r="K38" s="139">
        <v>0</v>
      </c>
      <c r="L38" s="143">
        <v>0</v>
      </c>
      <c r="M38" s="143">
        <v>0</v>
      </c>
      <c r="N38" s="140"/>
      <c r="O38" s="140"/>
      <c r="P38" s="140"/>
      <c r="Q38" s="140"/>
      <c r="R38" s="140"/>
      <c r="S38" s="140"/>
      <c r="T38" s="140"/>
    </row>
    <row r="39" spans="1:20" ht="15" customHeight="1" x14ac:dyDescent="0.2">
      <c r="A39" s="141"/>
      <c r="B39" s="143" t="str">
        <f>IF(ISBLANK(A39),"",IF(AND(ISNA(VLOOKUP(A39,Interface_Platform!E:E,1,FALSE())),ISNA(VLOOKUP(A39,D:D,1,FALSE()))),"N","Y"))</f>
        <v/>
      </c>
      <c r="C39" s="143" t="s">
        <v>533</v>
      </c>
      <c r="D39" s="143" t="s">
        <v>293</v>
      </c>
      <c r="E39" s="142">
        <v>1</v>
      </c>
      <c r="F39" s="143" t="str">
        <f>IF(AND(ISNA(VLOOKUP(D39,A:A,1,FALSE())),ISNA(VLOOKUP(D39,BaseType!A:A,1,FALSE())),D39&lt;&gt;"Struct"),"N","Y")</f>
        <v>Y</v>
      </c>
      <c r="G39" s="145" t="s">
        <v>534</v>
      </c>
      <c r="H39" s="139">
        <v>0</v>
      </c>
      <c r="I39" s="139">
        <v>0</v>
      </c>
      <c r="J39" s="139">
        <v>0</v>
      </c>
      <c r="K39" s="139">
        <v>0</v>
      </c>
      <c r="L39" s="143">
        <v>0</v>
      </c>
      <c r="M39" s="143">
        <v>0</v>
      </c>
      <c r="N39" s="140"/>
      <c r="O39" s="140"/>
      <c r="P39" s="140"/>
      <c r="Q39" s="140"/>
      <c r="R39" s="140"/>
      <c r="S39" s="140"/>
      <c r="T39" s="140"/>
    </row>
    <row r="40" spans="1:20" ht="15" customHeight="1" x14ac:dyDescent="0.2">
      <c r="A40" s="141"/>
      <c r="B40" s="143" t="str">
        <f>IF(ISBLANK(A40),"",IF(AND(ISNA(VLOOKUP(A40,Interface_Platform!E:E,1,FALSE())),ISNA(VLOOKUP(A40,D:D,1,FALSE()))),"N","Y"))</f>
        <v/>
      </c>
      <c r="C40" s="143" t="s">
        <v>535</v>
      </c>
      <c r="D40" s="143" t="s">
        <v>225</v>
      </c>
      <c r="E40" s="142">
        <v>1</v>
      </c>
      <c r="F40" s="143" t="str">
        <f>IF(AND(ISNA(VLOOKUP(D40,A:A,1,FALSE())),ISNA(VLOOKUP(D40,BaseType!A:A,1,FALSE())),D40&lt;&gt;"Struct"),"N","Y")</f>
        <v>Y</v>
      </c>
      <c r="G40" s="145" t="s">
        <v>536</v>
      </c>
      <c r="H40" s="139">
        <v>0</v>
      </c>
      <c r="I40" s="139">
        <v>0</v>
      </c>
      <c r="J40" s="139">
        <v>0</v>
      </c>
      <c r="K40" s="139">
        <v>0</v>
      </c>
      <c r="L40" s="143">
        <v>0</v>
      </c>
      <c r="M40" s="143">
        <v>0</v>
      </c>
      <c r="N40" s="140"/>
      <c r="O40" s="140"/>
      <c r="P40" s="140"/>
      <c r="Q40" s="140"/>
      <c r="R40" s="140"/>
      <c r="S40" s="140"/>
      <c r="T40" s="140"/>
    </row>
    <row r="41" spans="1:20" ht="15" customHeight="1" x14ac:dyDescent="0.2">
      <c r="A41" s="141"/>
      <c r="B41" s="143" t="str">
        <f>IF(ISBLANK(A41),"",IF(AND(ISNA(VLOOKUP(A41,Interface_Platform!E:E,1,FALSE())),ISNA(VLOOKUP(A41,D:D,1,FALSE()))),"N","Y"))</f>
        <v/>
      </c>
      <c r="C41" s="143" t="s">
        <v>537</v>
      </c>
      <c r="D41" s="143" t="s">
        <v>225</v>
      </c>
      <c r="E41" s="142">
        <v>1</v>
      </c>
      <c r="F41" s="143" t="str">
        <f>IF(AND(ISNA(VLOOKUP(D41,A:A,1,FALSE())),ISNA(VLOOKUP(D41,BaseType!A:A,1,FALSE())),D41&lt;&gt;"Struct"),"N","Y")</f>
        <v>Y</v>
      </c>
      <c r="G41" s="145" t="s">
        <v>538</v>
      </c>
      <c r="H41" s="139">
        <v>0</v>
      </c>
      <c r="I41" s="139">
        <v>0</v>
      </c>
      <c r="J41" s="139">
        <v>0</v>
      </c>
      <c r="K41" s="139">
        <v>0</v>
      </c>
      <c r="L41" s="143">
        <v>0</v>
      </c>
      <c r="M41" s="143">
        <v>0</v>
      </c>
      <c r="N41" s="140"/>
      <c r="O41" s="140"/>
      <c r="P41" s="140"/>
      <c r="Q41" s="140"/>
      <c r="R41" s="140"/>
      <c r="S41" s="140"/>
      <c r="T41" s="140"/>
    </row>
    <row r="42" spans="1:20" ht="15" customHeight="1" x14ac:dyDescent="0.2">
      <c r="A42" s="141"/>
      <c r="B42" s="143" t="str">
        <f>IF(ISBLANK(A42),"",IF(AND(ISNA(VLOOKUP(A42,Interface_Platform!E:E,1,FALSE())),ISNA(VLOOKUP(A42,D:D,1,FALSE()))),"N","Y"))</f>
        <v/>
      </c>
      <c r="C42" s="143" t="s">
        <v>539</v>
      </c>
      <c r="D42" s="143" t="s">
        <v>225</v>
      </c>
      <c r="E42" s="142">
        <v>1</v>
      </c>
      <c r="F42" s="143" t="str">
        <f>IF(AND(ISNA(VLOOKUP(D42,A:A,1,FALSE())),ISNA(VLOOKUP(D42,BaseType!A:A,1,FALSE())),D42&lt;&gt;"Struct"),"N","Y")</f>
        <v>Y</v>
      </c>
      <c r="G42" s="145" t="s">
        <v>540</v>
      </c>
      <c r="H42" s="139">
        <v>0</v>
      </c>
      <c r="I42" s="139">
        <v>0</v>
      </c>
      <c r="J42" s="139">
        <v>0</v>
      </c>
      <c r="K42" s="139">
        <v>0</v>
      </c>
      <c r="L42" s="143">
        <v>0</v>
      </c>
      <c r="M42" s="143">
        <v>0</v>
      </c>
      <c r="N42" s="140"/>
      <c r="O42" s="140"/>
      <c r="P42" s="140"/>
      <c r="Q42" s="140"/>
      <c r="R42" s="140"/>
      <c r="S42" s="140"/>
      <c r="T42" s="140"/>
    </row>
    <row r="43" spans="1:20" ht="15" customHeight="1" x14ac:dyDescent="0.2">
      <c r="A43" s="141"/>
      <c r="B43" s="143" t="str">
        <f>IF(ISBLANK(A43),"",IF(AND(ISNA(VLOOKUP(A43,Interface_Platform!E:E,1,FALSE())),ISNA(VLOOKUP(A43,D:D,1,FALSE()))),"N","Y"))</f>
        <v/>
      </c>
      <c r="C43" s="143" t="s">
        <v>541</v>
      </c>
      <c r="D43" s="143" t="s">
        <v>225</v>
      </c>
      <c r="E43" s="142">
        <v>1</v>
      </c>
      <c r="F43" s="143" t="str">
        <f>IF(AND(ISNA(VLOOKUP(D43,A:A,1,FALSE())),ISNA(VLOOKUP(D43,BaseType!A:A,1,FALSE())),D43&lt;&gt;"Struct"),"N","Y")</f>
        <v>Y</v>
      </c>
      <c r="G43" s="145" t="s">
        <v>542</v>
      </c>
      <c r="H43" s="139">
        <v>0</v>
      </c>
      <c r="I43" s="139">
        <v>0</v>
      </c>
      <c r="J43" s="139">
        <v>0</v>
      </c>
      <c r="K43" s="139">
        <v>0</v>
      </c>
      <c r="L43" s="143">
        <v>0</v>
      </c>
      <c r="M43" s="143">
        <v>0</v>
      </c>
      <c r="N43" s="140"/>
      <c r="O43" s="140"/>
      <c r="P43" s="140"/>
      <c r="Q43" s="140"/>
      <c r="R43" s="140"/>
      <c r="S43" s="140"/>
      <c r="T43" s="140"/>
    </row>
    <row r="44" spans="1:20" ht="15" customHeight="1" x14ac:dyDescent="0.2">
      <c r="A44" s="141"/>
      <c r="B44" s="143" t="str">
        <f>IF(ISBLANK(A44),"",IF(AND(ISNA(VLOOKUP(A44,Interface_Platform!E:E,1,FALSE())),ISNA(VLOOKUP(A44,D:D,1,FALSE()))),"N","Y"))</f>
        <v/>
      </c>
      <c r="C44" s="143" t="s">
        <v>543</v>
      </c>
      <c r="D44" s="143" t="s">
        <v>225</v>
      </c>
      <c r="E44" s="142">
        <v>1</v>
      </c>
      <c r="F44" s="143" t="str">
        <f>IF(AND(ISNA(VLOOKUP(D44,A:A,1,FALSE())),ISNA(VLOOKUP(D44,BaseType!A:A,1,FALSE())),D44&lt;&gt;"Struct"),"N","Y")</f>
        <v>Y</v>
      </c>
      <c r="G44" s="145" t="s">
        <v>544</v>
      </c>
      <c r="H44" s="139">
        <v>0</v>
      </c>
      <c r="I44" s="139">
        <v>0</v>
      </c>
      <c r="J44" s="139">
        <v>0</v>
      </c>
      <c r="K44" s="139">
        <v>0</v>
      </c>
      <c r="L44" s="143">
        <v>0</v>
      </c>
      <c r="M44" s="143">
        <v>0</v>
      </c>
      <c r="N44" s="140"/>
      <c r="O44" s="140"/>
      <c r="P44" s="140"/>
      <c r="Q44" s="140"/>
      <c r="R44" s="140"/>
      <c r="S44" s="140"/>
      <c r="T44" s="140"/>
    </row>
    <row r="45" spans="1:20" ht="15" customHeight="1" x14ac:dyDescent="0.2">
      <c r="A45" s="143"/>
      <c r="B45" s="143"/>
      <c r="C45" s="75" t="s">
        <v>545</v>
      </c>
      <c r="D45" s="143" t="s">
        <v>225</v>
      </c>
      <c r="E45" s="142">
        <v>1</v>
      </c>
      <c r="F45" s="143" t="str">
        <f>IF(AND(ISNA(VLOOKUP(D45,A:A,1,FALSE())),ISNA(VLOOKUP(D45,BaseType!A:A,1,FALSE())),D45&lt;&gt;"Struct"),"N","Y")</f>
        <v>Y</v>
      </c>
      <c r="G45" s="145" t="s">
        <v>546</v>
      </c>
      <c r="H45" s="139"/>
      <c r="I45" s="139"/>
      <c r="J45" s="139"/>
      <c r="K45" s="139"/>
      <c r="L45" s="143"/>
      <c r="M45" s="143"/>
      <c r="N45" s="140"/>
      <c r="O45" s="140"/>
      <c r="P45" s="140"/>
      <c r="Q45" s="140"/>
      <c r="R45" s="140"/>
      <c r="S45" s="140"/>
      <c r="T45" s="140"/>
    </row>
    <row r="46" spans="1:20" ht="15" customHeight="1" x14ac:dyDescent="0.2">
      <c r="A46" s="143" t="s">
        <v>365</v>
      </c>
      <c r="B46" s="143" t="str">
        <f>IF(ISBLANK(A46),"",IF(AND(ISNA(VLOOKUP(A46,Interface_Platform!E:E,1,FALSE())),ISNA(VLOOKUP(A46,D:D,1,FALSE()))),"N","Y"))</f>
        <v>Y</v>
      </c>
      <c r="C46" s="75"/>
      <c r="D46" s="143" t="s">
        <v>484</v>
      </c>
      <c r="E46" s="40"/>
      <c r="F46" s="143" t="str">
        <f>IF(AND(ISNA(VLOOKUP(D46,A:A,1,FALSE())),ISNA(VLOOKUP(D46,BaseType!A:A,1,FALSE())),D46&lt;&gt;"Struct"),"N","Y")</f>
        <v>Y</v>
      </c>
      <c r="G46" s="145"/>
      <c r="H46" s="139">
        <v>0</v>
      </c>
      <c r="I46" s="139">
        <v>0</v>
      </c>
      <c r="J46" s="139">
        <v>0</v>
      </c>
      <c r="K46" s="139">
        <v>0</v>
      </c>
      <c r="L46" s="143">
        <v>0</v>
      </c>
      <c r="M46" s="143">
        <v>0</v>
      </c>
      <c r="N46" s="140"/>
      <c r="O46" s="140"/>
      <c r="P46" s="140"/>
      <c r="Q46" s="140"/>
      <c r="R46" s="140"/>
      <c r="S46" s="140"/>
      <c r="T46" s="140"/>
    </row>
    <row r="47" spans="1:20" ht="15" customHeight="1" x14ac:dyDescent="0.2">
      <c r="A47" s="141"/>
      <c r="B47" s="143" t="str">
        <f>IF(ISBLANK(A47),"",IF(AND(ISNA(VLOOKUP(A47,Interface_Platform!E:E,1,FALSE())),ISNA(VLOOKUP(A47,D:D,1,FALSE()))),"N","Y"))</f>
        <v/>
      </c>
      <c r="C47" s="143" t="s">
        <v>547</v>
      </c>
      <c r="D47" s="143" t="s">
        <v>293</v>
      </c>
      <c r="E47" s="142">
        <v>1</v>
      </c>
      <c r="F47" s="143" t="str">
        <f>IF(AND(ISNA(VLOOKUP(D47,A:A,1,FALSE())),ISNA(VLOOKUP(D47,BaseType!A:A,1,FALSE())),D47&lt;&gt;"Struct"),"N","Y")</f>
        <v>Y</v>
      </c>
      <c r="G47" s="145"/>
      <c r="H47" s="139">
        <v>0</v>
      </c>
      <c r="I47" s="139">
        <v>0</v>
      </c>
      <c r="J47" s="139">
        <v>0</v>
      </c>
      <c r="K47" s="139">
        <v>0</v>
      </c>
      <c r="L47" s="143">
        <v>0</v>
      </c>
      <c r="M47" s="143">
        <v>0</v>
      </c>
      <c r="N47" s="140"/>
      <c r="O47" s="140"/>
      <c r="P47" s="140"/>
      <c r="Q47" s="140"/>
      <c r="R47" s="140"/>
      <c r="S47" s="140"/>
      <c r="T47" s="140"/>
    </row>
    <row r="48" spans="1:20" ht="15" customHeight="1" x14ac:dyDescent="0.2">
      <c r="A48" s="141"/>
      <c r="B48" s="143" t="str">
        <f>IF(ISBLANK(A48),"",IF(AND(ISNA(VLOOKUP(A48,Interface_Platform!E:E,1,FALSE())),ISNA(VLOOKUP(A48,D:D,1,FALSE()))),"N","Y"))</f>
        <v/>
      </c>
      <c r="C48" s="143" t="s">
        <v>548</v>
      </c>
      <c r="D48" s="143" t="s">
        <v>293</v>
      </c>
      <c r="E48" s="142">
        <v>1</v>
      </c>
      <c r="F48" s="143" t="str">
        <f>IF(AND(ISNA(VLOOKUP(D48,A:A,1,FALSE())),ISNA(VLOOKUP(D48,BaseType!A:A,1,FALSE())),D48&lt;&gt;"Struct"),"N","Y")</f>
        <v>Y</v>
      </c>
      <c r="G48" s="145"/>
      <c r="H48" s="139">
        <v>0</v>
      </c>
      <c r="I48" s="139">
        <v>0</v>
      </c>
      <c r="J48" s="139">
        <v>0</v>
      </c>
      <c r="K48" s="139">
        <v>0</v>
      </c>
      <c r="L48" s="143">
        <v>0</v>
      </c>
      <c r="M48" s="143">
        <v>0</v>
      </c>
      <c r="N48" s="140"/>
      <c r="O48" s="140"/>
      <c r="P48" s="140"/>
      <c r="Q48" s="140"/>
      <c r="R48" s="140"/>
      <c r="S48" s="140"/>
      <c r="T48" s="140"/>
    </row>
    <row r="49" spans="1:20" ht="15" customHeight="1" x14ac:dyDescent="0.2">
      <c r="A49" s="141"/>
      <c r="B49" s="143" t="str">
        <f>IF(ISBLANK(A49),"",IF(AND(ISNA(VLOOKUP(A49,Interface_Platform!E:E,1,FALSE())),ISNA(VLOOKUP(A49,D:D,1,FALSE()))),"N","Y"))</f>
        <v/>
      </c>
      <c r="C49" s="143" t="s">
        <v>549</v>
      </c>
      <c r="D49" s="143" t="s">
        <v>193</v>
      </c>
      <c r="E49" s="142">
        <v>1</v>
      </c>
      <c r="F49" s="143" t="str">
        <f>IF(AND(ISNA(VLOOKUP(D49,A:A,1,FALSE())),ISNA(VLOOKUP(D49,BaseType!A:A,1,FALSE())),D49&lt;&gt;"Struct"),"N","Y")</f>
        <v>Y</v>
      </c>
      <c r="G49" s="145"/>
      <c r="H49" s="139">
        <v>0</v>
      </c>
      <c r="I49" s="139">
        <v>0</v>
      </c>
      <c r="J49" s="139">
        <v>0</v>
      </c>
      <c r="K49" s="139">
        <v>0</v>
      </c>
      <c r="L49" s="143">
        <v>0</v>
      </c>
      <c r="M49" s="143">
        <v>0</v>
      </c>
      <c r="N49" s="140"/>
      <c r="O49" s="140"/>
      <c r="P49" s="140"/>
      <c r="Q49" s="140"/>
      <c r="R49" s="140"/>
      <c r="S49" s="140"/>
      <c r="T49" s="140"/>
    </row>
    <row r="50" spans="1:20" ht="15" customHeight="1" x14ac:dyDescent="0.2">
      <c r="A50" s="141"/>
      <c r="B50" s="143" t="str">
        <f>IF(ISBLANK(A50),"",IF(AND(ISNA(VLOOKUP(A50,Interface_Platform!E:E,1,FALSE())),ISNA(VLOOKUP(A50,D:D,1,FALSE()))),"N","Y"))</f>
        <v/>
      </c>
      <c r="C50" s="143" t="s">
        <v>550</v>
      </c>
      <c r="D50" s="143" t="s">
        <v>193</v>
      </c>
      <c r="E50" s="142">
        <v>1</v>
      </c>
      <c r="F50" s="143" t="str">
        <f>IF(AND(ISNA(VLOOKUP(D50,A:A,1,FALSE())),ISNA(VLOOKUP(D50,BaseType!A:A,1,FALSE())),D50&lt;&gt;"Struct"),"N","Y")</f>
        <v>Y</v>
      </c>
      <c r="G50" s="145"/>
      <c r="H50" s="139">
        <v>0</v>
      </c>
      <c r="I50" s="139">
        <v>0</v>
      </c>
      <c r="J50" s="139">
        <v>0</v>
      </c>
      <c r="K50" s="139">
        <v>0</v>
      </c>
      <c r="L50" s="143">
        <v>0</v>
      </c>
      <c r="M50" s="143">
        <v>0</v>
      </c>
      <c r="N50" s="140"/>
      <c r="O50" s="140"/>
      <c r="P50" s="140"/>
      <c r="Q50" s="140"/>
      <c r="R50" s="140"/>
      <c r="S50" s="140"/>
      <c r="T50" s="140"/>
    </row>
    <row r="51" spans="1:20" ht="15" customHeight="1" x14ac:dyDescent="0.2">
      <c r="A51" s="141"/>
      <c r="B51" s="143" t="str">
        <f>IF(ISBLANK(A51),"",IF(AND(ISNA(VLOOKUP(A51,Interface_Platform!E:E,1,FALSE())),ISNA(VLOOKUP(A51,D:D,1,FALSE()))),"N","Y"))</f>
        <v/>
      </c>
      <c r="C51" s="143" t="s">
        <v>551</v>
      </c>
      <c r="D51" s="143" t="s">
        <v>193</v>
      </c>
      <c r="E51" s="142">
        <v>1</v>
      </c>
      <c r="F51" s="143" t="str">
        <f>IF(AND(ISNA(VLOOKUP(D51,A:A,1,FALSE())),ISNA(VLOOKUP(D51,BaseType!A:A,1,FALSE())),D51&lt;&gt;"Struct"),"N","Y")</f>
        <v>Y</v>
      </c>
      <c r="G51" s="145"/>
      <c r="H51" s="139">
        <v>0</v>
      </c>
      <c r="I51" s="139">
        <v>0</v>
      </c>
      <c r="J51" s="139">
        <v>0</v>
      </c>
      <c r="K51" s="139">
        <v>0</v>
      </c>
      <c r="L51" s="143">
        <v>0</v>
      </c>
      <c r="M51" s="143">
        <v>0</v>
      </c>
      <c r="N51" s="140"/>
      <c r="O51" s="140"/>
      <c r="P51" s="140"/>
      <c r="Q51" s="140"/>
      <c r="R51" s="140"/>
      <c r="S51" s="140"/>
      <c r="T51" s="140"/>
    </row>
    <row r="52" spans="1:20" ht="15" customHeight="1" x14ac:dyDescent="0.2">
      <c r="A52" s="148"/>
      <c r="B52" s="148"/>
      <c r="C52" s="148" t="s">
        <v>552</v>
      </c>
      <c r="D52" s="148" t="s">
        <v>193</v>
      </c>
      <c r="E52" s="154">
        <v>1</v>
      </c>
      <c r="F52" s="144" t="str">
        <f>IF(AND(ISNA(VLOOKUP(D52,A:A,1,FALSE())),ISNA(VLOOKUP(D52,BaseType!A:A,1,FALSE())),D52&lt;&gt;"Struct"),"N","Y")</f>
        <v>Y</v>
      </c>
      <c r="G52" s="150"/>
      <c r="H52" s="91"/>
      <c r="I52" s="91"/>
      <c r="J52" s="91"/>
      <c r="K52" s="91"/>
      <c r="L52" s="149"/>
      <c r="M52" s="149"/>
      <c r="N52" s="42"/>
      <c r="O52" s="42"/>
      <c r="P52" s="42"/>
      <c r="Q52" s="42"/>
      <c r="R52" s="42"/>
      <c r="S52" s="42"/>
      <c r="T52" s="42"/>
    </row>
    <row r="53" spans="1:20" ht="15" customHeight="1" x14ac:dyDescent="0.2">
      <c r="A53" s="148"/>
      <c r="B53" s="148"/>
      <c r="C53" s="148" t="s">
        <v>553</v>
      </c>
      <c r="D53" s="148" t="s">
        <v>193</v>
      </c>
      <c r="E53" s="154">
        <v>1</v>
      </c>
      <c r="F53" s="144" t="str">
        <f>IF(AND(ISNA(VLOOKUP(D53,A:A,1,FALSE())),ISNA(VLOOKUP(D53,BaseType!A:A,1,FALSE())),D53&lt;&gt;"Struct"),"N","Y")</f>
        <v>Y</v>
      </c>
      <c r="G53" s="150"/>
      <c r="H53" s="91"/>
      <c r="I53" s="91"/>
      <c r="J53" s="91"/>
      <c r="K53" s="91"/>
      <c r="L53" s="149"/>
      <c r="M53" s="149"/>
      <c r="N53" s="42"/>
      <c r="O53" s="42"/>
      <c r="P53" s="42"/>
      <c r="Q53" s="42"/>
      <c r="R53" s="42"/>
      <c r="S53" s="42"/>
      <c r="T53" s="42"/>
    </row>
    <row r="54" spans="1:20" ht="15" customHeight="1" x14ac:dyDescent="0.2">
      <c r="A54" s="148"/>
      <c r="B54" s="148"/>
      <c r="C54" s="148" t="s">
        <v>554</v>
      </c>
      <c r="D54" s="148" t="s">
        <v>225</v>
      </c>
      <c r="E54" s="154">
        <v>1</v>
      </c>
      <c r="F54" s="144" t="str">
        <f>IF(AND(ISNA(VLOOKUP(D54,A:A,1,FALSE())),ISNA(VLOOKUP(D54,BaseType!A:A,1,FALSE())),D54&lt;&gt;"Struct"),"N","Y")</f>
        <v>Y</v>
      </c>
      <c r="G54" s="150"/>
      <c r="H54" s="91"/>
      <c r="I54" s="91"/>
      <c r="J54" s="91"/>
      <c r="K54" s="91"/>
      <c r="L54" s="149"/>
      <c r="M54" s="149"/>
      <c r="N54" s="42"/>
      <c r="O54" s="42"/>
      <c r="P54" s="42"/>
      <c r="Q54" s="42"/>
      <c r="R54" s="42"/>
      <c r="S54" s="42"/>
      <c r="T54" s="42"/>
    </row>
    <row r="55" spans="1:20" ht="15" customHeight="1" x14ac:dyDescent="0.2">
      <c r="A55" s="148"/>
      <c r="B55" s="148"/>
      <c r="C55" s="148" t="s">
        <v>555</v>
      </c>
      <c r="D55" s="148" t="s">
        <v>225</v>
      </c>
      <c r="E55" s="154">
        <v>1</v>
      </c>
      <c r="F55" s="144" t="str">
        <f>IF(AND(ISNA(VLOOKUP(D55,A:A,1,FALSE())),ISNA(VLOOKUP(D55,BaseType!A:A,1,FALSE())),D55&lt;&gt;"Struct"),"N","Y")</f>
        <v>Y</v>
      </c>
      <c r="G55" s="150"/>
      <c r="H55" s="91"/>
      <c r="I55" s="91"/>
      <c r="J55" s="91"/>
      <c r="K55" s="91"/>
      <c r="L55" s="149"/>
      <c r="M55" s="149"/>
      <c r="N55" s="42"/>
      <c r="O55" s="42"/>
      <c r="P55" s="42"/>
      <c r="Q55" s="42"/>
      <c r="R55" s="42"/>
      <c r="S55" s="42"/>
      <c r="T55" s="42"/>
    </row>
    <row r="56" spans="1:20" ht="15" customHeight="1" x14ac:dyDescent="0.2">
      <c r="A56" s="148"/>
      <c r="B56" s="148"/>
      <c r="C56" s="148" t="s">
        <v>556</v>
      </c>
      <c r="D56" s="148" t="s">
        <v>225</v>
      </c>
      <c r="E56" s="154">
        <v>1</v>
      </c>
      <c r="F56" s="144" t="str">
        <f>IF(AND(ISNA(VLOOKUP(D56,A:A,1,FALSE())),ISNA(VLOOKUP(D56,BaseType!A:A,1,FALSE())),D56&lt;&gt;"Struct"),"N","Y")</f>
        <v>Y</v>
      </c>
      <c r="G56" s="150"/>
      <c r="H56" s="91"/>
      <c r="I56" s="91"/>
      <c r="J56" s="91"/>
      <c r="K56" s="91"/>
      <c r="L56" s="149"/>
      <c r="M56" s="149"/>
      <c r="N56" s="42"/>
      <c r="O56" s="42"/>
      <c r="P56" s="42"/>
      <c r="Q56" s="42"/>
      <c r="R56" s="42"/>
      <c r="S56" s="42"/>
      <c r="T56" s="42"/>
    </row>
    <row r="57" spans="1:20" ht="15" customHeight="1" x14ac:dyDescent="0.2">
      <c r="A57" s="148"/>
      <c r="B57" s="148"/>
      <c r="C57" s="148" t="s">
        <v>557</v>
      </c>
      <c r="D57" s="148" t="s">
        <v>225</v>
      </c>
      <c r="E57" s="154">
        <v>1</v>
      </c>
      <c r="F57" s="144" t="str">
        <f>IF(AND(ISNA(VLOOKUP(D57,A:A,1,FALSE())),ISNA(VLOOKUP(D57,BaseType!A:A,1,FALSE())),D57&lt;&gt;"Struct"),"N","Y")</f>
        <v>Y</v>
      </c>
      <c r="G57" s="150"/>
      <c r="H57" s="91"/>
      <c r="I57" s="91"/>
      <c r="J57" s="91"/>
      <c r="K57" s="91"/>
      <c r="L57" s="149"/>
      <c r="M57" s="149"/>
      <c r="N57" s="42"/>
      <c r="O57" s="42"/>
      <c r="P57" s="42"/>
      <c r="Q57" s="42"/>
      <c r="R57" s="42"/>
      <c r="S57" s="42"/>
      <c r="T57" s="42"/>
    </row>
    <row r="58" spans="1:20" ht="15" customHeight="1" x14ac:dyDescent="0.2">
      <c r="A58" s="148"/>
      <c r="B58" s="148"/>
      <c r="C58" s="148" t="s">
        <v>558</v>
      </c>
      <c r="D58" s="148" t="s">
        <v>225</v>
      </c>
      <c r="E58" s="154">
        <v>1</v>
      </c>
      <c r="F58" s="144" t="str">
        <f>IF(AND(ISNA(VLOOKUP(D58,A:A,1,FALSE())),ISNA(VLOOKUP(D58,BaseType!A:A,1,FALSE())),D58&lt;&gt;"Struct"),"N","Y")</f>
        <v>Y</v>
      </c>
      <c r="G58" s="150"/>
      <c r="H58" s="91"/>
      <c r="I58" s="91"/>
      <c r="J58" s="91"/>
      <c r="K58" s="91"/>
      <c r="L58" s="149"/>
      <c r="M58" s="149"/>
      <c r="N58" s="42"/>
      <c r="O58" s="42"/>
      <c r="P58" s="42"/>
      <c r="Q58" s="42"/>
      <c r="R58" s="42"/>
      <c r="S58" s="42"/>
      <c r="T58" s="42"/>
    </row>
    <row r="59" spans="1:20" ht="15" customHeight="1" x14ac:dyDescent="0.2">
      <c r="A59" s="148"/>
      <c r="B59" s="148"/>
      <c r="C59" s="148" t="s">
        <v>559</v>
      </c>
      <c r="D59" s="148" t="s">
        <v>225</v>
      </c>
      <c r="E59" s="154">
        <v>1</v>
      </c>
      <c r="F59" s="144" t="str">
        <f>IF(AND(ISNA(VLOOKUP(D59,A:A,1,FALSE())),ISNA(VLOOKUP(D59,BaseType!A:A,1,FALSE())),D59&lt;&gt;"Struct"),"N","Y")</f>
        <v>Y</v>
      </c>
      <c r="G59" s="150"/>
      <c r="H59" s="91"/>
      <c r="I59" s="91"/>
      <c r="J59" s="91"/>
      <c r="K59" s="91"/>
      <c r="L59" s="149"/>
      <c r="M59" s="149"/>
      <c r="N59" s="42"/>
      <c r="O59" s="42"/>
      <c r="P59" s="42"/>
      <c r="Q59" s="42"/>
      <c r="R59" s="42"/>
      <c r="S59" s="42"/>
      <c r="T59" s="42"/>
    </row>
    <row r="60" spans="1:20" ht="15" customHeight="1" x14ac:dyDescent="0.2">
      <c r="A60" s="148"/>
      <c r="B60" s="148"/>
      <c r="C60" s="148" t="s">
        <v>560</v>
      </c>
      <c r="D60" s="148" t="s">
        <v>225</v>
      </c>
      <c r="E60" s="154">
        <v>1</v>
      </c>
      <c r="F60" s="144" t="str">
        <f>IF(AND(ISNA(VLOOKUP(D60,A:A,1,FALSE())),ISNA(VLOOKUP(D60,BaseType!A:A,1,FALSE())),D60&lt;&gt;"Struct"),"N","Y")</f>
        <v>Y</v>
      </c>
      <c r="G60" s="150"/>
      <c r="H60" s="91"/>
      <c r="I60" s="91"/>
      <c r="J60" s="91"/>
      <c r="K60" s="91"/>
      <c r="L60" s="149"/>
      <c r="M60" s="149"/>
      <c r="N60" s="42"/>
      <c r="O60" s="42"/>
      <c r="P60" s="42"/>
      <c r="Q60" s="42"/>
      <c r="R60" s="42"/>
      <c r="S60" s="42"/>
      <c r="T60" s="42"/>
    </row>
    <row r="61" spans="1:20" ht="15" customHeight="1" x14ac:dyDescent="0.2">
      <c r="A61" s="148"/>
      <c r="B61" s="148"/>
      <c r="C61" s="148" t="s">
        <v>561</v>
      </c>
      <c r="D61" s="148" t="s">
        <v>225</v>
      </c>
      <c r="E61" s="154">
        <v>1</v>
      </c>
      <c r="F61" s="144" t="str">
        <f>IF(AND(ISNA(VLOOKUP(D61,A:A,1,FALSE())),ISNA(VLOOKUP(D61,BaseType!A:A,1,FALSE())),D61&lt;&gt;"Struct"),"N","Y")</f>
        <v>Y</v>
      </c>
      <c r="G61" s="150"/>
      <c r="H61" s="91"/>
      <c r="I61" s="91"/>
      <c r="J61" s="91"/>
      <c r="K61" s="91"/>
      <c r="L61" s="149"/>
      <c r="M61" s="149"/>
      <c r="N61" s="42"/>
      <c r="O61" s="42"/>
      <c r="P61" s="42"/>
      <c r="Q61" s="42"/>
      <c r="R61" s="42"/>
      <c r="S61" s="42"/>
      <c r="T61" s="42"/>
    </row>
    <row r="62" spans="1:20" ht="15" customHeight="1" x14ac:dyDescent="0.2">
      <c r="A62" s="148"/>
      <c r="B62" s="148"/>
      <c r="C62" s="148" t="s">
        <v>562</v>
      </c>
      <c r="D62" s="148" t="s">
        <v>225</v>
      </c>
      <c r="E62" s="154">
        <v>1</v>
      </c>
      <c r="F62" s="144" t="str">
        <f>IF(AND(ISNA(VLOOKUP(D62,A:A,1,FALSE())),ISNA(VLOOKUP(D62,BaseType!A:A,1,FALSE())),D62&lt;&gt;"Struct"),"N","Y")</f>
        <v>Y</v>
      </c>
      <c r="G62" s="150"/>
      <c r="H62" s="91"/>
      <c r="I62" s="91"/>
      <c r="J62" s="91"/>
      <c r="K62" s="91"/>
      <c r="L62" s="149"/>
      <c r="M62" s="149"/>
      <c r="N62" s="42"/>
      <c r="O62" s="42"/>
      <c r="P62" s="42"/>
      <c r="Q62" s="42"/>
      <c r="R62" s="42"/>
      <c r="S62" s="42"/>
      <c r="T62" s="42"/>
    </row>
    <row r="63" spans="1:20" ht="15" customHeight="1" x14ac:dyDescent="0.2">
      <c r="A63" s="148"/>
      <c r="B63" s="148"/>
      <c r="C63" s="148" t="s">
        <v>563</v>
      </c>
      <c r="D63" s="148" t="s">
        <v>225</v>
      </c>
      <c r="E63" s="154">
        <v>1</v>
      </c>
      <c r="F63" s="144" t="str">
        <f>IF(AND(ISNA(VLOOKUP(D63,A:A,1,FALSE())),ISNA(VLOOKUP(D63,BaseType!A:A,1,FALSE())),D63&lt;&gt;"Struct"),"N","Y")</f>
        <v>Y</v>
      </c>
      <c r="G63" s="150"/>
      <c r="H63" s="91"/>
      <c r="I63" s="91"/>
      <c r="J63" s="91"/>
      <c r="K63" s="91"/>
      <c r="L63" s="149"/>
      <c r="M63" s="149"/>
      <c r="N63" s="42"/>
      <c r="O63" s="42"/>
      <c r="P63" s="42"/>
      <c r="Q63" s="42"/>
      <c r="R63" s="42"/>
      <c r="S63" s="42"/>
      <c r="T63" s="42"/>
    </row>
    <row r="64" spans="1:20" ht="15" customHeight="1" x14ac:dyDescent="0.2">
      <c r="A64" s="148"/>
      <c r="B64" s="148"/>
      <c r="C64" s="148" t="s">
        <v>564</v>
      </c>
      <c r="D64" s="148" t="s">
        <v>225</v>
      </c>
      <c r="E64" s="154">
        <v>1</v>
      </c>
      <c r="F64" s="144" t="str">
        <f>IF(AND(ISNA(VLOOKUP(D64,A:A,1,FALSE())),ISNA(VLOOKUP(D64,BaseType!A:A,1,FALSE())),D64&lt;&gt;"Struct"),"N","Y")</f>
        <v>Y</v>
      </c>
      <c r="G64" s="150"/>
      <c r="H64" s="91"/>
      <c r="I64" s="91"/>
      <c r="J64" s="91"/>
      <c r="K64" s="91"/>
      <c r="L64" s="149"/>
      <c r="M64" s="149"/>
      <c r="N64" s="42"/>
      <c r="O64" s="42"/>
      <c r="P64" s="42"/>
      <c r="Q64" s="42"/>
      <c r="R64" s="42"/>
      <c r="S64" s="42"/>
      <c r="T64" s="42"/>
    </row>
    <row r="65" spans="1:20" ht="15" customHeight="1" x14ac:dyDescent="0.2">
      <c r="A65" s="141" t="s">
        <v>203</v>
      </c>
      <c r="B65" s="143" t="str">
        <f>IF(ISBLANK(A65),"",IF(AND(ISNA(VLOOKUP(A65,Interface_Platform!E:E,1,FALSE())),ISNA(VLOOKUP(A65,D:D,1,FALSE()))),"N","Y"))</f>
        <v>Y</v>
      </c>
      <c r="C65" s="143"/>
      <c r="D65" s="143" t="s">
        <v>484</v>
      </c>
      <c r="E65" s="142"/>
      <c r="F65" s="144" t="str">
        <f>IF(AND(ISNA(VLOOKUP(D65,A:A,1,FALSE())),ISNA(VLOOKUP(D65,BaseType!A:A,1,FALSE())),D65&lt;&gt;"Struct"),"N","Y")</f>
        <v>Y</v>
      </c>
      <c r="G65" s="145"/>
      <c r="H65" s="139"/>
      <c r="I65" s="139"/>
      <c r="J65" s="139"/>
      <c r="K65" s="139"/>
      <c r="L65" s="143"/>
      <c r="M65" s="143"/>
      <c r="N65" s="140"/>
      <c r="O65" s="140"/>
      <c r="P65" s="140"/>
      <c r="Q65" s="140"/>
      <c r="R65" s="140"/>
      <c r="S65" s="140"/>
      <c r="T65" s="140"/>
    </row>
    <row r="66" spans="1:20" ht="15" customHeight="1" x14ac:dyDescent="0.2">
      <c r="A66" s="141"/>
      <c r="B66" s="143" t="str">
        <f>IF(ISBLANK(A66),"",IF(AND(ISNA(VLOOKUP(A66,Interface_Platform!E:E,1,FALSE())),ISNA(VLOOKUP(A66,D:D,1,FALSE()))),"N","Y"))</f>
        <v/>
      </c>
      <c r="C66" s="143" t="s">
        <v>565</v>
      </c>
      <c r="D66" s="143" t="s">
        <v>193</v>
      </c>
      <c r="E66" s="142">
        <v>1</v>
      </c>
      <c r="F66" s="144" t="str">
        <f>IF(AND(ISNA(VLOOKUP(D66,A:A,1,FALSE())),ISNA(VLOOKUP(D66,BaseType!A:A,1,FALSE())),D66&lt;&gt;"Struct"),"N","Y")</f>
        <v>Y</v>
      </c>
      <c r="G66" s="145" t="s">
        <v>566</v>
      </c>
      <c r="H66" s="139"/>
      <c r="I66" s="139"/>
      <c r="J66" s="139"/>
      <c r="K66" s="139"/>
      <c r="L66" s="143"/>
      <c r="M66" s="143"/>
      <c r="N66" s="140"/>
      <c r="O66" s="140"/>
      <c r="P66" s="140"/>
      <c r="Q66" s="140"/>
      <c r="R66" s="140"/>
      <c r="S66" s="140"/>
      <c r="T66" s="140"/>
    </row>
    <row r="67" spans="1:20" ht="15" customHeight="1" x14ac:dyDescent="0.2">
      <c r="A67" s="141"/>
      <c r="B67" s="143" t="str">
        <f>IF(ISBLANK(A67),"",IF(AND(ISNA(VLOOKUP(A67,Interface_Platform!E:E,1,FALSE())),ISNA(VLOOKUP(A67,D:D,1,FALSE()))),"N","Y"))</f>
        <v/>
      </c>
      <c r="C67" s="143" t="s">
        <v>567</v>
      </c>
      <c r="D67" s="143" t="s">
        <v>193</v>
      </c>
      <c r="E67" s="142">
        <v>1</v>
      </c>
      <c r="F67" s="144" t="str">
        <f>IF(AND(ISNA(VLOOKUP(D67,A:A,1,FALSE())),ISNA(VLOOKUP(D67,BaseType!A:A,1,FALSE())),D67&lt;&gt;"Struct"),"N","Y")</f>
        <v>Y</v>
      </c>
      <c r="G67" s="145" t="s">
        <v>568</v>
      </c>
      <c r="H67" s="139"/>
      <c r="I67" s="139"/>
      <c r="J67" s="139"/>
      <c r="K67" s="139"/>
      <c r="L67" s="143"/>
      <c r="M67" s="143"/>
      <c r="N67" s="140"/>
      <c r="O67" s="140"/>
      <c r="P67" s="140"/>
      <c r="Q67" s="140"/>
      <c r="R67" s="140"/>
      <c r="S67" s="140"/>
      <c r="T67" s="140"/>
    </row>
    <row r="68" spans="1:20" ht="15" customHeight="1" x14ac:dyDescent="0.2">
      <c r="A68" s="141"/>
      <c r="B68" s="143" t="str">
        <f>IF(ISBLANK(A68),"",IF(AND(ISNA(VLOOKUP(A68,Interface_Platform!E:E,1,FALSE())),ISNA(VLOOKUP(A68,D:D,1,FALSE()))),"N","Y"))</f>
        <v/>
      </c>
      <c r="C68" s="143" t="s">
        <v>569</v>
      </c>
      <c r="D68" s="143" t="s">
        <v>193</v>
      </c>
      <c r="E68" s="142">
        <v>1</v>
      </c>
      <c r="F68" s="144" t="str">
        <f>IF(AND(ISNA(VLOOKUP(D68,A:A,1,FALSE())),ISNA(VLOOKUP(D68,BaseType!A:A,1,FALSE())),D68&lt;&gt;"Struct"),"N","Y")</f>
        <v>Y</v>
      </c>
      <c r="G68" s="145" t="s">
        <v>570</v>
      </c>
      <c r="H68" s="139"/>
      <c r="I68" s="139"/>
      <c r="J68" s="139"/>
      <c r="K68" s="139"/>
      <c r="L68" s="143"/>
      <c r="M68" s="143"/>
      <c r="N68" s="140"/>
      <c r="O68" s="140"/>
      <c r="P68" s="140"/>
      <c r="Q68" s="140"/>
      <c r="R68" s="140"/>
      <c r="S68" s="140"/>
      <c r="T68" s="140"/>
    </row>
    <row r="69" spans="1:20" ht="15" customHeight="1" x14ac:dyDescent="0.2">
      <c r="A69" s="141"/>
      <c r="B69" s="143" t="str">
        <f>IF(ISBLANK(A69),"",IF(AND(ISNA(VLOOKUP(A69,Interface_Platform!E:E,1,FALSE())),ISNA(VLOOKUP(A69,D:D,1,FALSE()))),"N","Y"))</f>
        <v/>
      </c>
      <c r="C69" s="75" t="s">
        <v>571</v>
      </c>
      <c r="D69" s="143" t="s">
        <v>193</v>
      </c>
      <c r="E69" s="40">
        <v>1</v>
      </c>
      <c r="F69" s="144" t="str">
        <f>IF(AND(ISNA(VLOOKUP(D69,A:A,1,FALSE())),ISNA(VLOOKUP(D69,BaseType!A:A,1,FALSE())),D69&lt;&gt;"Struct"),"N","Y")</f>
        <v>Y</v>
      </c>
      <c r="G69" s="145" t="s">
        <v>572</v>
      </c>
      <c r="H69" s="139"/>
      <c r="I69" s="139"/>
      <c r="J69" s="139"/>
      <c r="K69" s="139"/>
      <c r="L69" s="143"/>
      <c r="M69" s="143"/>
      <c r="N69" s="140"/>
      <c r="O69" s="140"/>
      <c r="P69" s="140"/>
      <c r="Q69" s="140"/>
      <c r="R69" s="140"/>
      <c r="S69" s="140"/>
      <c r="T69" s="140"/>
    </row>
    <row r="70" spans="1:20" ht="15" customHeight="1" x14ac:dyDescent="0.2">
      <c r="A70" s="141"/>
      <c r="B70" s="143" t="str">
        <f>IF(ISBLANK(A70),"",IF(AND(ISNA(VLOOKUP(A70,Interface_Platform!E:E,1,FALSE())),ISNA(VLOOKUP(A70,D:D,1,FALSE()))),"N","Y"))</f>
        <v/>
      </c>
      <c r="C70" s="143" t="s">
        <v>573</v>
      </c>
      <c r="D70" s="143" t="s">
        <v>225</v>
      </c>
      <c r="E70" s="142">
        <v>1</v>
      </c>
      <c r="F70" s="144" t="str">
        <f>IF(AND(ISNA(VLOOKUP(D70,A:A,1,FALSE())),ISNA(VLOOKUP(D70,BaseType!A:A,1,FALSE())),D70&lt;&gt;"Struct"),"N","Y")</f>
        <v>Y</v>
      </c>
      <c r="G70" s="145" t="s">
        <v>574</v>
      </c>
      <c r="H70" s="139"/>
      <c r="I70" s="139"/>
      <c r="J70" s="139"/>
      <c r="K70" s="139"/>
      <c r="L70" s="143"/>
      <c r="M70" s="143"/>
      <c r="N70" s="140"/>
      <c r="O70" s="140"/>
      <c r="P70" s="140"/>
      <c r="Q70" s="140"/>
      <c r="R70" s="140"/>
      <c r="S70" s="140"/>
      <c r="T70" s="140"/>
    </row>
    <row r="71" spans="1:20" ht="15" customHeight="1" x14ac:dyDescent="0.2">
      <c r="A71" s="141"/>
      <c r="B71" s="143" t="str">
        <f>IF(ISBLANK(A71),"",IF(AND(ISNA(VLOOKUP(A71,Interface_Platform!E:E,1,FALSE())),ISNA(VLOOKUP(A71,D:D,1,FALSE()))),"N","Y"))</f>
        <v/>
      </c>
      <c r="C71" s="143" t="s">
        <v>575</v>
      </c>
      <c r="D71" s="143" t="s">
        <v>225</v>
      </c>
      <c r="E71" s="142">
        <v>1</v>
      </c>
      <c r="F71" s="144" t="str">
        <f>IF(AND(ISNA(VLOOKUP(D71,A:A,1,FALSE())),ISNA(VLOOKUP(D71,BaseType!A:A,1,FALSE())),D71&lt;&gt;"Struct"),"N","Y")</f>
        <v>Y</v>
      </c>
      <c r="G71" s="145" t="s">
        <v>576</v>
      </c>
      <c r="H71" s="139"/>
      <c r="I71" s="139"/>
      <c r="J71" s="139"/>
      <c r="K71" s="139"/>
      <c r="L71" s="143"/>
      <c r="M71" s="143"/>
      <c r="N71" s="140"/>
      <c r="O71" s="140"/>
      <c r="P71" s="140"/>
      <c r="Q71" s="140"/>
      <c r="R71" s="140"/>
      <c r="S71" s="140"/>
      <c r="T71" s="140"/>
    </row>
    <row r="72" spans="1:20" ht="15" customHeight="1" x14ac:dyDescent="0.2">
      <c r="A72" s="141"/>
      <c r="B72" s="143" t="str">
        <f>IF(ISBLANK(A72),"",IF(AND(ISNA(VLOOKUP(A72,Interface_Platform!E:E,1,FALSE())),ISNA(VLOOKUP(A72,D:D,1,FALSE()))),"N","Y"))</f>
        <v/>
      </c>
      <c r="C72" s="143" t="s">
        <v>577</v>
      </c>
      <c r="D72" s="143" t="s">
        <v>225</v>
      </c>
      <c r="E72" s="142">
        <v>1</v>
      </c>
      <c r="F72" s="144" t="str">
        <f>IF(AND(ISNA(VLOOKUP(D72,A:A,1,FALSE())),ISNA(VLOOKUP(D72,BaseType!A:A,1,FALSE())),D72&lt;&gt;"Struct"),"N","Y")</f>
        <v>Y</v>
      </c>
      <c r="G72" s="145" t="s">
        <v>578</v>
      </c>
      <c r="H72" s="139"/>
      <c r="I72" s="139"/>
      <c r="J72" s="139"/>
      <c r="K72" s="139"/>
      <c r="L72" s="143"/>
      <c r="M72" s="143"/>
      <c r="N72" s="140"/>
      <c r="O72" s="140"/>
      <c r="P72" s="140"/>
      <c r="Q72" s="140"/>
      <c r="R72" s="140"/>
      <c r="S72" s="140"/>
      <c r="T72" s="140"/>
    </row>
    <row r="73" spans="1:20" ht="15" customHeight="1" x14ac:dyDescent="0.2">
      <c r="A73" s="141"/>
      <c r="B73" s="143" t="str">
        <f>IF(ISBLANK(A73),"",IF(AND(ISNA(VLOOKUP(A73,Interface_Platform!E:E,1,FALSE())),ISNA(VLOOKUP(A73,D:D,1,FALSE()))),"N","Y"))</f>
        <v/>
      </c>
      <c r="C73" s="143" t="s">
        <v>579</v>
      </c>
      <c r="D73" s="143" t="s">
        <v>225</v>
      </c>
      <c r="E73" s="142">
        <v>1</v>
      </c>
      <c r="F73" s="144" t="str">
        <f>IF(AND(ISNA(VLOOKUP(D73,A:A,1,FALSE())),ISNA(VLOOKUP(D73,BaseType!A:A,1,FALSE())),D73&lt;&gt;"Struct"),"N","Y")</f>
        <v>Y</v>
      </c>
      <c r="G73" s="145" t="s">
        <v>580</v>
      </c>
      <c r="H73" s="139"/>
      <c r="I73" s="139"/>
      <c r="J73" s="139"/>
      <c r="K73" s="139"/>
      <c r="L73" s="143"/>
      <c r="M73" s="143"/>
      <c r="N73" s="140"/>
      <c r="O73" s="140"/>
      <c r="P73" s="140"/>
      <c r="Q73" s="140"/>
      <c r="R73" s="140"/>
      <c r="S73" s="140"/>
      <c r="T73" s="140"/>
    </row>
    <row r="74" spans="1:20" ht="15" customHeight="1" x14ac:dyDescent="0.2">
      <c r="A74" s="141"/>
      <c r="B74" s="143" t="str">
        <f>IF(ISBLANK(A74),"",IF(AND(ISNA(VLOOKUP(A74,Interface_Platform!E:E,1,FALSE())),ISNA(VLOOKUP(A74,D:D,1,FALSE()))),"N","Y"))</f>
        <v/>
      </c>
      <c r="C74" s="143" t="s">
        <v>581</v>
      </c>
      <c r="D74" s="143" t="s">
        <v>225</v>
      </c>
      <c r="E74" s="142">
        <v>1</v>
      </c>
      <c r="F74" s="144" t="str">
        <f>IF(AND(ISNA(VLOOKUP(D74,A:A,1,FALSE())),ISNA(VLOOKUP(D74,BaseType!A:A,1,FALSE())),D74&lt;&gt;"Struct"),"N","Y")</f>
        <v>Y</v>
      </c>
      <c r="G74" s="145" t="s">
        <v>582</v>
      </c>
      <c r="H74" s="139"/>
      <c r="I74" s="139"/>
      <c r="J74" s="139"/>
      <c r="K74" s="139"/>
      <c r="L74" s="143"/>
      <c r="M74" s="143"/>
      <c r="N74" s="140"/>
      <c r="O74" s="140"/>
      <c r="P74" s="140"/>
      <c r="Q74" s="140"/>
      <c r="R74" s="140"/>
      <c r="S74" s="140"/>
      <c r="T74" s="140"/>
    </row>
    <row r="75" spans="1:20" ht="15" customHeight="1" x14ac:dyDescent="0.2">
      <c r="A75" s="141"/>
      <c r="B75" s="143"/>
      <c r="C75" s="143" t="s">
        <v>583</v>
      </c>
      <c r="D75" s="143" t="s">
        <v>193</v>
      </c>
      <c r="E75" s="142">
        <v>1</v>
      </c>
      <c r="F75" s="144" t="str">
        <f>IF(AND(ISNA(VLOOKUP(D75,A:A,1,FALSE())),ISNA(VLOOKUP(D75,BaseType!A:A,1,FALSE())),D75&lt;&gt;"Struct"),"N","Y")</f>
        <v>Y</v>
      </c>
      <c r="G75" s="145" t="s">
        <v>584</v>
      </c>
      <c r="H75" s="139"/>
      <c r="I75" s="139"/>
      <c r="J75" s="139"/>
      <c r="K75" s="139"/>
      <c r="L75" s="143"/>
      <c r="M75" s="143"/>
      <c r="N75" s="140"/>
      <c r="O75" s="140"/>
      <c r="P75" s="140"/>
      <c r="Q75" s="140"/>
      <c r="R75" s="140"/>
      <c r="S75" s="140"/>
      <c r="T75" s="140"/>
    </row>
    <row r="76" spans="1:20" ht="15" customHeight="1" x14ac:dyDescent="0.2">
      <c r="A76" s="141"/>
      <c r="B76" s="143"/>
      <c r="C76" s="143" t="s">
        <v>585</v>
      </c>
      <c r="D76" s="143" t="s">
        <v>293</v>
      </c>
      <c r="E76" s="142">
        <v>1</v>
      </c>
      <c r="F76" s="144" t="str">
        <f>IF(AND(ISNA(VLOOKUP(D76,A:A,1,FALSE())),ISNA(VLOOKUP(D76,BaseType!A:A,1,FALSE())),D76&lt;&gt;"Struct"),"N","Y")</f>
        <v>Y</v>
      </c>
      <c r="G76" s="145" t="s">
        <v>586</v>
      </c>
      <c r="H76" s="139"/>
      <c r="I76" s="139"/>
      <c r="J76" s="139"/>
      <c r="K76" s="139"/>
      <c r="L76" s="143"/>
      <c r="M76" s="143"/>
      <c r="N76" s="140"/>
      <c r="O76" s="140"/>
      <c r="P76" s="140"/>
      <c r="Q76" s="140"/>
      <c r="R76" s="140"/>
      <c r="S76" s="140"/>
      <c r="T76" s="140"/>
    </row>
    <row r="77" spans="1:20" ht="15" customHeight="1" x14ac:dyDescent="0.2">
      <c r="A77" s="141"/>
      <c r="B77" s="143"/>
      <c r="C77" s="143" t="s">
        <v>587</v>
      </c>
      <c r="D77" s="143" t="s">
        <v>225</v>
      </c>
      <c r="E77" s="142">
        <v>1</v>
      </c>
      <c r="F77" s="144" t="str">
        <f>IF(AND(ISNA(VLOOKUP(D77,A:A,1,FALSE())),ISNA(VLOOKUP(D77,BaseType!A:A,1,FALSE())),D77&lt;&gt;"Struct"),"N","Y")</f>
        <v>Y</v>
      </c>
      <c r="G77" s="145" t="s">
        <v>588</v>
      </c>
      <c r="H77" s="139"/>
      <c r="I77" s="139"/>
      <c r="J77" s="139"/>
      <c r="K77" s="139"/>
      <c r="L77" s="143"/>
      <c r="M77" s="143"/>
      <c r="N77" s="140"/>
      <c r="O77" s="140"/>
      <c r="P77" s="140"/>
      <c r="Q77" s="140"/>
      <c r="R77" s="140"/>
      <c r="S77" s="140"/>
      <c r="T77" s="140"/>
    </row>
    <row r="78" spans="1:20" ht="15" customHeight="1" x14ac:dyDescent="0.2">
      <c r="A78" s="141"/>
      <c r="B78" s="143"/>
      <c r="C78" s="143" t="s">
        <v>589</v>
      </c>
      <c r="D78" s="143" t="s">
        <v>293</v>
      </c>
      <c r="E78" s="142">
        <v>1</v>
      </c>
      <c r="F78" s="144" t="str">
        <f>IF(AND(ISNA(VLOOKUP(D78,A:A,1,FALSE())),ISNA(VLOOKUP(D78,BaseType!A:A,1,FALSE())),D78&lt;&gt;"Struct"),"N","Y")</f>
        <v>Y</v>
      </c>
      <c r="G78" s="145" t="s">
        <v>590</v>
      </c>
      <c r="H78" s="139"/>
      <c r="I78" s="139"/>
      <c r="J78" s="139"/>
      <c r="K78" s="139"/>
      <c r="L78" s="143"/>
      <c r="M78" s="143"/>
      <c r="N78" s="140"/>
      <c r="O78" s="140"/>
      <c r="P78" s="140"/>
      <c r="Q78" s="140"/>
      <c r="R78" s="140"/>
      <c r="S78" s="140"/>
      <c r="T78" s="140"/>
    </row>
    <row r="79" spans="1:20" ht="15" customHeight="1" x14ac:dyDescent="0.2">
      <c r="A79" s="141"/>
      <c r="B79" s="143"/>
      <c r="C79" s="143" t="s">
        <v>591</v>
      </c>
      <c r="D79" s="143" t="s">
        <v>225</v>
      </c>
      <c r="E79" s="142">
        <v>1</v>
      </c>
      <c r="F79" s="144" t="str">
        <f>IF(AND(ISNA(VLOOKUP(D79,A:A,1,FALSE())),ISNA(VLOOKUP(D79,BaseType!A:A,1,FALSE())),D79&lt;&gt;"Struct"),"N","Y")</f>
        <v>Y</v>
      </c>
      <c r="G79" s="145" t="s">
        <v>592</v>
      </c>
      <c r="H79" s="139"/>
      <c r="I79" s="139"/>
      <c r="J79" s="139"/>
      <c r="K79" s="139"/>
      <c r="L79" s="143"/>
      <c r="M79" s="143"/>
      <c r="N79" s="140"/>
      <c r="O79" s="140"/>
      <c r="P79" s="140"/>
      <c r="Q79" s="140"/>
      <c r="R79" s="140"/>
      <c r="S79" s="140"/>
      <c r="T79" s="140"/>
    </row>
    <row r="80" spans="1:20" ht="15" customHeight="1" x14ac:dyDescent="0.2">
      <c r="A80" s="143" t="s">
        <v>340</v>
      </c>
      <c r="B80" s="143" t="str">
        <f>IF(ISBLANK(A80),"",IF(AND(ISNA(VLOOKUP(A80,Interface_Platform!E:E,1,FALSE())),ISNA(VLOOKUP(A80,D:D,1,FALSE()))),"N","Y"))</f>
        <v>Y</v>
      </c>
      <c r="C80" s="75"/>
      <c r="D80" s="143" t="s">
        <v>484</v>
      </c>
      <c r="E80" s="142">
        <v>1</v>
      </c>
      <c r="F80" s="144" t="str">
        <f>IF(AND(ISNA(VLOOKUP(D80,A:A,1,FALSE())),ISNA(VLOOKUP(D80,BaseType!A:A,1,FALSE())),D80&lt;&gt;"Struct"),"N","Y")</f>
        <v>Y</v>
      </c>
      <c r="G80" s="145"/>
      <c r="H80" s="139">
        <v>0</v>
      </c>
      <c r="I80" s="139">
        <v>0</v>
      </c>
      <c r="J80" s="139">
        <v>0</v>
      </c>
      <c r="K80" s="139">
        <v>0</v>
      </c>
      <c r="L80" s="143">
        <v>0</v>
      </c>
      <c r="M80" s="143">
        <v>0</v>
      </c>
      <c r="N80" s="140"/>
      <c r="O80" s="140"/>
      <c r="P80" s="140"/>
      <c r="Q80" s="140"/>
      <c r="R80" s="140"/>
      <c r="S80" s="140"/>
      <c r="T80" s="140"/>
    </row>
    <row r="81" spans="1:20" ht="15" customHeight="1" x14ac:dyDescent="0.2">
      <c r="A81" s="141"/>
      <c r="B81" s="143" t="str">
        <f>IF(ISBLANK(A81),"",IF(AND(ISNA(VLOOKUP(A81,Interface_Platform!E:E,1,FALSE())),ISNA(VLOOKUP(A81,D:D,1,FALSE()))),"N","Y"))</f>
        <v/>
      </c>
      <c r="C81" s="143" t="s">
        <v>593</v>
      </c>
      <c r="D81" s="143" t="s">
        <v>293</v>
      </c>
      <c r="E81" s="142">
        <v>1</v>
      </c>
      <c r="F81" s="144" t="str">
        <f>IF(AND(ISNA(VLOOKUP(D81,A:A,1,FALSE())),ISNA(VLOOKUP(D81,BaseType!A:A,1,FALSE())),D81&lt;&gt;"Struct"),"N","Y")</f>
        <v>Y</v>
      </c>
      <c r="G81" s="145"/>
      <c r="H81" s="139">
        <v>0</v>
      </c>
      <c r="I81" s="139">
        <v>0</v>
      </c>
      <c r="J81" s="139">
        <v>0</v>
      </c>
      <c r="K81" s="139">
        <v>0</v>
      </c>
      <c r="L81" s="143">
        <v>0</v>
      </c>
      <c r="M81" s="143">
        <v>0</v>
      </c>
      <c r="N81" s="140"/>
      <c r="O81" s="140"/>
      <c r="P81" s="140"/>
      <c r="Q81" s="140"/>
      <c r="R81" s="140"/>
      <c r="S81" s="140"/>
      <c r="T81" s="140"/>
    </row>
    <row r="82" spans="1:20" ht="15" customHeight="1" x14ac:dyDescent="0.2">
      <c r="A82" s="141"/>
      <c r="B82" s="143" t="str">
        <f>IF(ISBLANK(A82),"",IF(AND(ISNA(VLOOKUP(A82,Interface_Platform!E:E,1,FALSE())),ISNA(VLOOKUP(A82,D:D,1,FALSE()))),"N","Y"))</f>
        <v/>
      </c>
      <c r="C82" s="143" t="s">
        <v>594</v>
      </c>
      <c r="D82" s="143" t="s">
        <v>225</v>
      </c>
      <c r="E82" s="142">
        <v>1</v>
      </c>
      <c r="F82" s="144" t="str">
        <f>IF(AND(ISNA(VLOOKUP(D82,A:A,1,FALSE())),ISNA(VLOOKUP(D82,BaseType!A:A,1,FALSE())),D82&lt;&gt;"Struct"),"N","Y")</f>
        <v>Y</v>
      </c>
      <c r="G82" s="145"/>
      <c r="H82" s="139">
        <v>0</v>
      </c>
      <c r="I82" s="139">
        <v>0</v>
      </c>
      <c r="J82" s="139">
        <v>0</v>
      </c>
      <c r="K82" s="139">
        <v>0</v>
      </c>
      <c r="L82" s="143">
        <v>0</v>
      </c>
      <c r="M82" s="143">
        <v>0</v>
      </c>
      <c r="N82" s="140"/>
      <c r="O82" s="140"/>
      <c r="P82" s="140"/>
      <c r="Q82" s="140"/>
      <c r="R82" s="140"/>
      <c r="S82" s="140"/>
      <c r="T82" s="140"/>
    </row>
    <row r="83" spans="1:20" ht="15" customHeight="1" x14ac:dyDescent="0.2">
      <c r="A83" s="141"/>
      <c r="B83" s="143" t="str">
        <f>IF(ISBLANK(A83),"",IF(AND(ISNA(VLOOKUP(A83,Interface_Platform!E:E,1,FALSE())),ISNA(VLOOKUP(A83,D:D,1,FALSE()))),"N","Y"))</f>
        <v/>
      </c>
      <c r="C83" s="143" t="s">
        <v>595</v>
      </c>
      <c r="D83" s="143" t="s">
        <v>225</v>
      </c>
      <c r="E83" s="142">
        <v>1</v>
      </c>
      <c r="F83" s="144" t="str">
        <f>IF(AND(ISNA(VLOOKUP(D83,A:A,1,FALSE())),ISNA(VLOOKUP(D83,BaseType!A:A,1,FALSE())),D83&lt;&gt;"Struct"),"N","Y")</f>
        <v>Y</v>
      </c>
      <c r="G83" s="145"/>
      <c r="H83" s="139">
        <v>0</v>
      </c>
      <c r="I83" s="139">
        <v>0</v>
      </c>
      <c r="J83" s="139">
        <v>0</v>
      </c>
      <c r="K83" s="139">
        <v>0</v>
      </c>
      <c r="L83" s="143">
        <v>0</v>
      </c>
      <c r="M83" s="143">
        <v>0</v>
      </c>
      <c r="N83" s="140"/>
      <c r="O83" s="140"/>
      <c r="P83" s="140"/>
      <c r="Q83" s="140"/>
      <c r="R83" s="140"/>
      <c r="S83" s="140"/>
      <c r="T83" s="140"/>
    </row>
    <row r="84" spans="1:20" ht="15" customHeight="1" x14ac:dyDescent="0.2">
      <c r="A84" s="141"/>
      <c r="B84" s="143" t="str">
        <f>IF(ISBLANK(A84),"",IF(AND(ISNA(VLOOKUP(A84,Interface_Platform!E:E,1,FALSE())),ISNA(VLOOKUP(A84,D:D,1,FALSE()))),"N","Y"))</f>
        <v/>
      </c>
      <c r="C84" s="143" t="s">
        <v>596</v>
      </c>
      <c r="D84" s="143" t="s">
        <v>225</v>
      </c>
      <c r="E84" s="142">
        <v>1</v>
      </c>
      <c r="F84" s="144" t="str">
        <f>IF(AND(ISNA(VLOOKUP(D84,A:A,1,FALSE())),ISNA(VLOOKUP(D84,BaseType!A:A,1,FALSE())),D84&lt;&gt;"Struct"),"N","Y")</f>
        <v>Y</v>
      </c>
      <c r="G84" s="145"/>
      <c r="H84" s="139">
        <v>0</v>
      </c>
      <c r="I84" s="139">
        <v>0</v>
      </c>
      <c r="J84" s="139">
        <v>0</v>
      </c>
      <c r="K84" s="139">
        <v>0</v>
      </c>
      <c r="L84" s="143">
        <v>0</v>
      </c>
      <c r="M84" s="143">
        <v>0</v>
      </c>
      <c r="N84" s="140"/>
      <c r="O84" s="140"/>
      <c r="P84" s="140"/>
      <c r="Q84" s="140"/>
      <c r="R84" s="140"/>
      <c r="S84" s="140"/>
      <c r="T84" s="140"/>
    </row>
    <row r="85" spans="1:20" ht="15" customHeight="1" x14ac:dyDescent="0.2">
      <c r="A85" s="141"/>
      <c r="B85" s="143" t="str">
        <f>IF(ISBLANK(A85),"",IF(AND(ISNA(VLOOKUP(A85,Interface_Platform!E:E,1,FALSE())),ISNA(VLOOKUP(A85,D:D,1,FALSE()))),"N","Y"))</f>
        <v/>
      </c>
      <c r="C85" s="143" t="s">
        <v>597</v>
      </c>
      <c r="D85" s="143" t="s">
        <v>225</v>
      </c>
      <c r="E85" s="142">
        <v>1</v>
      </c>
      <c r="F85" s="144" t="str">
        <f>IF(AND(ISNA(VLOOKUP(D85,A:A,1,FALSE())),ISNA(VLOOKUP(D85,BaseType!A:A,1,FALSE())),D85&lt;&gt;"Struct"),"N","Y")</f>
        <v>Y</v>
      </c>
      <c r="G85" s="145"/>
      <c r="H85" s="139">
        <v>0</v>
      </c>
      <c r="I85" s="139">
        <v>0</v>
      </c>
      <c r="J85" s="139">
        <v>0</v>
      </c>
      <c r="K85" s="139">
        <v>0</v>
      </c>
      <c r="L85" s="143">
        <v>0</v>
      </c>
      <c r="M85" s="143">
        <v>0</v>
      </c>
      <c r="N85" s="140"/>
      <c r="O85" s="140"/>
      <c r="P85" s="140"/>
      <c r="Q85" s="140"/>
      <c r="R85" s="140"/>
      <c r="S85" s="140"/>
      <c r="T85" s="140"/>
    </row>
    <row r="86" spans="1:20" ht="15" customHeight="1" x14ac:dyDescent="0.2">
      <c r="A86" s="141"/>
      <c r="B86" s="143" t="str">
        <f>IF(ISBLANK(A86),"",IF(AND(ISNA(VLOOKUP(A86,Interface_Platform!E:E,1,FALSE())),ISNA(VLOOKUP(A86,D:D,1,FALSE()))),"N","Y"))</f>
        <v/>
      </c>
      <c r="C86" s="143" t="s">
        <v>598</v>
      </c>
      <c r="D86" s="143" t="s">
        <v>225</v>
      </c>
      <c r="E86" s="142">
        <v>1</v>
      </c>
      <c r="F86" s="144" t="str">
        <f>IF(AND(ISNA(VLOOKUP(D86,A:A,1,FALSE())),ISNA(VLOOKUP(D86,BaseType!A:A,1,FALSE())),D86&lt;&gt;"Struct"),"N","Y")</f>
        <v>Y</v>
      </c>
      <c r="G86" s="145"/>
      <c r="H86" s="139">
        <v>0</v>
      </c>
      <c r="I86" s="139">
        <v>0</v>
      </c>
      <c r="J86" s="139">
        <v>0</v>
      </c>
      <c r="K86" s="139">
        <v>0</v>
      </c>
      <c r="L86" s="143">
        <v>0</v>
      </c>
      <c r="M86" s="143">
        <v>0</v>
      </c>
      <c r="N86" s="140"/>
      <c r="O86" s="140"/>
      <c r="P86" s="140"/>
      <c r="Q86" s="140"/>
      <c r="R86" s="140"/>
      <c r="S86" s="140"/>
      <c r="T86" s="140"/>
    </row>
    <row r="87" spans="1:20" ht="15" customHeight="1" x14ac:dyDescent="0.2">
      <c r="A87" s="143" t="s">
        <v>197</v>
      </c>
      <c r="B87" s="143" t="str">
        <f>IF(ISBLANK(A87),"",IF(AND(ISNA(VLOOKUP(A87,Interface_Platform!E:E,1,FALSE())),ISNA(VLOOKUP(A87,D:D,1,FALSE()))),"N","Y"))</f>
        <v>Y</v>
      </c>
      <c r="C87" s="75"/>
      <c r="D87" s="143" t="s">
        <v>484</v>
      </c>
      <c r="E87" s="40"/>
      <c r="F87" s="144" t="str">
        <f>IF(AND(ISNA(VLOOKUP(D87,A:A,1,FALSE())),ISNA(VLOOKUP(D87,BaseType!A:A,1,FALSE())),D87&lt;&gt;"Struct"),"N","Y")</f>
        <v>Y</v>
      </c>
      <c r="G87" s="145"/>
      <c r="H87" s="139">
        <v>0</v>
      </c>
      <c r="I87" s="139">
        <v>0</v>
      </c>
      <c r="J87" s="139">
        <v>0</v>
      </c>
      <c r="K87" s="139">
        <v>0</v>
      </c>
      <c r="L87" s="143">
        <v>0</v>
      </c>
      <c r="M87" s="143">
        <v>0</v>
      </c>
      <c r="N87" s="140"/>
      <c r="O87" s="140"/>
      <c r="P87" s="140"/>
      <c r="Q87" s="140"/>
      <c r="R87" s="140"/>
      <c r="S87" s="140"/>
      <c r="T87" s="140"/>
    </row>
    <row r="88" spans="1:20" ht="15" customHeight="1" x14ac:dyDescent="0.2">
      <c r="A88" s="141"/>
      <c r="B88" s="143" t="str">
        <f>IF(ISBLANK(A88),"",IF(AND(ISNA(VLOOKUP(A88,Interface_Platform!E:E,1,FALSE())),ISNA(VLOOKUP(A88,D:D,1,FALSE()))),"N","Y"))</f>
        <v/>
      </c>
      <c r="C88" s="143" t="s">
        <v>599</v>
      </c>
      <c r="D88" s="143" t="s">
        <v>193</v>
      </c>
      <c r="E88" s="142">
        <v>1</v>
      </c>
      <c r="F88" s="144" t="str">
        <f>IF(AND(ISNA(VLOOKUP(D88,A:A,1,FALSE())),ISNA(VLOOKUP(D88,BaseType!A:A,1,FALSE())),D88&lt;&gt;"Struct"),"N","Y")</f>
        <v>Y</v>
      </c>
      <c r="G88" s="145" t="s">
        <v>600</v>
      </c>
      <c r="H88" s="139">
        <v>0</v>
      </c>
      <c r="I88" s="139">
        <v>0</v>
      </c>
      <c r="J88" s="139">
        <v>0</v>
      </c>
      <c r="K88" s="139">
        <v>0</v>
      </c>
      <c r="L88" s="143">
        <v>0</v>
      </c>
      <c r="M88" s="143">
        <v>0</v>
      </c>
      <c r="N88" s="140"/>
      <c r="O88" s="140"/>
      <c r="P88" s="140"/>
      <c r="Q88" s="140"/>
      <c r="R88" s="140"/>
      <c r="S88" s="140"/>
      <c r="T88" s="140"/>
    </row>
    <row r="89" spans="1:20" ht="15" customHeight="1" x14ac:dyDescent="0.2">
      <c r="A89" s="141"/>
      <c r="B89" s="143" t="str">
        <f>IF(ISBLANK(A89),"",IF(AND(ISNA(VLOOKUP(A89,Interface_Platform!E:E,1,FALSE())),ISNA(VLOOKUP(A89,D:D,1,FALSE()))),"N","Y"))</f>
        <v/>
      </c>
      <c r="C89" s="143" t="s">
        <v>601</v>
      </c>
      <c r="D89" s="143" t="s">
        <v>193</v>
      </c>
      <c r="E89" s="142">
        <v>1</v>
      </c>
      <c r="F89" s="144" t="str">
        <f>IF(AND(ISNA(VLOOKUP(D89,A:A,1,FALSE())),ISNA(VLOOKUP(D89,BaseType!A:A,1,FALSE())),D89&lt;&gt;"Struct"),"N","Y")</f>
        <v>Y</v>
      </c>
      <c r="G89" s="145" t="s">
        <v>600</v>
      </c>
      <c r="H89" s="139">
        <v>0</v>
      </c>
      <c r="I89" s="139">
        <v>0</v>
      </c>
      <c r="J89" s="139">
        <v>0</v>
      </c>
      <c r="K89" s="139">
        <v>0</v>
      </c>
      <c r="L89" s="143">
        <v>0</v>
      </c>
      <c r="M89" s="143">
        <v>0</v>
      </c>
      <c r="N89" s="140"/>
      <c r="O89" s="140"/>
      <c r="P89" s="140"/>
      <c r="Q89" s="140"/>
      <c r="R89" s="140"/>
      <c r="S89" s="140"/>
      <c r="T89" s="140"/>
    </row>
    <row r="90" spans="1:20" ht="15" customHeight="1" x14ac:dyDescent="0.2">
      <c r="A90" s="141"/>
      <c r="B90" s="143" t="str">
        <f>IF(ISBLANK(A90),"",IF(AND(ISNA(VLOOKUP(A90,Interface_Platform!E:E,1,FALSE())),ISNA(VLOOKUP(A90,D:D,1,FALSE()))),"N","Y"))</f>
        <v/>
      </c>
      <c r="C90" s="143" t="s">
        <v>602</v>
      </c>
      <c r="D90" s="143" t="s">
        <v>193</v>
      </c>
      <c r="E90" s="142">
        <v>1</v>
      </c>
      <c r="F90" s="144" t="str">
        <f>IF(AND(ISNA(VLOOKUP(D90,A:A,1,FALSE())),ISNA(VLOOKUP(D90,BaseType!A:A,1,FALSE())),D90&lt;&gt;"Struct"),"N","Y")</f>
        <v>Y</v>
      </c>
      <c r="G90" s="145"/>
      <c r="H90" s="139">
        <v>0</v>
      </c>
      <c r="I90" s="139">
        <v>0</v>
      </c>
      <c r="J90" s="139">
        <v>0</v>
      </c>
      <c r="K90" s="139">
        <v>0</v>
      </c>
      <c r="L90" s="143">
        <v>0</v>
      </c>
      <c r="M90" s="143">
        <v>0</v>
      </c>
      <c r="N90" s="140"/>
      <c r="O90" s="140"/>
      <c r="P90" s="140"/>
      <c r="Q90" s="140"/>
      <c r="R90" s="140"/>
      <c r="S90" s="140"/>
      <c r="T90" s="140"/>
    </row>
    <row r="91" spans="1:20" ht="15" customHeight="1" x14ac:dyDescent="0.2">
      <c r="A91" s="141"/>
      <c r="B91" s="143" t="str">
        <f>IF(ISBLANK(A91),"",IF(AND(ISNA(VLOOKUP(A91,Interface_Platform!E:E,1,FALSE())),ISNA(VLOOKUP(A91,D:D,1,FALSE()))),"N","Y"))</f>
        <v/>
      </c>
      <c r="C91" s="143" t="s">
        <v>603</v>
      </c>
      <c r="D91" s="143" t="s">
        <v>225</v>
      </c>
      <c r="E91" s="142">
        <v>1</v>
      </c>
      <c r="F91" s="144" t="str">
        <f>IF(AND(ISNA(VLOOKUP(D91,A:A,1,FALSE())),ISNA(VLOOKUP(D91,BaseType!A:A,1,FALSE())),D91&lt;&gt;"Struct"),"N","Y")</f>
        <v>Y</v>
      </c>
      <c r="G91" s="145" t="s">
        <v>604</v>
      </c>
      <c r="H91" s="139">
        <v>0</v>
      </c>
      <c r="I91" s="139">
        <v>0</v>
      </c>
      <c r="J91" s="139">
        <v>0</v>
      </c>
      <c r="K91" s="139">
        <v>0</v>
      </c>
      <c r="L91" s="143">
        <v>0</v>
      </c>
      <c r="M91" s="143">
        <v>0</v>
      </c>
      <c r="N91" s="140"/>
      <c r="O91" s="140"/>
      <c r="P91" s="140"/>
      <c r="Q91" s="140"/>
      <c r="R91" s="140"/>
      <c r="S91" s="140"/>
      <c r="T91" s="140"/>
    </row>
    <row r="92" spans="1:20" ht="15" customHeight="1" x14ac:dyDescent="0.2">
      <c r="A92" s="141"/>
      <c r="B92" s="143" t="str">
        <f>IF(ISBLANK(A92),"",IF(AND(ISNA(VLOOKUP(A92,Interface_Platform!E:E,1,FALSE())),ISNA(VLOOKUP(A92,D:D,1,FALSE()))),"N","Y"))</f>
        <v/>
      </c>
      <c r="C92" s="143" t="s">
        <v>605</v>
      </c>
      <c r="D92" s="143" t="s">
        <v>225</v>
      </c>
      <c r="E92" s="142">
        <v>1</v>
      </c>
      <c r="F92" s="144" t="str">
        <f>IF(AND(ISNA(VLOOKUP(D92,A:A,1,FALSE())),ISNA(VLOOKUP(D92,BaseType!A:A,1,FALSE())),D92&lt;&gt;"Struct"),"N","Y")</f>
        <v>Y</v>
      </c>
      <c r="G92" s="145" t="s">
        <v>606</v>
      </c>
      <c r="H92" s="139">
        <v>0</v>
      </c>
      <c r="I92" s="139">
        <v>0</v>
      </c>
      <c r="J92" s="139">
        <v>0</v>
      </c>
      <c r="K92" s="139">
        <v>0</v>
      </c>
      <c r="L92" s="143">
        <v>0</v>
      </c>
      <c r="M92" s="143">
        <v>0</v>
      </c>
      <c r="N92" s="140"/>
      <c r="O92" s="140"/>
      <c r="P92" s="140"/>
      <c r="Q92" s="140"/>
      <c r="R92" s="140"/>
      <c r="S92" s="140"/>
      <c r="T92" s="140"/>
    </row>
    <row r="93" spans="1:20" ht="15" customHeight="1" x14ac:dyDescent="0.2">
      <c r="A93" s="149"/>
      <c r="B93" s="148"/>
      <c r="C93" s="148" t="s">
        <v>607</v>
      </c>
      <c r="D93" s="148" t="s">
        <v>298</v>
      </c>
      <c r="E93" s="154">
        <v>1</v>
      </c>
      <c r="F93" s="144" t="str">
        <f>IF(AND(ISNA(VLOOKUP(D93,A:A,1,FALSE())),ISNA(VLOOKUP(D93,BaseType!A:A,1,FALSE())),D93&lt;&gt;"Struct"),"N","Y")</f>
        <v>Y</v>
      </c>
      <c r="G93" s="153" t="s">
        <v>608</v>
      </c>
      <c r="H93" s="152">
        <v>0</v>
      </c>
      <c r="I93" s="152">
        <v>0</v>
      </c>
      <c r="J93" s="152">
        <v>0</v>
      </c>
      <c r="K93" s="152">
        <v>0</v>
      </c>
      <c r="L93" s="148">
        <v>0</v>
      </c>
      <c r="M93" s="148">
        <v>0</v>
      </c>
      <c r="N93" s="42"/>
      <c r="O93" s="42"/>
      <c r="P93" s="42"/>
      <c r="Q93" s="42"/>
      <c r="R93" s="42"/>
      <c r="S93" s="42"/>
      <c r="T93" s="42"/>
    </row>
    <row r="94" spans="1:20" ht="15" customHeight="1" x14ac:dyDescent="0.2">
      <c r="A94" s="149"/>
      <c r="B94" s="148"/>
      <c r="C94" s="148" t="s">
        <v>609</v>
      </c>
      <c r="D94" s="148" t="s">
        <v>298</v>
      </c>
      <c r="E94" s="154">
        <v>1</v>
      </c>
      <c r="F94" s="144" t="str">
        <f>IF(AND(ISNA(VLOOKUP(D94,A:A,1,FALSE())),ISNA(VLOOKUP(D94,BaseType!A:A,1,FALSE())),D94&lt;&gt;"Struct"),"N","Y")</f>
        <v>Y</v>
      </c>
      <c r="G94" s="153"/>
      <c r="H94" s="152">
        <v>0</v>
      </c>
      <c r="I94" s="152">
        <v>0</v>
      </c>
      <c r="J94" s="152">
        <v>0</v>
      </c>
      <c r="K94" s="152">
        <v>0</v>
      </c>
      <c r="L94" s="148">
        <v>0</v>
      </c>
      <c r="M94" s="148">
        <v>0</v>
      </c>
      <c r="N94" s="42"/>
      <c r="O94" s="42"/>
      <c r="P94" s="42"/>
      <c r="Q94" s="42"/>
      <c r="R94" s="42"/>
      <c r="S94" s="42"/>
      <c r="T94" s="42"/>
    </row>
    <row r="95" spans="1:20" ht="15" customHeight="1" x14ac:dyDescent="0.2">
      <c r="A95" s="149"/>
      <c r="B95" s="148"/>
      <c r="C95" s="148" t="s">
        <v>610</v>
      </c>
      <c r="D95" s="148" t="s">
        <v>298</v>
      </c>
      <c r="E95" s="154">
        <v>1</v>
      </c>
      <c r="F95" s="144" t="str">
        <f>IF(AND(ISNA(VLOOKUP(D95,A:A,1,FALSE())),ISNA(VLOOKUP(D95,BaseType!A:A,1,FALSE())),D95&lt;&gt;"Struct"),"N","Y")</f>
        <v>Y</v>
      </c>
      <c r="G95" s="153"/>
      <c r="H95" s="152">
        <v>0</v>
      </c>
      <c r="I95" s="152">
        <v>0</v>
      </c>
      <c r="J95" s="152">
        <v>0</v>
      </c>
      <c r="K95" s="152">
        <v>0</v>
      </c>
      <c r="L95" s="148">
        <v>0</v>
      </c>
      <c r="M95" s="148">
        <v>0</v>
      </c>
      <c r="N95" s="42"/>
      <c r="O95" s="42"/>
      <c r="P95" s="42"/>
      <c r="Q95" s="42"/>
      <c r="R95" s="42"/>
      <c r="S95" s="42"/>
      <c r="T95" s="42"/>
    </row>
    <row r="96" spans="1:20" ht="15" customHeight="1" x14ac:dyDescent="0.2">
      <c r="A96" s="149"/>
      <c r="B96" s="148"/>
      <c r="C96" s="148" t="s">
        <v>611</v>
      </c>
      <c r="D96" s="148" t="s">
        <v>298</v>
      </c>
      <c r="E96" s="154">
        <v>1</v>
      </c>
      <c r="F96" s="144" t="str">
        <f>IF(AND(ISNA(VLOOKUP(D96,A:A,1,FALSE())),ISNA(VLOOKUP(D96,BaseType!A:A,1,FALSE())),D96&lt;&gt;"Struct"),"N","Y")</f>
        <v>Y</v>
      </c>
      <c r="G96" s="153" t="s">
        <v>612</v>
      </c>
      <c r="H96" s="152">
        <v>0</v>
      </c>
      <c r="I96" s="152">
        <v>0</v>
      </c>
      <c r="J96" s="152">
        <v>0</v>
      </c>
      <c r="K96" s="152">
        <v>0</v>
      </c>
      <c r="L96" s="148">
        <v>0</v>
      </c>
      <c r="M96" s="148">
        <v>0</v>
      </c>
      <c r="N96" s="42"/>
      <c r="O96" s="42"/>
      <c r="P96" s="42"/>
      <c r="Q96" s="42"/>
      <c r="R96" s="42"/>
      <c r="S96" s="42"/>
      <c r="T96" s="42"/>
    </row>
    <row r="97" spans="1:20" ht="15" customHeight="1" x14ac:dyDescent="0.2">
      <c r="A97" s="149"/>
      <c r="B97" s="148"/>
      <c r="C97" s="148" t="s">
        <v>613</v>
      </c>
      <c r="D97" s="148" t="s">
        <v>298</v>
      </c>
      <c r="E97" s="154">
        <v>1</v>
      </c>
      <c r="F97" s="144" t="str">
        <f>IF(AND(ISNA(VLOOKUP(D97,A:A,1,FALSE())),ISNA(VLOOKUP(D97,BaseType!A:A,1,FALSE())),D97&lt;&gt;"Struct"),"N","Y")</f>
        <v>Y</v>
      </c>
      <c r="G97" s="153" t="s">
        <v>614</v>
      </c>
      <c r="H97" s="152">
        <v>0</v>
      </c>
      <c r="I97" s="152">
        <v>0</v>
      </c>
      <c r="J97" s="152">
        <v>0</v>
      </c>
      <c r="K97" s="152">
        <v>0</v>
      </c>
      <c r="L97" s="148">
        <v>0</v>
      </c>
      <c r="M97" s="148">
        <v>0</v>
      </c>
      <c r="N97" s="42"/>
      <c r="O97" s="42"/>
      <c r="P97" s="42"/>
      <c r="Q97" s="42"/>
      <c r="R97" s="42"/>
      <c r="S97" s="42"/>
      <c r="T97" s="42"/>
    </row>
    <row r="98" spans="1:20" ht="15" customHeight="1" x14ac:dyDescent="0.2">
      <c r="A98" s="149"/>
      <c r="B98" s="148" t="str">
        <f>IF(ISBLANK(A98),"",IF(AND(ISNA(VLOOKUP(A98,Interface_Platform!E:E,1,FALSE())),ISNA(VLOOKUP(A98,D:D,1,FALSE()))),"N","Y"))</f>
        <v/>
      </c>
      <c r="C98" s="148" t="s">
        <v>615</v>
      </c>
      <c r="D98" s="148" t="s">
        <v>298</v>
      </c>
      <c r="E98" s="154">
        <v>1</v>
      </c>
      <c r="F98" s="144" t="str">
        <f>IF(AND(ISNA(VLOOKUP(D98,A:A,1,FALSE())),ISNA(VLOOKUP(D98,BaseType!A:A,1,FALSE())),D98&lt;&gt;"Struct"),"N","Y")</f>
        <v>Y</v>
      </c>
      <c r="G98" s="153"/>
      <c r="H98" s="152">
        <v>0</v>
      </c>
      <c r="I98" s="152">
        <v>0</v>
      </c>
      <c r="J98" s="152">
        <v>0</v>
      </c>
      <c r="K98" s="152">
        <v>0</v>
      </c>
      <c r="L98" s="148">
        <v>0</v>
      </c>
      <c r="M98" s="148">
        <v>0</v>
      </c>
      <c r="N98" s="42"/>
      <c r="O98" s="42"/>
      <c r="P98" s="42"/>
      <c r="Q98" s="42"/>
      <c r="R98" s="42"/>
      <c r="S98" s="42"/>
      <c r="T98" s="42"/>
    </row>
    <row r="99" spans="1:20" ht="15" customHeight="1" x14ac:dyDescent="0.2">
      <c r="A99" s="149"/>
      <c r="B99" s="148" t="str">
        <f>IF(ISBLANK(A99),"",IF(AND(ISNA(VLOOKUP(A99,Interface_Platform!E:E,1,FALSE())),ISNA(VLOOKUP(A99,D:D,1,FALSE()))),"N","Y"))</f>
        <v/>
      </c>
      <c r="C99" s="148" t="s">
        <v>616</v>
      </c>
      <c r="D99" s="148" t="s">
        <v>298</v>
      </c>
      <c r="E99" s="154">
        <v>1</v>
      </c>
      <c r="F99" s="144" t="str">
        <f>IF(AND(ISNA(VLOOKUP(D99,A:A,1,FALSE())),ISNA(VLOOKUP(D99,BaseType!A:A,1,FALSE())),D99&lt;&gt;"Struct"),"N","Y")</f>
        <v>Y</v>
      </c>
      <c r="G99" s="153"/>
      <c r="H99" s="152">
        <v>0</v>
      </c>
      <c r="I99" s="152">
        <v>0</v>
      </c>
      <c r="J99" s="152">
        <v>0</v>
      </c>
      <c r="K99" s="152">
        <v>0</v>
      </c>
      <c r="L99" s="148">
        <v>0</v>
      </c>
      <c r="M99" s="148">
        <v>0</v>
      </c>
      <c r="N99" s="42"/>
      <c r="O99" s="42"/>
      <c r="P99" s="42"/>
      <c r="Q99" s="42"/>
      <c r="R99" s="42"/>
      <c r="S99" s="42"/>
      <c r="T99" s="42"/>
    </row>
    <row r="100" spans="1:20" ht="15" customHeight="1" x14ac:dyDescent="0.2">
      <c r="A100" s="149"/>
      <c r="B100" s="148" t="str">
        <f>IF(ISBLANK(A100),"",IF(AND(ISNA(VLOOKUP(A100,Interface_Platform!E:E,1,FALSE())),ISNA(VLOOKUP(A100,D:D,1,FALSE()))),"N","Y"))</f>
        <v/>
      </c>
      <c r="C100" s="148" t="s">
        <v>617</v>
      </c>
      <c r="D100" s="148" t="s">
        <v>298</v>
      </c>
      <c r="E100" s="154">
        <v>1</v>
      </c>
      <c r="F100" s="144" t="str">
        <f>IF(AND(ISNA(VLOOKUP(D100,A:A,1,FALSE())),ISNA(VLOOKUP(D100,BaseType!A:A,1,FALSE())),D100&lt;&gt;"Struct"),"N","Y")</f>
        <v>Y</v>
      </c>
      <c r="G100" s="153" t="s">
        <v>618</v>
      </c>
      <c r="H100" s="152">
        <v>0</v>
      </c>
      <c r="I100" s="152">
        <v>0</v>
      </c>
      <c r="J100" s="152">
        <v>0</v>
      </c>
      <c r="K100" s="152">
        <v>0</v>
      </c>
      <c r="L100" s="148">
        <v>0</v>
      </c>
      <c r="M100" s="148">
        <v>0</v>
      </c>
      <c r="N100" s="42"/>
      <c r="O100" s="42"/>
      <c r="P100" s="42"/>
      <c r="Q100" s="42"/>
      <c r="R100" s="42"/>
      <c r="S100" s="42"/>
      <c r="T100" s="42"/>
    </row>
    <row r="101" spans="1:20" ht="15" customHeight="1" x14ac:dyDescent="0.2">
      <c r="A101" s="149"/>
      <c r="B101" s="148" t="str">
        <f>IF(ISBLANK(A101),"",IF(AND(ISNA(VLOOKUP(A101,Interface_Platform!E:E,1,FALSE())),ISNA(VLOOKUP(A101,D:D,1,FALSE()))),"N","Y"))</f>
        <v/>
      </c>
      <c r="C101" s="148" t="s">
        <v>619</v>
      </c>
      <c r="D101" s="148" t="s">
        <v>298</v>
      </c>
      <c r="E101" s="154">
        <v>1</v>
      </c>
      <c r="F101" s="144" t="str">
        <f>IF(AND(ISNA(VLOOKUP(D101,A:A,1,FALSE())),ISNA(VLOOKUP(D101,BaseType!A:A,1,FALSE())),D101&lt;&gt;"Struct"),"N","Y")</f>
        <v>Y</v>
      </c>
      <c r="G101" s="153" t="s">
        <v>620</v>
      </c>
      <c r="H101" s="152">
        <v>0</v>
      </c>
      <c r="I101" s="152">
        <v>0</v>
      </c>
      <c r="J101" s="152">
        <v>0</v>
      </c>
      <c r="K101" s="152">
        <v>0</v>
      </c>
      <c r="L101" s="148">
        <v>0</v>
      </c>
      <c r="M101" s="148">
        <v>0</v>
      </c>
      <c r="N101" s="42"/>
      <c r="O101" s="42"/>
      <c r="P101" s="42"/>
      <c r="Q101" s="42"/>
      <c r="R101" s="42"/>
      <c r="S101" s="42"/>
      <c r="T101" s="42"/>
    </row>
    <row r="102" spans="1:20" ht="15" customHeight="1" x14ac:dyDescent="0.2">
      <c r="A102" s="149"/>
      <c r="B102" s="148" t="str">
        <f>IF(ISBLANK(A102),"",IF(AND(ISNA(VLOOKUP(A102,Interface_Platform!E:E,1,FALSE())),ISNA(VLOOKUP(A102,D:D,1,FALSE()))),"N","Y"))</f>
        <v/>
      </c>
      <c r="C102" s="148" t="s">
        <v>621</v>
      </c>
      <c r="D102" s="148" t="s">
        <v>298</v>
      </c>
      <c r="E102" s="154">
        <v>1</v>
      </c>
      <c r="F102" s="144" t="str">
        <f>IF(AND(ISNA(VLOOKUP(D102,A:A,1,FALSE())),ISNA(VLOOKUP(D102,BaseType!A:A,1,FALSE())),D102&lt;&gt;"Struct"),"N","Y")</f>
        <v>Y</v>
      </c>
      <c r="G102" s="153"/>
      <c r="H102" s="152">
        <v>0</v>
      </c>
      <c r="I102" s="152">
        <v>0</v>
      </c>
      <c r="J102" s="152">
        <v>0</v>
      </c>
      <c r="K102" s="152">
        <v>0</v>
      </c>
      <c r="L102" s="148">
        <v>0</v>
      </c>
      <c r="M102" s="148">
        <v>0</v>
      </c>
      <c r="N102" s="42"/>
      <c r="O102" s="42"/>
      <c r="P102" s="42"/>
      <c r="Q102" s="42"/>
      <c r="R102" s="42"/>
      <c r="S102" s="42"/>
      <c r="T102" s="42"/>
    </row>
    <row r="103" spans="1:20" ht="15" customHeight="1" x14ac:dyDescent="0.2">
      <c r="A103" s="149"/>
      <c r="B103" s="148" t="str">
        <f>IF(ISBLANK(A103),"",IF(AND(ISNA(VLOOKUP(A103,Interface_Platform!E:E,1,FALSE())),ISNA(VLOOKUP(A103,D:D,1,FALSE()))),"N","Y"))</f>
        <v/>
      </c>
      <c r="C103" s="148" t="s">
        <v>622</v>
      </c>
      <c r="D103" s="148" t="s">
        <v>298</v>
      </c>
      <c r="E103" s="154">
        <v>1</v>
      </c>
      <c r="F103" s="144" t="str">
        <f>IF(AND(ISNA(VLOOKUP(D103,A:A,1,FALSE())),ISNA(VLOOKUP(D103,BaseType!A:A,1,FALSE())),D103&lt;&gt;"Struct"),"N","Y")</f>
        <v>Y</v>
      </c>
      <c r="G103" s="153"/>
      <c r="H103" s="152">
        <v>0</v>
      </c>
      <c r="I103" s="152">
        <v>0</v>
      </c>
      <c r="J103" s="152">
        <v>0</v>
      </c>
      <c r="K103" s="152">
        <v>0</v>
      </c>
      <c r="L103" s="148">
        <v>0</v>
      </c>
      <c r="M103" s="148">
        <v>0</v>
      </c>
      <c r="N103" s="42"/>
      <c r="O103" s="42"/>
      <c r="P103" s="42"/>
      <c r="Q103" s="42"/>
      <c r="R103" s="42"/>
      <c r="S103" s="42"/>
      <c r="T103" s="42"/>
    </row>
    <row r="104" spans="1:20" ht="15" customHeight="1" x14ac:dyDescent="0.2">
      <c r="A104" s="149"/>
      <c r="B104" s="148" t="str">
        <f>IF(ISBLANK(A104),"",IF(AND(ISNA(VLOOKUP(A104,Interface_Platform!E:E,1,FALSE())),ISNA(VLOOKUP(A104,D:D,1,FALSE()))),"N","Y"))</f>
        <v/>
      </c>
      <c r="C104" s="148" t="s">
        <v>623</v>
      </c>
      <c r="D104" s="148" t="s">
        <v>298</v>
      </c>
      <c r="E104" s="154">
        <v>1</v>
      </c>
      <c r="F104" s="144" t="str">
        <f>IF(AND(ISNA(VLOOKUP(D104,A:A,1,FALSE())),ISNA(VLOOKUP(D104,BaseType!A:A,1,FALSE())),D104&lt;&gt;"Struct"),"N","Y")</f>
        <v>Y</v>
      </c>
      <c r="G104" s="153" t="s">
        <v>624</v>
      </c>
      <c r="H104" s="152">
        <v>0</v>
      </c>
      <c r="I104" s="152">
        <v>0</v>
      </c>
      <c r="J104" s="152">
        <v>0</v>
      </c>
      <c r="K104" s="152">
        <v>0</v>
      </c>
      <c r="L104" s="148">
        <v>0</v>
      </c>
      <c r="M104" s="148">
        <v>0</v>
      </c>
      <c r="N104" s="42"/>
      <c r="O104" s="42"/>
      <c r="P104" s="42"/>
      <c r="Q104" s="42"/>
      <c r="R104" s="42"/>
      <c r="S104" s="42"/>
      <c r="T104" s="42"/>
    </row>
    <row r="105" spans="1:20" ht="15" customHeight="1" x14ac:dyDescent="0.2">
      <c r="A105" s="143" t="s">
        <v>195</v>
      </c>
      <c r="B105" s="143" t="str">
        <f>IF(ISBLANK(A105),"",IF(AND(ISNA(VLOOKUP(A105,Interface_Platform!E:E,1,FALSE())),ISNA(VLOOKUP(A105,D:D,1,FALSE()))),"N","Y"))</f>
        <v>Y</v>
      </c>
      <c r="C105" s="75"/>
      <c r="D105" s="143" t="s">
        <v>484</v>
      </c>
      <c r="E105" s="40"/>
      <c r="F105" s="144" t="str">
        <f>IF(AND(ISNA(VLOOKUP(D105,A:A,1,FALSE())),ISNA(VLOOKUP(D105,BaseType!A:A,1,FALSE())),D105&lt;&gt;"Struct"),"N","Y")</f>
        <v>Y</v>
      </c>
      <c r="G105" s="145"/>
      <c r="H105" s="139">
        <v>0</v>
      </c>
      <c r="I105" s="139">
        <v>0</v>
      </c>
      <c r="J105" s="139">
        <v>0</v>
      </c>
      <c r="K105" s="139">
        <v>0</v>
      </c>
      <c r="L105" s="143">
        <v>0</v>
      </c>
      <c r="M105" s="143">
        <v>0</v>
      </c>
      <c r="N105" s="140"/>
      <c r="O105" s="140"/>
      <c r="P105" s="140"/>
      <c r="Q105" s="140"/>
      <c r="R105" s="140"/>
      <c r="S105" s="140"/>
      <c r="T105" s="140"/>
    </row>
    <row r="106" spans="1:20" ht="15" customHeight="1" x14ac:dyDescent="0.2">
      <c r="A106" s="141"/>
      <c r="B106" s="143" t="str">
        <f>IF(ISBLANK(A106),"",IF(AND(ISNA(VLOOKUP(A106,Interface_Platform!E:E,1,FALSE())),ISNA(VLOOKUP(A106,D:D,1,FALSE()))),"N","Y"))</f>
        <v/>
      </c>
      <c r="C106" s="143" t="s">
        <v>625</v>
      </c>
      <c r="D106" s="143" t="s">
        <v>193</v>
      </c>
      <c r="E106" s="142">
        <v>1</v>
      </c>
      <c r="F106" s="144" t="str">
        <f>IF(AND(ISNA(VLOOKUP(D106,A:A,1,FALSE())),ISNA(VLOOKUP(D106,BaseType!A:A,1,FALSE())),D106&lt;&gt;"Struct"),"N","Y")</f>
        <v>Y</v>
      </c>
      <c r="G106" s="145" t="s">
        <v>626</v>
      </c>
      <c r="H106" s="139">
        <v>0</v>
      </c>
      <c r="I106" s="139">
        <v>0</v>
      </c>
      <c r="J106" s="139">
        <v>0</v>
      </c>
      <c r="K106" s="139">
        <v>0</v>
      </c>
      <c r="L106" s="143">
        <v>0</v>
      </c>
      <c r="M106" s="143">
        <v>0</v>
      </c>
      <c r="N106" s="140"/>
      <c r="O106" s="140"/>
      <c r="P106" s="140"/>
      <c r="Q106" s="140"/>
      <c r="R106" s="140"/>
      <c r="S106" s="140"/>
      <c r="T106" s="140"/>
    </row>
    <row r="107" spans="1:20" ht="15" customHeight="1" x14ac:dyDescent="0.2">
      <c r="A107" s="141"/>
      <c r="B107" s="143" t="str">
        <f>IF(ISBLANK(A107),"",IF(AND(ISNA(VLOOKUP(A107,Interface_Platform!E:E,1,FALSE())),ISNA(VLOOKUP(A107,D:D,1,FALSE()))),"N","Y"))</f>
        <v/>
      </c>
      <c r="C107" s="143" t="s">
        <v>627</v>
      </c>
      <c r="D107" s="143" t="s">
        <v>193</v>
      </c>
      <c r="E107" s="142">
        <v>1</v>
      </c>
      <c r="F107" s="144" t="str">
        <f>IF(AND(ISNA(VLOOKUP(D107,A:A,1,FALSE())),ISNA(VLOOKUP(D107,BaseType!A:A,1,FALSE())),D107&lt;&gt;"Struct"),"N","Y")</f>
        <v>Y</v>
      </c>
      <c r="G107" s="145" t="s">
        <v>626</v>
      </c>
      <c r="H107" s="139">
        <v>0</v>
      </c>
      <c r="I107" s="139">
        <v>0</v>
      </c>
      <c r="J107" s="139">
        <v>0</v>
      </c>
      <c r="K107" s="139">
        <v>0</v>
      </c>
      <c r="L107" s="143">
        <v>0</v>
      </c>
      <c r="M107" s="143">
        <v>0</v>
      </c>
      <c r="N107" s="140"/>
      <c r="O107" s="140"/>
      <c r="P107" s="140"/>
      <c r="Q107" s="140"/>
      <c r="R107" s="140"/>
      <c r="S107" s="140"/>
      <c r="T107" s="140"/>
    </row>
    <row r="108" spans="1:20" ht="15" customHeight="1" x14ac:dyDescent="0.2">
      <c r="A108" s="141"/>
      <c r="B108" s="143" t="str">
        <f>IF(ISBLANK(A108),"",IF(AND(ISNA(VLOOKUP(A108,Interface_Platform!E:E,1,FALSE())),ISNA(VLOOKUP(A108,D:D,1,FALSE()))),"N","Y"))</f>
        <v/>
      </c>
      <c r="C108" s="143" t="s">
        <v>628</v>
      </c>
      <c r="D108" s="143" t="s">
        <v>193</v>
      </c>
      <c r="E108" s="142">
        <v>1</v>
      </c>
      <c r="F108" s="144" t="str">
        <f>IF(AND(ISNA(VLOOKUP(D108,A:A,1,FALSE())),ISNA(VLOOKUP(D108,BaseType!A:A,1,FALSE())),D108&lt;&gt;"Struct"),"N","Y")</f>
        <v>Y</v>
      </c>
      <c r="G108" s="145" t="s">
        <v>629</v>
      </c>
      <c r="H108" s="139">
        <v>0</v>
      </c>
      <c r="I108" s="139">
        <v>0</v>
      </c>
      <c r="J108" s="139">
        <v>0</v>
      </c>
      <c r="K108" s="139">
        <v>0</v>
      </c>
      <c r="L108" s="143">
        <v>0</v>
      </c>
      <c r="M108" s="143">
        <v>0</v>
      </c>
      <c r="N108" s="140"/>
      <c r="O108" s="140"/>
      <c r="P108" s="140"/>
      <c r="Q108" s="140"/>
      <c r="R108" s="140"/>
      <c r="S108" s="140"/>
      <c r="T108" s="140"/>
    </row>
    <row r="109" spans="1:20" ht="15" customHeight="1" x14ac:dyDescent="0.2">
      <c r="A109" s="143" t="s">
        <v>262</v>
      </c>
      <c r="B109" s="143" t="str">
        <f>IF(ISBLANK(A109),"",IF(AND(ISNA(VLOOKUP(A109,Interface_Platform!E:E,1,FALSE())),ISNA(VLOOKUP(A109,D:D,1,FALSE()))),"N","Y"))</f>
        <v>Y</v>
      </c>
      <c r="C109" s="75"/>
      <c r="D109" s="143" t="s">
        <v>484</v>
      </c>
      <c r="E109" s="40"/>
      <c r="F109" s="144" t="str">
        <f>IF(AND(ISNA(VLOOKUP(D109,A:A,1,FALSE())),ISNA(VLOOKUP(D109,BaseType!A:A,1,FALSE())),D109&lt;&gt;"Struct"),"N","Y")</f>
        <v>Y</v>
      </c>
      <c r="G109" s="145"/>
      <c r="H109" s="139">
        <v>0</v>
      </c>
      <c r="I109" s="139">
        <v>0</v>
      </c>
      <c r="J109" s="139">
        <v>0</v>
      </c>
      <c r="K109" s="139">
        <v>0</v>
      </c>
      <c r="L109" s="143">
        <v>0</v>
      </c>
      <c r="M109" s="143">
        <v>0</v>
      </c>
      <c r="N109" s="140"/>
      <c r="O109" s="140"/>
      <c r="P109" s="140"/>
      <c r="Q109" s="140"/>
      <c r="R109" s="140"/>
      <c r="S109" s="140"/>
      <c r="T109" s="140"/>
    </row>
    <row r="110" spans="1:20" ht="15" customHeight="1" x14ac:dyDescent="0.2">
      <c r="A110" s="141"/>
      <c r="B110" s="143"/>
      <c r="C110" s="91" t="s">
        <v>630</v>
      </c>
      <c r="D110" s="149" t="s">
        <v>631</v>
      </c>
      <c r="E110" s="142">
        <v>1</v>
      </c>
      <c r="F110" s="144" t="str">
        <f>IF(AND(ISNA(VLOOKUP(D110,A:A,1,FALSE())),ISNA(VLOOKUP(D110,BaseType!A:A,1,FALSE())),D110&lt;&gt;"Struct"),"N","Y")</f>
        <v>Y</v>
      </c>
      <c r="G110" s="145"/>
      <c r="H110" s="139"/>
      <c r="I110" s="139"/>
      <c r="J110" s="139"/>
      <c r="K110" s="139"/>
      <c r="L110" s="143"/>
      <c r="M110" s="143"/>
      <c r="N110" s="140"/>
      <c r="O110" s="140"/>
      <c r="P110" s="140"/>
      <c r="Q110" s="140"/>
      <c r="R110" s="140"/>
      <c r="S110" s="140"/>
      <c r="T110" s="140"/>
    </row>
    <row r="111" spans="1:20" ht="15" customHeight="1" x14ac:dyDescent="0.2">
      <c r="A111" s="141"/>
      <c r="B111" s="143" t="str">
        <f>IF(ISBLANK(A111),"",IF(AND(ISNA(VLOOKUP(A111,Interface_Platform!E:E,1,FALSE())),ISNA(VLOOKUP(A111,D:D,1,FALSE()))),"N","Y"))</f>
        <v/>
      </c>
      <c r="C111" s="143" t="s">
        <v>632</v>
      </c>
      <c r="D111" s="143" t="s">
        <v>193</v>
      </c>
      <c r="E111" s="142">
        <v>1</v>
      </c>
      <c r="F111" s="144" t="str">
        <f>IF(AND(ISNA(VLOOKUP(D111,A:A,1,FALSE())),ISNA(VLOOKUP(D111,BaseType!A:A,1,FALSE())),D111&lt;&gt;"Struct"),"N","Y")</f>
        <v>Y</v>
      </c>
      <c r="G111" s="145" t="s">
        <v>633</v>
      </c>
      <c r="H111" s="139">
        <v>0</v>
      </c>
      <c r="I111" s="139">
        <v>0</v>
      </c>
      <c r="J111" s="139">
        <v>0</v>
      </c>
      <c r="K111" s="139">
        <v>0</v>
      </c>
      <c r="L111" s="143">
        <v>0</v>
      </c>
      <c r="M111" s="143">
        <v>0</v>
      </c>
      <c r="N111" s="140"/>
      <c r="O111" s="140"/>
      <c r="P111" s="140"/>
      <c r="Q111" s="140"/>
      <c r="R111" s="140"/>
      <c r="S111" s="140"/>
      <c r="T111" s="140"/>
    </row>
    <row r="112" spans="1:20" ht="15" customHeight="1" x14ac:dyDescent="0.2">
      <c r="A112" s="141"/>
      <c r="B112" s="143" t="str">
        <f>IF(ISBLANK(A112),"",IF(AND(ISNA(VLOOKUP(A112,Interface_Platform!E:E,1,FALSE())),ISNA(VLOOKUP(A112,D:D,1,FALSE()))),"N","Y"))</f>
        <v/>
      </c>
      <c r="C112" s="143" t="s">
        <v>634</v>
      </c>
      <c r="D112" s="143" t="s">
        <v>193</v>
      </c>
      <c r="E112" s="142">
        <v>1</v>
      </c>
      <c r="F112" s="144" t="str">
        <f>IF(AND(ISNA(VLOOKUP(D112,A:A,1,FALSE())),ISNA(VLOOKUP(D112,BaseType!A:A,1,FALSE())),D112&lt;&gt;"Struct"),"N","Y")</f>
        <v>Y</v>
      </c>
      <c r="G112" s="145" t="s">
        <v>635</v>
      </c>
      <c r="H112" s="139">
        <v>0</v>
      </c>
      <c r="I112" s="139">
        <v>0</v>
      </c>
      <c r="J112" s="139">
        <v>0</v>
      </c>
      <c r="K112" s="139">
        <v>0</v>
      </c>
      <c r="L112" s="143">
        <v>0</v>
      </c>
      <c r="M112" s="143">
        <v>0</v>
      </c>
      <c r="N112" s="140"/>
      <c r="O112" s="140"/>
      <c r="P112" s="140"/>
      <c r="Q112" s="140"/>
      <c r="R112" s="140"/>
      <c r="S112" s="140"/>
      <c r="T112" s="140"/>
    </row>
    <row r="113" spans="1:20" ht="15" customHeight="1" x14ac:dyDescent="0.2">
      <c r="A113" s="143"/>
      <c r="B113" s="143"/>
      <c r="C113" s="75" t="s">
        <v>636</v>
      </c>
      <c r="D113" s="143" t="s">
        <v>193</v>
      </c>
      <c r="E113" s="142">
        <v>1</v>
      </c>
      <c r="F113" s="144" t="str">
        <f>IF(AND(ISNA(VLOOKUP(D113,A:A,1,FALSE())),ISNA(VLOOKUP(D113,BaseType!A:A,1,FALSE())),D113&lt;&gt;"Struct"),"N","Y")</f>
        <v>Y</v>
      </c>
      <c r="G113" s="145" t="s">
        <v>637</v>
      </c>
      <c r="H113" s="139"/>
      <c r="I113" s="139"/>
      <c r="J113" s="139"/>
      <c r="K113" s="139"/>
      <c r="L113" s="143"/>
      <c r="M113" s="143"/>
      <c r="N113" s="140"/>
      <c r="O113" s="140"/>
      <c r="P113" s="140"/>
      <c r="Q113" s="140"/>
      <c r="R113" s="140"/>
      <c r="S113" s="140"/>
      <c r="T113" s="140"/>
    </row>
    <row r="114" spans="1:20" ht="15" customHeight="1" x14ac:dyDescent="0.2">
      <c r="A114" s="143" t="s">
        <v>252</v>
      </c>
      <c r="B114" s="143" t="str">
        <f>IF(ISBLANK(A114),"",IF(AND(ISNA(VLOOKUP(A114,Interface_Platform!E:E,1,FALSE())),ISNA(VLOOKUP(A114,D:D,1,FALSE()))),"N","Y"))</f>
        <v>Y</v>
      </c>
      <c r="C114" s="75"/>
      <c r="D114" s="143" t="s">
        <v>484</v>
      </c>
      <c r="E114" s="40"/>
      <c r="F114" s="144" t="str">
        <f>IF(AND(ISNA(VLOOKUP(D114,A:A,1,FALSE())),ISNA(VLOOKUP(D114,BaseType!A:A,1,FALSE())),D114&lt;&gt;"Struct"),"N","Y")</f>
        <v>Y</v>
      </c>
      <c r="G114" s="145"/>
      <c r="H114" s="139">
        <v>0</v>
      </c>
      <c r="I114" s="139">
        <v>0</v>
      </c>
      <c r="J114" s="139">
        <v>0</v>
      </c>
      <c r="K114" s="139">
        <v>0</v>
      </c>
      <c r="L114" s="143">
        <v>0</v>
      </c>
      <c r="M114" s="143">
        <v>0</v>
      </c>
      <c r="N114" s="140"/>
      <c r="O114" s="140"/>
      <c r="P114" s="140"/>
      <c r="Q114" s="140"/>
      <c r="R114" s="140"/>
      <c r="S114" s="140"/>
      <c r="T114" s="140"/>
    </row>
    <row r="115" spans="1:20" ht="15" customHeight="1" x14ac:dyDescent="0.2">
      <c r="A115" s="141"/>
      <c r="B115" s="143"/>
      <c r="C115" s="149" t="s">
        <v>630</v>
      </c>
      <c r="D115" s="149" t="s">
        <v>631</v>
      </c>
      <c r="E115" s="154">
        <v>1</v>
      </c>
      <c r="F115" s="144" t="str">
        <f>IF(AND(ISNA(VLOOKUP(D115,A:A,1,FALSE())),ISNA(VLOOKUP(D115,BaseType!A:A,1,FALSE())),D115&lt;&gt;"Struct"),"N","Y")</f>
        <v>Y</v>
      </c>
      <c r="G115" s="145"/>
      <c r="H115" s="139"/>
      <c r="I115" s="139"/>
      <c r="J115" s="139"/>
      <c r="K115" s="139"/>
      <c r="L115" s="143"/>
      <c r="M115" s="143"/>
      <c r="N115" s="140"/>
      <c r="O115" s="140"/>
      <c r="P115" s="140"/>
      <c r="Q115" s="140"/>
      <c r="R115" s="140"/>
      <c r="S115" s="140"/>
      <c r="T115" s="140"/>
    </row>
    <row r="116" spans="1:20" ht="15" customHeight="1" x14ac:dyDescent="0.2">
      <c r="A116" s="141"/>
      <c r="B116" s="143" t="str">
        <f>IF(ISBLANK(A116),"",IF(AND(ISNA(VLOOKUP(A116,Interface_Platform!E:E,1,FALSE())),ISNA(VLOOKUP(A116,D:D,1,FALSE()))),"N","Y"))</f>
        <v/>
      </c>
      <c r="C116" s="143" t="s">
        <v>638</v>
      </c>
      <c r="D116" s="143" t="s">
        <v>193</v>
      </c>
      <c r="E116" s="142">
        <v>1</v>
      </c>
      <c r="F116" s="144" t="str">
        <f>IF(AND(ISNA(VLOOKUP(D116,A:A,1,FALSE())),ISNA(VLOOKUP(D116,BaseType!A:A,1,FALSE())),D116&lt;&gt;"Struct"),"N","Y")</f>
        <v>Y</v>
      </c>
      <c r="G116" s="145" t="s">
        <v>639</v>
      </c>
      <c r="H116" s="139">
        <v>0</v>
      </c>
      <c r="I116" s="139">
        <v>0</v>
      </c>
      <c r="J116" s="139">
        <v>0</v>
      </c>
      <c r="K116" s="139">
        <v>0</v>
      </c>
      <c r="L116" s="143">
        <v>0</v>
      </c>
      <c r="M116" s="143">
        <v>0</v>
      </c>
      <c r="N116" s="140"/>
      <c r="O116" s="140"/>
      <c r="P116" s="140"/>
      <c r="Q116" s="140"/>
      <c r="R116" s="140"/>
      <c r="S116" s="140"/>
      <c r="T116" s="140"/>
    </row>
    <row r="117" spans="1:20" ht="15" customHeight="1" x14ac:dyDescent="0.2">
      <c r="A117" s="141"/>
      <c r="B117" s="143" t="str">
        <f>IF(ISBLANK(A117),"",IF(AND(ISNA(VLOOKUP(A117,Interface_Platform!E:E,1,FALSE())),ISNA(VLOOKUP(A117,D:D,1,FALSE()))),"N","Y"))</f>
        <v/>
      </c>
      <c r="C117" s="143" t="s">
        <v>640</v>
      </c>
      <c r="D117" s="143" t="s">
        <v>193</v>
      </c>
      <c r="E117" s="142">
        <v>1</v>
      </c>
      <c r="F117" s="144" t="str">
        <f>IF(AND(ISNA(VLOOKUP(D117,A:A,1,FALSE())),ISNA(VLOOKUP(D117,BaseType!A:A,1,FALSE())),D117&lt;&gt;"Struct"),"N","Y")</f>
        <v>Y</v>
      </c>
      <c r="G117" s="145" t="s">
        <v>641</v>
      </c>
      <c r="H117" s="139">
        <v>0</v>
      </c>
      <c r="I117" s="139">
        <v>0</v>
      </c>
      <c r="J117" s="139">
        <v>0</v>
      </c>
      <c r="K117" s="139">
        <v>0</v>
      </c>
      <c r="L117" s="143">
        <v>0</v>
      </c>
      <c r="M117" s="143">
        <v>0</v>
      </c>
      <c r="N117" s="140"/>
      <c r="O117" s="140"/>
      <c r="P117" s="140"/>
      <c r="Q117" s="140"/>
      <c r="R117" s="140"/>
      <c r="S117" s="140"/>
      <c r="T117" s="140"/>
    </row>
    <row r="118" spans="1:20" ht="15" customHeight="1" x14ac:dyDescent="0.2">
      <c r="A118" s="141"/>
      <c r="B118" s="143" t="str">
        <f>IF(ISBLANK(A118),"",IF(AND(ISNA(VLOOKUP(A118,Interface_Platform!E:E,1,FALSE())),ISNA(VLOOKUP(A118,D:D,1,FALSE()))),"N","Y"))</f>
        <v/>
      </c>
      <c r="C118" s="143" t="s">
        <v>642</v>
      </c>
      <c r="D118" s="143" t="s">
        <v>193</v>
      </c>
      <c r="E118" s="142">
        <v>1</v>
      </c>
      <c r="F118" s="144" t="str">
        <f>IF(AND(ISNA(VLOOKUP(D118,A:A,1,FALSE())),ISNA(VLOOKUP(D118,BaseType!A:A,1,FALSE())),D118&lt;&gt;"Struct"),"N","Y")</f>
        <v>Y</v>
      </c>
      <c r="G118" s="145" t="s">
        <v>643</v>
      </c>
      <c r="H118" s="139">
        <v>0</v>
      </c>
      <c r="I118" s="139">
        <v>0</v>
      </c>
      <c r="J118" s="139">
        <v>0</v>
      </c>
      <c r="K118" s="139">
        <v>0</v>
      </c>
      <c r="L118" s="143">
        <v>0</v>
      </c>
      <c r="M118" s="143">
        <v>0</v>
      </c>
      <c r="N118" s="140"/>
      <c r="O118" s="140"/>
      <c r="P118" s="140"/>
      <c r="Q118" s="140"/>
      <c r="R118" s="140"/>
      <c r="S118" s="140"/>
      <c r="T118" s="140"/>
    </row>
    <row r="119" spans="1:20" ht="15" customHeight="1" x14ac:dyDescent="0.2">
      <c r="A119" s="141"/>
      <c r="B119" s="143" t="str">
        <f>IF(ISBLANK(A119),"",IF(AND(ISNA(VLOOKUP(A119,Interface_Platform!E:E,1,FALSE())),ISNA(VLOOKUP(A119,D:D,1,FALSE()))),"N","Y"))</f>
        <v/>
      </c>
      <c r="C119" s="143" t="s">
        <v>644</v>
      </c>
      <c r="D119" s="143" t="s">
        <v>193</v>
      </c>
      <c r="E119" s="142">
        <v>1</v>
      </c>
      <c r="F119" s="144" t="str">
        <f>IF(AND(ISNA(VLOOKUP(D119,A:A,1,FALSE())),ISNA(VLOOKUP(D119,BaseType!A:A,1,FALSE())),D119&lt;&gt;"Struct"),"N","Y")</f>
        <v>Y</v>
      </c>
      <c r="G119" s="145" t="s">
        <v>645</v>
      </c>
      <c r="H119" s="139">
        <v>0</v>
      </c>
      <c r="I119" s="139">
        <v>0</v>
      </c>
      <c r="J119" s="139">
        <v>0</v>
      </c>
      <c r="K119" s="139">
        <v>0</v>
      </c>
      <c r="L119" s="143">
        <v>0</v>
      </c>
      <c r="M119" s="143">
        <v>0</v>
      </c>
      <c r="N119" s="140"/>
      <c r="O119" s="140"/>
      <c r="P119" s="140"/>
      <c r="Q119" s="140"/>
      <c r="R119" s="140"/>
      <c r="S119" s="140"/>
      <c r="T119" s="140"/>
    </row>
    <row r="120" spans="1:20" ht="15" customHeight="1" x14ac:dyDescent="0.2">
      <c r="A120" s="143" t="s">
        <v>260</v>
      </c>
      <c r="B120" s="143" t="str">
        <f>IF(ISBLANK(A120),"",IF(AND(ISNA(VLOOKUP(A120,Interface_Platform!E:E,1,FALSE())),ISNA(VLOOKUP(A120,D:D,1,FALSE()))),"N","Y"))</f>
        <v>Y</v>
      </c>
      <c r="C120" s="75"/>
      <c r="D120" s="143" t="s">
        <v>484</v>
      </c>
      <c r="E120" s="40"/>
      <c r="F120" s="144" t="str">
        <f>IF(AND(ISNA(VLOOKUP(D120,A:A,1,FALSE())),ISNA(VLOOKUP(D120,BaseType!A:A,1,FALSE())),D120&lt;&gt;"Struct"),"N","Y")</f>
        <v>Y</v>
      </c>
      <c r="G120" s="145"/>
      <c r="H120" s="139">
        <v>0</v>
      </c>
      <c r="I120" s="139">
        <v>0</v>
      </c>
      <c r="J120" s="139">
        <v>0</v>
      </c>
      <c r="K120" s="139">
        <v>0</v>
      </c>
      <c r="L120" s="143">
        <v>0</v>
      </c>
      <c r="M120" s="143">
        <v>0</v>
      </c>
      <c r="N120" s="140"/>
      <c r="O120" s="140"/>
      <c r="P120" s="140"/>
      <c r="Q120" s="140"/>
      <c r="R120" s="140"/>
      <c r="S120" s="140"/>
      <c r="T120" s="140"/>
    </row>
    <row r="121" spans="1:20" ht="15" customHeight="1" x14ac:dyDescent="0.2">
      <c r="A121" s="141"/>
      <c r="B121" s="143"/>
      <c r="C121" s="149" t="s">
        <v>630</v>
      </c>
      <c r="D121" s="149" t="s">
        <v>631</v>
      </c>
      <c r="E121" s="154">
        <v>1</v>
      </c>
      <c r="F121" s="144" t="str">
        <f>IF(AND(ISNA(VLOOKUP(D121,A:A,1,FALSE())),ISNA(VLOOKUP(D121,BaseType!A:A,1,FALSE())),D121&lt;&gt;"Struct"),"N","Y")</f>
        <v>Y</v>
      </c>
      <c r="G121" s="153"/>
      <c r="H121" s="139"/>
      <c r="I121" s="139"/>
      <c r="J121" s="139"/>
      <c r="K121" s="139"/>
      <c r="L121" s="143"/>
      <c r="M121" s="143"/>
      <c r="N121" s="140"/>
      <c r="O121" s="140"/>
      <c r="P121" s="140"/>
      <c r="Q121" s="140"/>
      <c r="R121" s="140"/>
      <c r="S121" s="140"/>
      <c r="T121" s="140"/>
    </row>
    <row r="122" spans="1:20" ht="15" customHeight="1" x14ac:dyDescent="0.2">
      <c r="A122" s="141"/>
      <c r="B122" s="143" t="str">
        <f>IF(ISBLANK(A122),"",IF(AND(ISNA(VLOOKUP(A122,Interface_Platform!E:E,1,FALSE())),ISNA(VLOOKUP(A122,D:D,1,FALSE()))),"N","Y"))</f>
        <v/>
      </c>
      <c r="C122" s="143" t="s">
        <v>646</v>
      </c>
      <c r="D122" s="143" t="s">
        <v>193</v>
      </c>
      <c r="E122" s="142">
        <v>1</v>
      </c>
      <c r="F122" s="144" t="str">
        <f>IF(AND(ISNA(VLOOKUP(D122,A:A,1,FALSE())),ISNA(VLOOKUP(D122,BaseType!A:A,1,FALSE())),D122&lt;&gt;"Struct"),"N","Y")</f>
        <v>Y</v>
      </c>
      <c r="G122" s="153" t="s">
        <v>647</v>
      </c>
      <c r="H122" s="139">
        <v>0</v>
      </c>
      <c r="I122" s="139">
        <v>0</v>
      </c>
      <c r="J122" s="139">
        <v>0</v>
      </c>
      <c r="K122" s="139">
        <v>0</v>
      </c>
      <c r="L122" s="143">
        <v>0</v>
      </c>
      <c r="M122" s="143">
        <v>0</v>
      </c>
      <c r="N122" s="140"/>
      <c r="O122" s="140"/>
      <c r="P122" s="140"/>
      <c r="Q122" s="140"/>
      <c r="R122" s="140"/>
      <c r="S122" s="140"/>
      <c r="T122" s="140"/>
    </row>
    <row r="123" spans="1:20" ht="15" customHeight="1" x14ac:dyDescent="0.2">
      <c r="A123" s="141"/>
      <c r="B123" s="143" t="str">
        <f>IF(ISBLANK(A123),"",IF(AND(ISNA(VLOOKUP(A123,Interface_Platform!E:E,1,FALSE())),ISNA(VLOOKUP(A123,D:D,1,FALSE()))),"N","Y"))</f>
        <v/>
      </c>
      <c r="C123" s="143" t="s">
        <v>648</v>
      </c>
      <c r="D123" s="143" t="s">
        <v>193</v>
      </c>
      <c r="E123" s="142">
        <v>1</v>
      </c>
      <c r="F123" s="144" t="str">
        <f>IF(AND(ISNA(VLOOKUP(D123,A:A,1,FALSE())),ISNA(VLOOKUP(D123,BaseType!A:A,1,FALSE())),D123&lt;&gt;"Struct"),"N","Y")</f>
        <v>Y</v>
      </c>
      <c r="G123" s="153" t="s">
        <v>10</v>
      </c>
      <c r="H123" s="139">
        <v>0</v>
      </c>
      <c r="I123" s="139">
        <v>0</v>
      </c>
      <c r="J123" s="139">
        <v>0</v>
      </c>
      <c r="K123" s="139">
        <v>0</v>
      </c>
      <c r="L123" s="143">
        <v>0</v>
      </c>
      <c r="M123" s="143">
        <v>0</v>
      </c>
      <c r="N123" s="140"/>
      <c r="O123" s="140"/>
      <c r="P123" s="140"/>
      <c r="Q123" s="140"/>
      <c r="R123" s="140"/>
      <c r="S123" s="140"/>
      <c r="T123" s="140"/>
    </row>
    <row r="124" spans="1:20" ht="15" customHeight="1" x14ac:dyDescent="0.2">
      <c r="A124" s="143" t="s">
        <v>256</v>
      </c>
      <c r="B124" s="143" t="str">
        <f>IF(ISBLANK(A124),"",IF(AND(ISNA(VLOOKUP(A124,Interface_Platform!E:E,1,FALSE())),ISNA(VLOOKUP(A124,D:D,1,FALSE()))),"N","Y"))</f>
        <v>Y</v>
      </c>
      <c r="C124" s="75"/>
      <c r="D124" s="143" t="s">
        <v>484</v>
      </c>
      <c r="E124" s="40"/>
      <c r="F124" s="144" t="str">
        <f>IF(AND(ISNA(VLOOKUP(D124,A:A,1,FALSE())),ISNA(VLOOKUP(D124,BaseType!A:A,1,FALSE())),D124&lt;&gt;"Struct"),"N","Y")</f>
        <v>Y</v>
      </c>
      <c r="G124" s="145"/>
      <c r="H124" s="139">
        <v>0</v>
      </c>
      <c r="I124" s="139">
        <v>0</v>
      </c>
      <c r="J124" s="139">
        <v>0</v>
      </c>
      <c r="K124" s="139">
        <v>0</v>
      </c>
      <c r="L124" s="143">
        <v>0</v>
      </c>
      <c r="M124" s="143">
        <v>0</v>
      </c>
      <c r="N124" s="140"/>
      <c r="O124" s="140"/>
      <c r="P124" s="140"/>
      <c r="Q124" s="140"/>
      <c r="R124" s="140"/>
      <c r="S124" s="140"/>
      <c r="T124" s="140"/>
    </row>
    <row r="125" spans="1:20" ht="15" customHeight="1" x14ac:dyDescent="0.2">
      <c r="A125" s="141"/>
      <c r="B125" s="143"/>
      <c r="C125" s="149" t="s">
        <v>630</v>
      </c>
      <c r="D125" s="149" t="s">
        <v>631</v>
      </c>
      <c r="E125" s="154">
        <v>1</v>
      </c>
      <c r="F125" s="144" t="str">
        <f>IF(AND(ISNA(VLOOKUP(D125,A:A,1,FALSE())),ISNA(VLOOKUP(D125,BaseType!A:A,1,FALSE())),D125&lt;&gt;"Struct"),"N","Y")</f>
        <v>Y</v>
      </c>
      <c r="G125" s="153"/>
      <c r="H125" s="139"/>
      <c r="I125" s="139"/>
      <c r="J125" s="139"/>
      <c r="K125" s="139"/>
      <c r="L125" s="143"/>
      <c r="M125" s="143"/>
      <c r="N125" s="140"/>
      <c r="O125" s="140"/>
      <c r="P125" s="140"/>
      <c r="Q125" s="140"/>
      <c r="R125" s="140"/>
      <c r="S125" s="140"/>
      <c r="T125" s="140"/>
    </row>
    <row r="126" spans="1:20" ht="15" customHeight="1" x14ac:dyDescent="0.2">
      <c r="A126" s="141"/>
      <c r="B126" s="143" t="str">
        <f>IF(ISBLANK(A126),"",IF(AND(ISNA(VLOOKUP(A126,Interface_Platform!E:E,1,FALSE())),ISNA(VLOOKUP(A126,D:D,1,FALSE()))),"N","Y"))</f>
        <v/>
      </c>
      <c r="C126" s="143" t="s">
        <v>649</v>
      </c>
      <c r="D126" s="143" t="s">
        <v>293</v>
      </c>
      <c r="E126" s="142">
        <v>1</v>
      </c>
      <c r="F126" s="144" t="str">
        <f>IF(AND(ISNA(VLOOKUP(D126,A:A,1,FALSE())),ISNA(VLOOKUP(D126,BaseType!A:A,1,FALSE())),D126&lt;&gt;"Struct"),"N","Y")</f>
        <v>Y</v>
      </c>
      <c r="G126" s="153" t="s">
        <v>650</v>
      </c>
      <c r="H126" s="139">
        <v>0</v>
      </c>
      <c r="I126" s="139">
        <v>0</v>
      </c>
      <c r="J126" s="139">
        <v>0</v>
      </c>
      <c r="K126" s="139">
        <v>0</v>
      </c>
      <c r="L126" s="143">
        <v>0</v>
      </c>
      <c r="M126" s="143">
        <v>0</v>
      </c>
      <c r="N126" s="140"/>
      <c r="O126" s="140"/>
      <c r="P126" s="140"/>
      <c r="Q126" s="140"/>
      <c r="R126" s="140"/>
      <c r="S126" s="140"/>
      <c r="T126" s="140"/>
    </row>
    <row r="127" spans="1:20" ht="15" customHeight="1" x14ac:dyDescent="0.2">
      <c r="A127" s="141"/>
      <c r="B127" s="143"/>
      <c r="C127" s="143" t="s">
        <v>651</v>
      </c>
      <c r="D127" s="143" t="s">
        <v>293</v>
      </c>
      <c r="E127" s="142">
        <v>1</v>
      </c>
      <c r="F127" s="144" t="str">
        <f>IF(AND(ISNA(VLOOKUP(D127,A:A,1,FALSE())),ISNA(VLOOKUP(D127,BaseType!A:A,1,FALSE())),D127&lt;&gt;"Struct"),"N","Y")</f>
        <v>Y</v>
      </c>
      <c r="G127" s="153" t="s">
        <v>652</v>
      </c>
      <c r="H127" s="139">
        <v>0</v>
      </c>
      <c r="I127" s="139">
        <v>0</v>
      </c>
      <c r="J127" s="139">
        <v>0</v>
      </c>
      <c r="K127" s="139">
        <v>0</v>
      </c>
      <c r="L127" s="143">
        <v>0</v>
      </c>
      <c r="M127" s="143">
        <v>0</v>
      </c>
      <c r="N127" s="140"/>
      <c r="O127" s="140"/>
      <c r="P127" s="140"/>
      <c r="Q127" s="140"/>
      <c r="R127" s="140"/>
      <c r="S127" s="140"/>
      <c r="T127" s="140"/>
    </row>
    <row r="128" spans="1:20" ht="15" customHeight="1" x14ac:dyDescent="0.2">
      <c r="A128" s="141"/>
      <c r="B128" s="143"/>
      <c r="C128" s="143" t="s">
        <v>653</v>
      </c>
      <c r="D128" s="143" t="s">
        <v>293</v>
      </c>
      <c r="E128" s="142">
        <v>1</v>
      </c>
      <c r="F128" s="144" t="str">
        <f>IF(AND(ISNA(VLOOKUP(D128,A:A,1,FALSE())),ISNA(VLOOKUP(D128,BaseType!A:A,1,FALSE())),D128&lt;&gt;"Struct"),"N","Y")</f>
        <v>Y</v>
      </c>
      <c r="G128" s="153" t="s">
        <v>654</v>
      </c>
      <c r="H128" s="139"/>
      <c r="I128" s="139"/>
      <c r="J128" s="139"/>
      <c r="K128" s="139"/>
      <c r="L128" s="143"/>
      <c r="M128" s="143"/>
      <c r="N128" s="140"/>
      <c r="O128" s="140"/>
      <c r="P128" s="140"/>
      <c r="Q128" s="140"/>
      <c r="R128" s="140"/>
      <c r="S128" s="140"/>
      <c r="T128" s="140"/>
    </row>
    <row r="129" spans="1:20" ht="15" customHeight="1" x14ac:dyDescent="0.2">
      <c r="A129" s="141"/>
      <c r="B129" s="143"/>
      <c r="C129" s="143" t="s">
        <v>655</v>
      </c>
      <c r="D129" s="143" t="s">
        <v>293</v>
      </c>
      <c r="E129" s="142">
        <v>1</v>
      </c>
      <c r="F129" s="144" t="str">
        <f>IF(AND(ISNA(VLOOKUP(D129,A:A,1,FALSE())),ISNA(VLOOKUP(D129,BaseType!A:A,1,FALSE())),D129&lt;&gt;"Struct"),"N","Y")</f>
        <v>Y</v>
      </c>
      <c r="G129" s="153" t="s">
        <v>656</v>
      </c>
      <c r="H129" s="139">
        <v>0</v>
      </c>
      <c r="I129" s="139">
        <v>0</v>
      </c>
      <c r="J129" s="139">
        <v>0</v>
      </c>
      <c r="K129" s="139">
        <v>0</v>
      </c>
      <c r="L129" s="143">
        <v>0</v>
      </c>
      <c r="M129" s="143">
        <v>0</v>
      </c>
      <c r="N129" s="140"/>
      <c r="O129" s="140"/>
      <c r="P129" s="140"/>
      <c r="Q129" s="140"/>
      <c r="R129" s="140"/>
      <c r="S129" s="140"/>
      <c r="T129" s="140"/>
    </row>
    <row r="130" spans="1:20" ht="15" customHeight="1" x14ac:dyDescent="0.2">
      <c r="A130" s="141"/>
      <c r="B130" s="143"/>
      <c r="C130" s="143" t="s">
        <v>657</v>
      </c>
      <c r="D130" s="143" t="s">
        <v>293</v>
      </c>
      <c r="E130" s="142">
        <v>1</v>
      </c>
      <c r="F130" s="144" t="str">
        <f>IF(AND(ISNA(VLOOKUP(D130,A:A,1,FALSE())),ISNA(VLOOKUP(D130,BaseType!A:A,1,FALSE())),D130&lt;&gt;"Struct"),"N","Y")</f>
        <v>Y</v>
      </c>
      <c r="G130" s="153" t="s">
        <v>658</v>
      </c>
      <c r="H130" s="139"/>
      <c r="I130" s="139"/>
      <c r="J130" s="139"/>
      <c r="K130" s="139"/>
      <c r="L130" s="143"/>
      <c r="M130" s="143"/>
      <c r="N130" s="140"/>
      <c r="O130" s="140"/>
      <c r="P130" s="140"/>
      <c r="Q130" s="140"/>
      <c r="R130" s="140"/>
      <c r="S130" s="140"/>
      <c r="T130" s="140"/>
    </row>
    <row r="131" spans="1:20" ht="15" customHeight="1" x14ac:dyDescent="0.2">
      <c r="A131" s="141"/>
      <c r="B131" s="143" t="str">
        <f>IF(ISBLANK(A131),"",IF(AND(ISNA(VLOOKUP(A131,Interface_Platform!E:E,1,FALSE())),ISNA(VLOOKUP(A131,D:D,1,FALSE()))),"N","Y"))</f>
        <v/>
      </c>
      <c r="C131" s="143" t="s">
        <v>659</v>
      </c>
      <c r="D131" s="143" t="s">
        <v>193</v>
      </c>
      <c r="E131" s="142">
        <v>1</v>
      </c>
      <c r="F131" s="144" t="str">
        <f>IF(AND(ISNA(VLOOKUP(D131,A:A,1,FALSE())),ISNA(VLOOKUP(D131,BaseType!A:A,1,FALSE())),D131&lt;&gt;"Struct"),"N","Y")</f>
        <v>Y</v>
      </c>
      <c r="G131" s="153" t="s">
        <v>660</v>
      </c>
      <c r="H131" s="139">
        <v>0</v>
      </c>
      <c r="I131" s="139">
        <v>0</v>
      </c>
      <c r="J131" s="139">
        <v>0</v>
      </c>
      <c r="K131" s="139">
        <v>0</v>
      </c>
      <c r="L131" s="143">
        <v>0</v>
      </c>
      <c r="M131" s="143">
        <v>0</v>
      </c>
      <c r="N131" s="140"/>
      <c r="O131" s="140"/>
      <c r="P131" s="140"/>
      <c r="Q131" s="140"/>
      <c r="R131" s="140"/>
      <c r="S131" s="140"/>
      <c r="T131" s="140"/>
    </row>
    <row r="132" spans="1:20" ht="15" customHeight="1" x14ac:dyDescent="0.2">
      <c r="A132" s="141"/>
      <c r="B132" s="143"/>
      <c r="C132" s="143" t="s">
        <v>661</v>
      </c>
      <c r="D132" s="143" t="s">
        <v>193</v>
      </c>
      <c r="E132" s="142">
        <v>1</v>
      </c>
      <c r="F132" s="144" t="str">
        <f>IF(AND(ISNA(VLOOKUP(D132,A:A,1,FALSE())),ISNA(VLOOKUP(D132,BaseType!A:A,1,FALSE())),D132&lt;&gt;"Struct"),"N","Y")</f>
        <v>Y</v>
      </c>
      <c r="G132" s="153" t="s">
        <v>662</v>
      </c>
      <c r="H132" s="139"/>
      <c r="I132" s="139"/>
      <c r="J132" s="139"/>
      <c r="K132" s="139"/>
      <c r="L132" s="143"/>
      <c r="M132" s="143"/>
      <c r="N132" s="140"/>
      <c r="O132" s="140"/>
      <c r="P132" s="140"/>
      <c r="Q132" s="140"/>
      <c r="R132" s="140"/>
      <c r="S132" s="140"/>
      <c r="T132" s="140"/>
    </row>
    <row r="133" spans="1:20" ht="15" customHeight="1" x14ac:dyDescent="0.2">
      <c r="A133" s="141"/>
      <c r="B133" s="143" t="str">
        <f>IF(ISBLANK(A133),"",IF(AND(ISNA(VLOOKUP(A133,Interface_Platform!E:E,1,FALSE())),ISNA(VLOOKUP(A133,D:D,1,FALSE()))),"N","Y"))</f>
        <v/>
      </c>
      <c r="C133" s="143" t="s">
        <v>663</v>
      </c>
      <c r="D133" s="143" t="s">
        <v>193</v>
      </c>
      <c r="E133" s="142">
        <v>1</v>
      </c>
      <c r="F133" s="144" t="str">
        <f>IF(AND(ISNA(VLOOKUP(D133,A:A,1,FALSE())),ISNA(VLOOKUP(D133,BaseType!A:A,1,FALSE())),D133&lt;&gt;"Struct"),"N","Y")</f>
        <v>Y</v>
      </c>
      <c r="G133" s="153" t="s">
        <v>664</v>
      </c>
      <c r="H133" s="139">
        <v>0</v>
      </c>
      <c r="I133" s="139">
        <v>0</v>
      </c>
      <c r="J133" s="139">
        <v>0</v>
      </c>
      <c r="K133" s="139">
        <v>0</v>
      </c>
      <c r="L133" s="143">
        <v>0</v>
      </c>
      <c r="M133" s="143">
        <v>0</v>
      </c>
      <c r="N133" s="140"/>
      <c r="O133" s="140"/>
      <c r="P133" s="140"/>
      <c r="Q133" s="140"/>
      <c r="R133" s="140"/>
      <c r="S133" s="140"/>
      <c r="T133" s="140"/>
    </row>
    <row r="134" spans="1:20" ht="15" customHeight="1" x14ac:dyDescent="0.2">
      <c r="A134" s="141"/>
      <c r="B134" s="143" t="str">
        <f>IF(ISBLANK(A134),"",IF(AND(ISNA(VLOOKUP(A134,Interface_Platform!E:E,1,FALSE())),ISNA(VLOOKUP(A134,D:D,1,FALSE()))),"N","Y"))</f>
        <v/>
      </c>
      <c r="C134" s="143" t="s">
        <v>665</v>
      </c>
      <c r="D134" s="143" t="s">
        <v>193</v>
      </c>
      <c r="E134" s="142">
        <v>1</v>
      </c>
      <c r="F134" s="144" t="str">
        <f>IF(AND(ISNA(VLOOKUP(D134,A:A,1,FALSE())),ISNA(VLOOKUP(D134,BaseType!A:A,1,FALSE())),D134&lt;&gt;"Struct"),"N","Y")</f>
        <v>Y</v>
      </c>
      <c r="G134" s="153" t="s">
        <v>666</v>
      </c>
      <c r="H134" s="139">
        <v>0</v>
      </c>
      <c r="I134" s="139">
        <v>0</v>
      </c>
      <c r="J134" s="139">
        <v>0</v>
      </c>
      <c r="K134" s="139">
        <v>0</v>
      </c>
      <c r="L134" s="143">
        <v>0</v>
      </c>
      <c r="M134" s="143">
        <v>0</v>
      </c>
      <c r="N134" s="140"/>
      <c r="O134" s="140"/>
      <c r="P134" s="140"/>
      <c r="Q134" s="140"/>
      <c r="R134" s="140"/>
      <c r="S134" s="140"/>
      <c r="T134" s="140"/>
    </row>
    <row r="135" spans="1:20" ht="15" customHeight="1" x14ac:dyDescent="0.2">
      <c r="A135" s="141"/>
      <c r="B135" s="143" t="str">
        <f>IF(ISBLANK(A135),"",IF(AND(ISNA(VLOOKUP(A135,Interface_Platform!E:E,1,FALSE())),ISNA(VLOOKUP(A135,D:D,1,FALSE()))),"N","Y"))</f>
        <v/>
      </c>
      <c r="C135" s="143" t="s">
        <v>667</v>
      </c>
      <c r="D135" s="143" t="s">
        <v>193</v>
      </c>
      <c r="E135" s="142">
        <v>1</v>
      </c>
      <c r="F135" s="144" t="str">
        <f>IF(AND(ISNA(VLOOKUP(D135,A:A,1,FALSE())),ISNA(VLOOKUP(D135,BaseType!A:A,1,FALSE())),D135&lt;&gt;"Struct"),"N","Y")</f>
        <v>Y</v>
      </c>
      <c r="G135" s="153" t="s">
        <v>668</v>
      </c>
      <c r="H135" s="139">
        <v>0</v>
      </c>
      <c r="I135" s="139">
        <v>0</v>
      </c>
      <c r="J135" s="139">
        <v>0</v>
      </c>
      <c r="K135" s="139">
        <v>0</v>
      </c>
      <c r="L135" s="143">
        <v>0</v>
      </c>
      <c r="M135" s="143">
        <v>0</v>
      </c>
      <c r="N135" s="140"/>
      <c r="O135" s="140"/>
      <c r="P135" s="140"/>
      <c r="Q135" s="140"/>
      <c r="R135" s="140"/>
      <c r="S135" s="140"/>
      <c r="T135" s="140"/>
    </row>
    <row r="136" spans="1:20" ht="15" customHeight="1" x14ac:dyDescent="0.2">
      <c r="A136" s="141"/>
      <c r="B136" s="143"/>
      <c r="C136" s="180" t="s">
        <v>669</v>
      </c>
      <c r="D136" s="180" t="s">
        <v>193</v>
      </c>
      <c r="E136" s="188">
        <v>1</v>
      </c>
      <c r="F136" s="187" t="str">
        <f>IF(AND(ISNA(VLOOKUP(D136,A:A,1,FALSE())),ISNA(VLOOKUP(D136,BaseType!A:A,1,FALSE())),D136&lt;&gt;"Struct"),"N","Y")</f>
        <v>Y</v>
      </c>
      <c r="G136" s="191" t="s">
        <v>670</v>
      </c>
      <c r="H136" s="139"/>
      <c r="I136" s="139"/>
      <c r="J136" s="139"/>
      <c r="K136" s="139"/>
      <c r="L136" s="143"/>
      <c r="M136" s="143"/>
      <c r="N136" s="140"/>
      <c r="O136" s="140"/>
      <c r="P136" s="140"/>
      <c r="Q136" s="140"/>
      <c r="R136" s="140"/>
      <c r="S136" s="140"/>
      <c r="T136" s="140"/>
    </row>
    <row r="137" spans="1:20" ht="15" customHeight="1" x14ac:dyDescent="0.2">
      <c r="A137" s="141"/>
      <c r="B137" s="143"/>
      <c r="C137" s="180" t="s">
        <v>671</v>
      </c>
      <c r="D137" s="180" t="s">
        <v>193</v>
      </c>
      <c r="E137" s="188">
        <v>1</v>
      </c>
      <c r="F137" s="187" t="str">
        <f>IF(AND(ISNA(VLOOKUP(D137,A:A,1,FALSE())),ISNA(VLOOKUP(D137,BaseType!A:A,1,FALSE())),D137&lt;&gt;"Struct"),"N","Y")</f>
        <v>Y</v>
      </c>
      <c r="G137" s="191" t="s">
        <v>672</v>
      </c>
      <c r="H137" s="139"/>
      <c r="I137" s="139"/>
      <c r="J137" s="139"/>
      <c r="K137" s="139"/>
      <c r="L137" s="143"/>
      <c r="M137" s="143"/>
      <c r="N137" s="140"/>
      <c r="O137" s="140"/>
      <c r="P137" s="140"/>
      <c r="Q137" s="140"/>
      <c r="R137" s="140"/>
      <c r="S137" s="140"/>
      <c r="T137" s="140"/>
    </row>
    <row r="138" spans="1:20" ht="15" customHeight="1" x14ac:dyDescent="0.2">
      <c r="A138" s="141"/>
      <c r="B138" s="143" t="str">
        <f>IF(ISBLANK(A138),"",IF(AND(ISNA(VLOOKUP(A138,Interface_Platform!E:E,1,FALSE())),ISNA(VLOOKUP(A138,D:D,1,FALSE()))),"N","Y"))</f>
        <v/>
      </c>
      <c r="C138" s="143" t="s">
        <v>673</v>
      </c>
      <c r="D138" s="143" t="s">
        <v>193</v>
      </c>
      <c r="E138" s="142">
        <v>1</v>
      </c>
      <c r="F138" s="144" t="str">
        <f>IF(AND(ISNA(VLOOKUP(D138,A:A,1,FALSE())),ISNA(VLOOKUP(D138,BaseType!A:A,1,FALSE())),D138&lt;&gt;"Struct"),"N","Y")</f>
        <v>Y</v>
      </c>
      <c r="G138" s="153" t="s">
        <v>674</v>
      </c>
      <c r="H138" s="139">
        <v>0</v>
      </c>
      <c r="I138" s="139">
        <v>0</v>
      </c>
      <c r="J138" s="139">
        <v>0</v>
      </c>
      <c r="K138" s="139">
        <v>0</v>
      </c>
      <c r="L138" s="143">
        <v>0</v>
      </c>
      <c r="M138" s="143">
        <v>0</v>
      </c>
      <c r="N138" s="140"/>
      <c r="O138" s="140"/>
      <c r="P138" s="140"/>
      <c r="Q138" s="140"/>
      <c r="R138" s="140"/>
      <c r="S138" s="140"/>
      <c r="T138" s="140"/>
    </row>
    <row r="139" spans="1:20" ht="15" customHeight="1" x14ac:dyDescent="0.2">
      <c r="A139" s="141"/>
      <c r="B139" s="143" t="str">
        <f>IF(ISBLANK(A139),"",IF(AND(ISNA(VLOOKUP(A139,Interface_Platform!E:E,1,FALSE())),ISNA(VLOOKUP(A139,D:D,1,FALSE()))),"N","Y"))</f>
        <v/>
      </c>
      <c r="C139" s="143" t="s">
        <v>675</v>
      </c>
      <c r="D139" s="143" t="s">
        <v>193</v>
      </c>
      <c r="E139" s="142">
        <v>1</v>
      </c>
      <c r="F139" s="144" t="str">
        <f>IF(AND(ISNA(VLOOKUP(D139,A:A,1,FALSE())),ISNA(VLOOKUP(D139,BaseType!A:A,1,FALSE())),D139&lt;&gt;"Struct"),"N","Y")</f>
        <v>Y</v>
      </c>
      <c r="G139" s="147" t="s">
        <v>676</v>
      </c>
      <c r="H139" s="75">
        <v>0</v>
      </c>
      <c r="I139" s="75">
        <v>0</v>
      </c>
      <c r="J139" s="75">
        <v>0</v>
      </c>
      <c r="K139" s="75">
        <v>0</v>
      </c>
      <c r="L139" s="143">
        <v>0</v>
      </c>
      <c r="M139" s="143">
        <v>0</v>
      </c>
      <c r="N139" s="140"/>
      <c r="O139" s="140"/>
      <c r="P139" s="140"/>
      <c r="Q139" s="140"/>
      <c r="R139" s="140"/>
      <c r="S139" s="140"/>
      <c r="T139" s="140"/>
    </row>
    <row r="140" spans="1:20" ht="15" customHeight="1" x14ac:dyDescent="0.2">
      <c r="A140" s="141"/>
      <c r="B140" s="143" t="str">
        <f>IF(ISBLANK(A140),"",IF(AND(ISNA(VLOOKUP(A140,Interface_Platform!E:E,1,FALSE())),ISNA(VLOOKUP(A140,D:D,1,FALSE()))),"N","Y"))</f>
        <v/>
      </c>
      <c r="C140" s="143" t="s">
        <v>677</v>
      </c>
      <c r="D140" s="143" t="s">
        <v>193</v>
      </c>
      <c r="E140" s="142">
        <v>1</v>
      </c>
      <c r="F140" s="144" t="str">
        <f>IF(AND(ISNA(VLOOKUP(D140,A:A,1,FALSE())),ISNA(VLOOKUP(D140,BaseType!A:A,1,FALSE())),D140&lt;&gt;"Struct"),"N","Y")</f>
        <v>Y</v>
      </c>
      <c r="G140" s="147" t="s">
        <v>678</v>
      </c>
      <c r="H140" s="75">
        <v>0</v>
      </c>
      <c r="I140" s="75">
        <v>0</v>
      </c>
      <c r="J140" s="75">
        <v>0</v>
      </c>
      <c r="K140" s="75">
        <v>0</v>
      </c>
      <c r="L140" s="143">
        <v>0</v>
      </c>
      <c r="M140" s="143">
        <v>0</v>
      </c>
      <c r="N140" s="140"/>
      <c r="O140" s="140"/>
      <c r="P140" s="140"/>
      <c r="Q140" s="140"/>
      <c r="R140" s="140"/>
      <c r="S140" s="140"/>
      <c r="T140" s="140"/>
    </row>
    <row r="141" spans="1:20" ht="15" customHeight="1" x14ac:dyDescent="0.2">
      <c r="A141" s="141"/>
      <c r="B141" s="143" t="str">
        <f>IF(ISBLANK(A141),"",IF(AND(ISNA(VLOOKUP(A141,Interface_Platform!E:E,1,FALSE())),ISNA(VLOOKUP(A141,D:D,1,FALSE()))),"N","Y"))</f>
        <v/>
      </c>
      <c r="C141" s="143" t="s">
        <v>679</v>
      </c>
      <c r="D141" s="143" t="s">
        <v>193</v>
      </c>
      <c r="E141" s="142">
        <v>1</v>
      </c>
      <c r="F141" s="144" t="str">
        <f>IF(AND(ISNA(VLOOKUP(D141,A:A,1,FALSE())),ISNA(VLOOKUP(D141,BaseType!A:A,1,FALSE())),D141&lt;&gt;"Struct"),"N","Y")</f>
        <v>Y</v>
      </c>
      <c r="G141" s="147" t="s">
        <v>680</v>
      </c>
      <c r="H141" s="75">
        <v>0</v>
      </c>
      <c r="I141" s="75">
        <v>0</v>
      </c>
      <c r="J141" s="75">
        <v>0</v>
      </c>
      <c r="K141" s="75">
        <v>0</v>
      </c>
      <c r="L141" s="143">
        <v>0</v>
      </c>
      <c r="M141" s="143">
        <v>0</v>
      </c>
      <c r="N141" s="140"/>
      <c r="O141" s="140"/>
      <c r="P141" s="140"/>
      <c r="Q141" s="140"/>
      <c r="R141" s="140"/>
      <c r="S141" s="140"/>
      <c r="T141" s="140"/>
    </row>
    <row r="142" spans="1:20" ht="15" customHeight="1" x14ac:dyDescent="0.2">
      <c r="A142" s="143"/>
      <c r="B142" s="143"/>
      <c r="C142" s="75" t="s">
        <v>681</v>
      </c>
      <c r="D142" s="143" t="s">
        <v>193</v>
      </c>
      <c r="E142" s="142">
        <v>1</v>
      </c>
      <c r="F142" s="144" t="str">
        <f>IF(AND(ISNA(VLOOKUP(D142,A:A,1,FALSE())),ISNA(VLOOKUP(D142,BaseType!A:A,1,FALSE())),D142&lt;&gt;"Struct"),"N","Y")</f>
        <v>Y</v>
      </c>
      <c r="G142" s="147" t="s">
        <v>682</v>
      </c>
      <c r="H142" s="139"/>
      <c r="I142" s="139"/>
      <c r="J142" s="139"/>
      <c r="K142" s="139"/>
      <c r="L142" s="143"/>
      <c r="M142" s="143"/>
      <c r="N142" s="140"/>
      <c r="O142" s="140"/>
      <c r="P142" s="140"/>
      <c r="Q142" s="140"/>
      <c r="R142" s="140"/>
      <c r="S142" s="140"/>
      <c r="T142" s="140"/>
    </row>
    <row r="143" spans="1:20" ht="15" customHeight="1" x14ac:dyDescent="0.2">
      <c r="A143" s="143"/>
      <c r="B143" s="143"/>
      <c r="C143" s="75" t="s">
        <v>683</v>
      </c>
      <c r="D143" s="143" t="s">
        <v>193</v>
      </c>
      <c r="E143" s="142">
        <v>1</v>
      </c>
      <c r="F143" s="144" t="str">
        <f>IF(AND(ISNA(VLOOKUP(D143,A:A,1,FALSE())),ISNA(VLOOKUP(D143,BaseType!A:A,1,FALSE())),D143&lt;&gt;"Struct"),"N","Y")</f>
        <v>Y</v>
      </c>
      <c r="G143" s="147" t="s">
        <v>684</v>
      </c>
      <c r="H143" s="139"/>
      <c r="I143" s="139"/>
      <c r="J143" s="139"/>
      <c r="K143" s="139"/>
      <c r="L143" s="143"/>
      <c r="M143" s="143"/>
      <c r="N143" s="140"/>
      <c r="O143" s="140"/>
      <c r="P143" s="140"/>
      <c r="Q143" s="140"/>
      <c r="R143" s="140"/>
      <c r="S143" s="140"/>
      <c r="T143" s="140"/>
    </row>
    <row r="144" spans="1:20" ht="15" customHeight="1" x14ac:dyDescent="0.2">
      <c r="A144" s="143"/>
      <c r="B144" s="143"/>
      <c r="C144" s="75" t="s">
        <v>685</v>
      </c>
      <c r="D144" s="143" t="s">
        <v>193</v>
      </c>
      <c r="E144" s="142">
        <v>1</v>
      </c>
      <c r="F144" s="144" t="str">
        <f>IF(AND(ISNA(VLOOKUP(D144,A:A,1,FALSE())),ISNA(VLOOKUP(D144,BaseType!A:A,1,FALSE())),D144&lt;&gt;"Struct"),"N","Y")</f>
        <v>Y</v>
      </c>
      <c r="G144" s="147" t="s">
        <v>686</v>
      </c>
      <c r="H144" s="139"/>
      <c r="I144" s="139"/>
      <c r="J144" s="139"/>
      <c r="K144" s="139"/>
      <c r="L144" s="143"/>
      <c r="M144" s="143"/>
      <c r="N144" s="140"/>
      <c r="O144" s="140"/>
      <c r="P144" s="140"/>
      <c r="Q144" s="140"/>
      <c r="R144" s="140"/>
      <c r="S144" s="140"/>
      <c r="T144" s="140"/>
    </row>
    <row r="145" spans="1:20" ht="15" customHeight="1" x14ac:dyDescent="0.2">
      <c r="A145" s="143"/>
      <c r="B145" s="143"/>
      <c r="C145" s="75" t="s">
        <v>687</v>
      </c>
      <c r="D145" s="143" t="s">
        <v>193</v>
      </c>
      <c r="E145" s="142">
        <v>1</v>
      </c>
      <c r="F145" s="187" t="str">
        <f>IF(AND(ISNA(VLOOKUP(D145,A:A,1,FALSE())),ISNA(VLOOKUP(D145,BaseType!A:A,1,FALSE())),D145&lt;&gt;"Struct"),"N","Y")</f>
        <v>Y</v>
      </c>
      <c r="G145" s="145" t="s">
        <v>688</v>
      </c>
      <c r="H145" s="139"/>
      <c r="I145" s="139"/>
      <c r="J145" s="139"/>
      <c r="K145" s="139"/>
      <c r="L145" s="143"/>
      <c r="M145" s="143"/>
      <c r="N145" s="140"/>
      <c r="O145" s="140"/>
      <c r="P145" s="140"/>
      <c r="Q145" s="140"/>
      <c r="R145" s="140"/>
      <c r="S145" s="140"/>
      <c r="T145" s="140"/>
    </row>
    <row r="146" spans="1:20" ht="15" customHeight="1" x14ac:dyDescent="0.2">
      <c r="A146" s="143" t="s">
        <v>258</v>
      </c>
      <c r="B146" s="143" t="str">
        <f>IF(ISBLANK(A146),"",IF(AND(ISNA(VLOOKUP(A146,Interface_Platform!E:E,1,FALSE())),ISNA(VLOOKUP(A146,D:D,1,FALSE()))),"N","Y"))</f>
        <v>Y</v>
      </c>
      <c r="C146" s="75"/>
      <c r="D146" s="143" t="s">
        <v>484</v>
      </c>
      <c r="E146" s="40"/>
      <c r="F146" s="144" t="str">
        <f>IF(AND(ISNA(VLOOKUP(D146,A:A,1,FALSE())),ISNA(VLOOKUP(D146,BaseType!A:A,1,FALSE())),D146&lt;&gt;"Struct"),"N","Y")</f>
        <v>Y</v>
      </c>
      <c r="G146" s="145"/>
      <c r="H146" s="139">
        <v>0</v>
      </c>
      <c r="I146" s="139">
        <v>0</v>
      </c>
      <c r="J146" s="139">
        <v>0</v>
      </c>
      <c r="K146" s="139">
        <v>0</v>
      </c>
      <c r="L146" s="143">
        <v>0</v>
      </c>
      <c r="M146" s="143">
        <v>0</v>
      </c>
      <c r="N146" s="140"/>
      <c r="O146" s="140"/>
      <c r="P146" s="140"/>
      <c r="Q146" s="140"/>
      <c r="R146" s="140"/>
      <c r="S146" s="140"/>
      <c r="T146" s="140"/>
    </row>
    <row r="147" spans="1:20" ht="15" customHeight="1" x14ac:dyDescent="0.2">
      <c r="A147" s="141"/>
      <c r="B147" s="143"/>
      <c r="C147" s="149" t="s">
        <v>630</v>
      </c>
      <c r="D147" s="149" t="s">
        <v>631</v>
      </c>
      <c r="E147" s="154">
        <v>1</v>
      </c>
      <c r="F147" s="144" t="str">
        <f>IF(AND(ISNA(VLOOKUP(D147,A:A,1,FALSE())),ISNA(VLOOKUP(D147,BaseType!A:A,1,FALSE())),D147&lt;&gt;"Struct"),"N","Y")</f>
        <v>Y</v>
      </c>
      <c r="G147" s="153"/>
      <c r="H147" s="139"/>
      <c r="I147" s="139"/>
      <c r="J147" s="139"/>
      <c r="K147" s="139"/>
      <c r="L147" s="143"/>
      <c r="M147" s="143"/>
      <c r="N147" s="140"/>
      <c r="O147" s="140"/>
      <c r="P147" s="140"/>
      <c r="Q147" s="140"/>
      <c r="R147" s="140"/>
      <c r="S147" s="140"/>
      <c r="T147" s="140"/>
    </row>
    <row r="148" spans="1:20" ht="15" customHeight="1" x14ac:dyDescent="0.2">
      <c r="A148" s="141"/>
      <c r="B148" s="143" t="str">
        <f>IF(ISBLANK(A148),"",IF(AND(ISNA(VLOOKUP(A148,Interface_Platform!E:E,1,FALSE())),ISNA(VLOOKUP(A148,D:D,1,FALSE()))),"N","Y"))</f>
        <v/>
      </c>
      <c r="C148" s="143" t="s">
        <v>689</v>
      </c>
      <c r="D148" s="143" t="s">
        <v>293</v>
      </c>
      <c r="E148" s="142">
        <v>1</v>
      </c>
      <c r="F148" s="144" t="str">
        <f>IF(AND(ISNA(VLOOKUP(D148,A:A,1,FALSE())),ISNA(VLOOKUP(D148,BaseType!A:A,1,FALSE())),D148&lt;&gt;"Struct"),"N","Y")</f>
        <v>Y</v>
      </c>
      <c r="G148" s="153" t="s">
        <v>690</v>
      </c>
      <c r="H148" s="139">
        <v>0</v>
      </c>
      <c r="I148" s="139">
        <v>0</v>
      </c>
      <c r="J148" s="139">
        <v>0</v>
      </c>
      <c r="K148" s="139">
        <v>0</v>
      </c>
      <c r="L148" s="143">
        <v>0</v>
      </c>
      <c r="M148" s="143">
        <v>0</v>
      </c>
      <c r="N148" s="140"/>
      <c r="O148" s="140"/>
      <c r="P148" s="140"/>
      <c r="Q148" s="140"/>
      <c r="R148" s="140"/>
      <c r="S148" s="140"/>
      <c r="T148" s="140"/>
    </row>
    <row r="149" spans="1:20" ht="15" customHeight="1" x14ac:dyDescent="0.2">
      <c r="A149" s="141"/>
      <c r="B149" s="143" t="str">
        <f>IF(ISBLANK(A149),"",IF(AND(ISNA(VLOOKUP(A149,Interface_Platform!E:E,1,FALSE())),ISNA(VLOOKUP(A149,D:D,1,FALSE()))),"N","Y"))</f>
        <v/>
      </c>
      <c r="C149" s="143" t="s">
        <v>691</v>
      </c>
      <c r="D149" s="143" t="s">
        <v>293</v>
      </c>
      <c r="E149" s="142">
        <v>1</v>
      </c>
      <c r="F149" s="144" t="str">
        <f>IF(AND(ISNA(VLOOKUP(D149,A:A,1,FALSE())),ISNA(VLOOKUP(D149,BaseType!A:A,1,FALSE())),D149&lt;&gt;"Struct"),"N","Y")</f>
        <v>Y</v>
      </c>
      <c r="G149" s="153" t="s">
        <v>692</v>
      </c>
      <c r="H149" s="139">
        <v>0</v>
      </c>
      <c r="I149" s="139">
        <v>0</v>
      </c>
      <c r="J149" s="139">
        <v>0</v>
      </c>
      <c r="K149" s="139">
        <v>0</v>
      </c>
      <c r="L149" s="143">
        <v>0</v>
      </c>
      <c r="M149" s="143">
        <v>0</v>
      </c>
      <c r="N149" s="140"/>
      <c r="O149" s="140"/>
      <c r="P149" s="140"/>
      <c r="Q149" s="140"/>
      <c r="R149" s="140"/>
      <c r="S149" s="140"/>
      <c r="T149" s="140"/>
    </row>
    <row r="150" spans="1:20" ht="15" customHeight="1" x14ac:dyDescent="0.2">
      <c r="A150" s="141"/>
      <c r="B150" s="143" t="str">
        <f>IF(ISBLANK(A150),"",IF(AND(ISNA(VLOOKUP(A150,Interface_Platform!E:E,1,FALSE())),ISNA(VLOOKUP(A150,D:D,1,FALSE()))),"N","Y"))</f>
        <v/>
      </c>
      <c r="C150" s="143" t="s">
        <v>693</v>
      </c>
      <c r="D150" s="143" t="s">
        <v>293</v>
      </c>
      <c r="E150" s="142">
        <v>1</v>
      </c>
      <c r="F150" s="144" t="str">
        <f>IF(AND(ISNA(VLOOKUP(D150,A:A,1,FALSE())),ISNA(VLOOKUP(D150,BaseType!A:A,1,FALSE())),D150&lt;&gt;"Struct"),"N","Y")</f>
        <v>Y</v>
      </c>
      <c r="G150" s="153" t="s">
        <v>694</v>
      </c>
      <c r="H150" s="139">
        <v>0</v>
      </c>
      <c r="I150" s="139">
        <v>0</v>
      </c>
      <c r="J150" s="139">
        <v>0</v>
      </c>
      <c r="K150" s="139">
        <v>0</v>
      </c>
      <c r="L150" s="143">
        <v>0</v>
      </c>
      <c r="M150" s="143">
        <v>0</v>
      </c>
      <c r="N150" s="140"/>
      <c r="O150" s="140"/>
      <c r="P150" s="140"/>
      <c r="Q150" s="140"/>
      <c r="R150" s="140"/>
      <c r="S150" s="140"/>
      <c r="T150" s="140"/>
    </row>
    <row r="151" spans="1:20" ht="15" customHeight="1" x14ac:dyDescent="0.2">
      <c r="A151" s="141"/>
      <c r="B151" s="143" t="str">
        <f>IF(ISBLANK(A151),"",IF(AND(ISNA(VLOOKUP(A151,Interface_Platform!E:E,1,FALSE())),ISNA(VLOOKUP(A151,D:D,1,FALSE()))),"N","Y"))</f>
        <v/>
      </c>
      <c r="C151" s="143" t="s">
        <v>695</v>
      </c>
      <c r="D151" s="143" t="s">
        <v>193</v>
      </c>
      <c r="E151" s="142">
        <v>1</v>
      </c>
      <c r="F151" s="144" t="str">
        <f>IF(AND(ISNA(VLOOKUP(D151,A:A,1,FALSE())),ISNA(VLOOKUP(D151,BaseType!A:A,1,FALSE())),D151&lt;&gt;"Struct"),"N","Y")</f>
        <v>Y</v>
      </c>
      <c r="G151" s="153" t="s">
        <v>696</v>
      </c>
      <c r="H151" s="139">
        <v>0</v>
      </c>
      <c r="I151" s="139">
        <v>0</v>
      </c>
      <c r="J151" s="139">
        <v>0</v>
      </c>
      <c r="K151" s="139">
        <v>0</v>
      </c>
      <c r="L151" s="143">
        <v>0</v>
      </c>
      <c r="M151" s="143">
        <v>0</v>
      </c>
      <c r="N151" s="140"/>
      <c r="O151" s="140"/>
      <c r="P151" s="140"/>
      <c r="Q151" s="140"/>
      <c r="R151" s="140"/>
      <c r="S151" s="140"/>
      <c r="T151" s="140"/>
    </row>
    <row r="152" spans="1:20" ht="15" customHeight="1" x14ac:dyDescent="0.2">
      <c r="A152" s="141"/>
      <c r="B152" s="143" t="str">
        <f>IF(ISBLANK(A152),"",IF(AND(ISNA(VLOOKUP(A152,Interface_Platform!E:E,1,FALSE())),ISNA(VLOOKUP(A152,D:D,1,FALSE()))),"N","Y"))</f>
        <v/>
      </c>
      <c r="C152" s="143" t="s">
        <v>697</v>
      </c>
      <c r="D152" s="143" t="s">
        <v>193</v>
      </c>
      <c r="E152" s="142">
        <v>1</v>
      </c>
      <c r="F152" s="144" t="str">
        <f>IF(AND(ISNA(VLOOKUP(D152,A:A,1,FALSE())),ISNA(VLOOKUP(D152,BaseType!A:A,1,FALSE())),D152&lt;&gt;"Struct"),"N","Y")</f>
        <v>Y</v>
      </c>
      <c r="G152" s="153" t="s">
        <v>698</v>
      </c>
      <c r="H152" s="139">
        <v>0</v>
      </c>
      <c r="I152" s="139">
        <v>0</v>
      </c>
      <c r="J152" s="139">
        <v>0</v>
      </c>
      <c r="K152" s="139">
        <v>0</v>
      </c>
      <c r="L152" s="143">
        <v>0</v>
      </c>
      <c r="M152" s="143">
        <v>0</v>
      </c>
      <c r="N152" s="140"/>
      <c r="O152" s="140"/>
      <c r="P152" s="140"/>
      <c r="Q152" s="140"/>
      <c r="R152" s="140"/>
      <c r="S152" s="140"/>
      <c r="T152" s="140"/>
    </row>
    <row r="153" spans="1:20" ht="15" customHeight="1" x14ac:dyDescent="0.2">
      <c r="A153" s="141"/>
      <c r="B153" s="143" t="str">
        <f>IF(ISBLANK(A153),"",IF(AND(ISNA(VLOOKUP(A153,Interface_Platform!E:E,1,FALSE())),ISNA(VLOOKUP(A153,D:D,1,FALSE()))),"N","Y"))</f>
        <v/>
      </c>
      <c r="C153" s="143" t="s">
        <v>699</v>
      </c>
      <c r="D153" s="143" t="s">
        <v>193</v>
      </c>
      <c r="E153" s="142">
        <v>1</v>
      </c>
      <c r="F153" s="144" t="str">
        <f>IF(AND(ISNA(VLOOKUP(D153,A:A,1,FALSE())),ISNA(VLOOKUP(D153,BaseType!A:A,1,FALSE())),D153&lt;&gt;"Struct"),"N","Y")</f>
        <v>Y</v>
      </c>
      <c r="G153" s="153" t="s">
        <v>700</v>
      </c>
      <c r="H153" s="139">
        <v>0</v>
      </c>
      <c r="I153" s="139">
        <v>0</v>
      </c>
      <c r="J153" s="139">
        <v>0</v>
      </c>
      <c r="K153" s="139">
        <v>0</v>
      </c>
      <c r="L153" s="143">
        <v>0</v>
      </c>
      <c r="M153" s="143">
        <v>0</v>
      </c>
      <c r="N153" s="140"/>
      <c r="O153" s="140"/>
      <c r="P153" s="140"/>
      <c r="Q153" s="140"/>
      <c r="R153" s="140"/>
      <c r="S153" s="140"/>
      <c r="T153" s="140"/>
    </row>
    <row r="154" spans="1:20" ht="15" customHeight="1" x14ac:dyDescent="0.2">
      <c r="A154" s="141"/>
      <c r="B154" s="143" t="str">
        <f>IF(ISBLANK(A154),"",IF(AND(ISNA(VLOOKUP(A154,Interface_Platform!E:E,1,FALSE())),ISNA(VLOOKUP(A154,D:D,1,FALSE()))),"N","Y"))</f>
        <v/>
      </c>
      <c r="C154" s="143" t="s">
        <v>701</v>
      </c>
      <c r="D154" s="143" t="s">
        <v>193</v>
      </c>
      <c r="E154" s="142">
        <v>1</v>
      </c>
      <c r="F154" s="144" t="str">
        <f>IF(AND(ISNA(VLOOKUP(D154,A:A,1,FALSE())),ISNA(VLOOKUP(D154,BaseType!A:A,1,FALSE())),D154&lt;&gt;"Struct"),"N","Y")</f>
        <v>Y</v>
      </c>
      <c r="G154" s="153" t="s">
        <v>702</v>
      </c>
      <c r="H154" s="139">
        <v>0</v>
      </c>
      <c r="I154" s="139">
        <v>0</v>
      </c>
      <c r="J154" s="139">
        <v>0</v>
      </c>
      <c r="K154" s="139">
        <v>0</v>
      </c>
      <c r="L154" s="143">
        <v>0</v>
      </c>
      <c r="M154" s="143">
        <v>0</v>
      </c>
      <c r="N154" s="140"/>
      <c r="O154" s="140"/>
      <c r="P154" s="140"/>
      <c r="Q154" s="140"/>
      <c r="R154" s="140"/>
      <c r="S154" s="140"/>
      <c r="T154" s="140"/>
    </row>
    <row r="155" spans="1:20" ht="15" customHeight="1" x14ac:dyDescent="0.2">
      <c r="A155" s="141"/>
      <c r="B155" s="143" t="str">
        <f>IF(ISBLANK(A155),"",IF(AND(ISNA(VLOOKUP(A155,Interface_Platform!E:E,1,FALSE())),ISNA(VLOOKUP(A155,D:D,1,FALSE()))),"N","Y"))</f>
        <v/>
      </c>
      <c r="C155" s="143" t="s">
        <v>703</v>
      </c>
      <c r="D155" s="143" t="s">
        <v>193</v>
      </c>
      <c r="E155" s="142">
        <v>1</v>
      </c>
      <c r="F155" s="144" t="str">
        <f>IF(AND(ISNA(VLOOKUP(D155,A:A,1,FALSE())),ISNA(VLOOKUP(D155,BaseType!A:A,1,FALSE())),D155&lt;&gt;"Struct"),"N","Y")</f>
        <v>Y</v>
      </c>
      <c r="G155" s="153" t="s">
        <v>704</v>
      </c>
      <c r="H155" s="139">
        <v>0</v>
      </c>
      <c r="I155" s="139">
        <v>0</v>
      </c>
      <c r="J155" s="139">
        <v>0</v>
      </c>
      <c r="K155" s="139">
        <v>0</v>
      </c>
      <c r="L155" s="143">
        <v>0</v>
      </c>
      <c r="M155" s="143">
        <v>0</v>
      </c>
      <c r="N155" s="140"/>
      <c r="O155" s="140"/>
      <c r="P155" s="140"/>
      <c r="Q155" s="140"/>
      <c r="R155" s="140"/>
      <c r="S155" s="140"/>
      <c r="T155" s="140"/>
    </row>
    <row r="156" spans="1:20" ht="15" customHeight="1" x14ac:dyDescent="0.2">
      <c r="A156" s="141"/>
      <c r="B156" s="143" t="str">
        <f>IF(ISBLANK(A156),"",IF(AND(ISNA(VLOOKUP(A156,Interface_Platform!E:E,1,FALSE())),ISNA(VLOOKUP(A156,D:D,1,FALSE()))),"N","Y"))</f>
        <v/>
      </c>
      <c r="C156" s="143" t="s">
        <v>705</v>
      </c>
      <c r="D156" s="143" t="s">
        <v>193</v>
      </c>
      <c r="E156" s="142">
        <v>1</v>
      </c>
      <c r="F156" s="144" t="str">
        <f>IF(AND(ISNA(VLOOKUP(D156,A:A,1,FALSE())),ISNA(VLOOKUP(D156,BaseType!A:A,1,FALSE())),D156&lt;&gt;"Struct"),"N","Y")</f>
        <v>Y</v>
      </c>
      <c r="G156" s="153" t="s">
        <v>706</v>
      </c>
      <c r="H156" s="139">
        <v>0</v>
      </c>
      <c r="I156" s="139">
        <v>0</v>
      </c>
      <c r="J156" s="139">
        <v>0</v>
      </c>
      <c r="K156" s="139">
        <v>0</v>
      </c>
      <c r="L156" s="143">
        <v>0</v>
      </c>
      <c r="M156" s="143">
        <v>0</v>
      </c>
      <c r="N156" s="140"/>
      <c r="O156" s="140"/>
      <c r="P156" s="140"/>
      <c r="Q156" s="140"/>
      <c r="R156" s="140"/>
      <c r="S156" s="140"/>
      <c r="T156" s="140"/>
    </row>
    <row r="157" spans="1:20" ht="15" customHeight="1" x14ac:dyDescent="0.2">
      <c r="A157" s="141"/>
      <c r="B157" s="143" t="str">
        <f>IF(ISBLANK(A157),"",IF(AND(ISNA(VLOOKUP(A157,Interface_Platform!E:E,1,FALSE())),ISNA(VLOOKUP(A157,D:D,1,FALSE()))),"N","Y"))</f>
        <v/>
      </c>
      <c r="C157" s="143" t="s">
        <v>707</v>
      </c>
      <c r="D157" s="143" t="s">
        <v>193</v>
      </c>
      <c r="E157" s="142">
        <v>1</v>
      </c>
      <c r="F157" s="144" t="str">
        <f>IF(AND(ISNA(VLOOKUP(D157,A:A,1,FALSE())),ISNA(VLOOKUP(D157,BaseType!A:A,1,FALSE())),D157&lt;&gt;"Struct"),"N","Y")</f>
        <v>Y</v>
      </c>
      <c r="G157" s="153" t="s">
        <v>708</v>
      </c>
      <c r="H157" s="139">
        <v>0</v>
      </c>
      <c r="I157" s="139">
        <v>0</v>
      </c>
      <c r="J157" s="139">
        <v>0</v>
      </c>
      <c r="K157" s="139">
        <v>0</v>
      </c>
      <c r="L157" s="143">
        <v>0</v>
      </c>
      <c r="M157" s="143">
        <v>0</v>
      </c>
      <c r="N157" s="140"/>
      <c r="O157" s="140"/>
      <c r="P157" s="140"/>
      <c r="Q157" s="140"/>
      <c r="R157" s="140"/>
      <c r="S157" s="140"/>
      <c r="T157" s="140"/>
    </row>
    <row r="158" spans="1:20" ht="15" customHeight="1" x14ac:dyDescent="0.2">
      <c r="A158" s="141"/>
      <c r="B158" s="143" t="str">
        <f>IF(ISBLANK(A158),"",IF(AND(ISNA(VLOOKUP(A158,Interface_Platform!E:E,1,FALSE())),ISNA(VLOOKUP(A158,D:D,1,FALSE()))),"N","Y"))</f>
        <v/>
      </c>
      <c r="C158" s="143" t="s">
        <v>709</v>
      </c>
      <c r="D158" s="143" t="s">
        <v>193</v>
      </c>
      <c r="E158" s="142">
        <v>1</v>
      </c>
      <c r="F158" s="144" t="str">
        <f>IF(AND(ISNA(VLOOKUP(D158,A:A,1,FALSE())),ISNA(VLOOKUP(D158,BaseType!A:A,1,FALSE())),D158&lt;&gt;"Struct"),"N","Y")</f>
        <v>Y</v>
      </c>
      <c r="G158" s="153" t="s">
        <v>710</v>
      </c>
      <c r="H158" s="139">
        <v>0</v>
      </c>
      <c r="I158" s="139">
        <v>0</v>
      </c>
      <c r="J158" s="139">
        <v>0</v>
      </c>
      <c r="K158" s="139">
        <v>0</v>
      </c>
      <c r="L158" s="143">
        <v>0</v>
      </c>
      <c r="M158" s="143">
        <v>0</v>
      </c>
      <c r="N158" s="140"/>
      <c r="O158" s="140"/>
      <c r="P158" s="140"/>
      <c r="Q158" s="140"/>
      <c r="R158" s="140"/>
      <c r="S158" s="140"/>
      <c r="T158" s="140"/>
    </row>
    <row r="159" spans="1:20" ht="15" customHeight="1" x14ac:dyDescent="0.2">
      <c r="A159" s="143"/>
      <c r="B159" s="143"/>
      <c r="C159" s="143" t="s">
        <v>711</v>
      </c>
      <c r="D159" s="143" t="s">
        <v>193</v>
      </c>
      <c r="E159" s="142">
        <v>1</v>
      </c>
      <c r="F159" s="144" t="str">
        <f>IF(AND(ISNA(VLOOKUP(D159,A:A,1,FALSE())),ISNA(VLOOKUP(D159,BaseType!A:A,1,FALSE())),D159&lt;&gt;"Struct"),"N","Y")</f>
        <v>Y</v>
      </c>
      <c r="G159" s="153" t="s">
        <v>712</v>
      </c>
      <c r="H159" s="139"/>
      <c r="I159" s="139"/>
      <c r="J159" s="139"/>
      <c r="K159" s="139"/>
      <c r="L159" s="143"/>
      <c r="M159" s="143"/>
      <c r="N159" s="140"/>
      <c r="O159" s="140"/>
      <c r="P159" s="140"/>
      <c r="Q159" s="140"/>
      <c r="R159" s="140"/>
      <c r="S159" s="140"/>
      <c r="T159" s="140"/>
    </row>
    <row r="160" spans="1:20" ht="15" customHeight="1" x14ac:dyDescent="0.2">
      <c r="A160" s="143"/>
      <c r="B160" s="143"/>
      <c r="C160" s="75" t="s">
        <v>713</v>
      </c>
      <c r="D160" s="143" t="s">
        <v>193</v>
      </c>
      <c r="E160" s="40">
        <v>1</v>
      </c>
      <c r="F160" s="144" t="str">
        <f>IF(AND(ISNA(VLOOKUP(D160,A:A,1,FALSE())),ISNA(VLOOKUP(D160,BaseType!A:A,1,FALSE())),D160&lt;&gt;"Struct"),"N","Y")</f>
        <v>Y</v>
      </c>
      <c r="G160" s="145" t="s">
        <v>714</v>
      </c>
      <c r="H160" s="139">
        <v>0</v>
      </c>
      <c r="I160" s="139">
        <v>0</v>
      </c>
      <c r="J160" s="139">
        <v>0</v>
      </c>
      <c r="K160" s="139">
        <v>0</v>
      </c>
      <c r="L160" s="143">
        <v>0</v>
      </c>
      <c r="M160" s="143">
        <v>0</v>
      </c>
      <c r="N160" s="140"/>
      <c r="O160" s="140"/>
      <c r="P160" s="140"/>
      <c r="Q160" s="140"/>
      <c r="R160" s="140"/>
      <c r="S160" s="140"/>
      <c r="T160" s="140"/>
    </row>
    <row r="161" spans="1:20" ht="15" customHeight="1" x14ac:dyDescent="0.2">
      <c r="A161" s="143"/>
      <c r="B161" s="143"/>
      <c r="C161" s="181" t="s">
        <v>715</v>
      </c>
      <c r="D161" s="180" t="s">
        <v>193</v>
      </c>
      <c r="E161" s="213">
        <v>1</v>
      </c>
      <c r="F161" s="187" t="str">
        <f>IF(AND(ISNA(VLOOKUP(D161,A:A,1,FALSE())),ISNA(VLOOKUP(D161,BaseType!A:A,1,FALSE())),D161&lt;&gt;"Struct"),"N","Y")</f>
        <v>Y</v>
      </c>
      <c r="G161" s="185" t="s">
        <v>716</v>
      </c>
      <c r="H161" s="139"/>
      <c r="I161" s="139"/>
      <c r="J161" s="139"/>
      <c r="K161" s="139"/>
      <c r="L161" s="143"/>
      <c r="M161" s="143"/>
      <c r="N161" s="140"/>
      <c r="O161" s="140"/>
      <c r="P161" s="140"/>
      <c r="Q161" s="140"/>
      <c r="R161" s="140"/>
      <c r="S161" s="140"/>
      <c r="T161" s="140"/>
    </row>
    <row r="162" spans="1:20" ht="15" customHeight="1" x14ac:dyDescent="0.2">
      <c r="A162" s="143"/>
      <c r="B162" s="143"/>
      <c r="C162" s="148" t="s">
        <v>717</v>
      </c>
      <c r="D162" s="143" t="s">
        <v>193</v>
      </c>
      <c r="E162" s="154">
        <v>1</v>
      </c>
      <c r="F162" s="144" t="str">
        <f>IF(AND(ISNA(VLOOKUP(D162,A:A,1,FALSE())),ISNA(VLOOKUP(D162,BaseType!A:A,1,FALSE())),D162&lt;&gt;"Struct"),"N","Y")</f>
        <v>Y</v>
      </c>
      <c r="G162" s="147" t="s">
        <v>718</v>
      </c>
      <c r="H162" s="139"/>
      <c r="I162" s="139"/>
      <c r="J162" s="139"/>
      <c r="K162" s="139"/>
      <c r="L162" s="143"/>
      <c r="M162" s="143"/>
      <c r="N162" s="140"/>
      <c r="O162" s="140"/>
      <c r="P162" s="140"/>
      <c r="Q162" s="140"/>
      <c r="R162" s="140"/>
      <c r="S162" s="140"/>
      <c r="T162" s="140"/>
    </row>
    <row r="163" spans="1:20" ht="15" customHeight="1" x14ac:dyDescent="0.2">
      <c r="A163" s="143"/>
      <c r="B163" s="143"/>
      <c r="C163" s="148" t="s">
        <v>719</v>
      </c>
      <c r="D163" s="143" t="s">
        <v>193</v>
      </c>
      <c r="E163" s="154">
        <v>1</v>
      </c>
      <c r="F163" s="144" t="str">
        <f>IF(AND(ISNA(VLOOKUP(D163,A:A,1,FALSE())),ISNA(VLOOKUP(D163,BaseType!A:A,1,FALSE())),D163&lt;&gt;"Struct"),"N","Y")</f>
        <v>Y</v>
      </c>
      <c r="G163" s="147" t="s">
        <v>720</v>
      </c>
      <c r="H163" s="139"/>
      <c r="I163" s="139"/>
      <c r="J163" s="139"/>
      <c r="K163" s="139"/>
      <c r="L163" s="143"/>
      <c r="M163" s="143"/>
      <c r="N163" s="140"/>
      <c r="O163" s="140"/>
      <c r="P163" s="140"/>
      <c r="Q163" s="140"/>
      <c r="R163" s="140"/>
      <c r="S163" s="140"/>
      <c r="T163" s="140"/>
    </row>
    <row r="164" spans="1:20" ht="15" customHeight="1" x14ac:dyDescent="0.2">
      <c r="A164" s="143"/>
      <c r="B164" s="143"/>
      <c r="C164" s="181" t="s">
        <v>721</v>
      </c>
      <c r="D164" s="180" t="s">
        <v>193</v>
      </c>
      <c r="E164" s="205">
        <v>1</v>
      </c>
      <c r="F164" s="187" t="str">
        <f>IF(AND(ISNA(VLOOKUP(D164,A:A,1,FALSE())),ISNA(VLOOKUP(D164,BaseType!A:A,1,FALSE())),D164&lt;&gt;"Struct"),"N","Y")</f>
        <v>Y</v>
      </c>
      <c r="G164" s="185" t="s">
        <v>722</v>
      </c>
      <c r="H164" s="139"/>
      <c r="I164" s="139"/>
      <c r="J164" s="139"/>
      <c r="K164" s="139"/>
      <c r="L164" s="143"/>
      <c r="M164" s="143"/>
      <c r="N164" s="140"/>
      <c r="O164" s="140"/>
      <c r="P164" s="140"/>
      <c r="Q164" s="140"/>
      <c r="R164" s="140"/>
      <c r="S164" s="140"/>
      <c r="T164" s="140"/>
    </row>
    <row r="165" spans="1:20" ht="15" customHeight="1" x14ac:dyDescent="0.2">
      <c r="A165" s="143"/>
      <c r="B165" s="143"/>
      <c r="C165" s="181" t="s">
        <v>723</v>
      </c>
      <c r="D165" s="180" t="s">
        <v>193</v>
      </c>
      <c r="E165" s="205">
        <v>1</v>
      </c>
      <c r="F165" s="187" t="str">
        <f>IF(AND(ISNA(VLOOKUP(D165,A:A,1,FALSE())),ISNA(VLOOKUP(D165,BaseType!A:A,1,FALSE())),D165&lt;&gt;"Struct"),"N","Y")</f>
        <v>Y</v>
      </c>
      <c r="G165" s="185" t="s">
        <v>724</v>
      </c>
      <c r="H165" s="139"/>
      <c r="I165" s="139"/>
      <c r="J165" s="139"/>
      <c r="K165" s="139"/>
      <c r="L165" s="143"/>
      <c r="M165" s="143"/>
      <c r="N165" s="140"/>
      <c r="O165" s="140"/>
      <c r="P165" s="140"/>
      <c r="Q165" s="140"/>
      <c r="R165" s="140"/>
      <c r="S165" s="140"/>
      <c r="T165" s="140"/>
    </row>
    <row r="166" spans="1:20" ht="15" customHeight="1" x14ac:dyDescent="0.2">
      <c r="A166" s="143"/>
      <c r="B166" s="143"/>
      <c r="C166" s="148" t="s">
        <v>725</v>
      </c>
      <c r="D166" s="143" t="s">
        <v>193</v>
      </c>
      <c r="E166" s="154">
        <v>1</v>
      </c>
      <c r="F166" s="144" t="str">
        <f>IF(AND(ISNA(VLOOKUP(D166,A:A,1,FALSE())),ISNA(VLOOKUP(D166,BaseType!A:A,1,FALSE())),D166&lt;&gt;"Struct"),"N","Y")</f>
        <v>Y</v>
      </c>
      <c r="G166" s="147" t="s">
        <v>726</v>
      </c>
      <c r="H166" s="139"/>
      <c r="I166" s="139"/>
      <c r="J166" s="139"/>
      <c r="K166" s="139"/>
      <c r="L166" s="143"/>
      <c r="M166" s="143"/>
      <c r="N166" s="140"/>
      <c r="O166" s="140"/>
      <c r="P166" s="140"/>
      <c r="Q166" s="140"/>
      <c r="R166" s="140"/>
      <c r="S166" s="140"/>
      <c r="T166" s="140"/>
    </row>
    <row r="167" spans="1:20" ht="15" customHeight="1" x14ac:dyDescent="0.2">
      <c r="A167" s="143"/>
      <c r="B167" s="143"/>
      <c r="C167" s="75" t="s">
        <v>727</v>
      </c>
      <c r="D167" s="143" t="s">
        <v>193</v>
      </c>
      <c r="E167" s="154">
        <v>1</v>
      </c>
      <c r="F167" s="144" t="str">
        <f>IF(AND(ISNA(VLOOKUP(D167,A:A,1,FALSE())),ISNA(VLOOKUP(D167,BaseType!A:A,1,FALSE())),D167&lt;&gt;"Struct"),"N","Y")</f>
        <v>Y</v>
      </c>
      <c r="G167" s="145" t="s">
        <v>728</v>
      </c>
      <c r="H167" s="139"/>
      <c r="I167" s="139"/>
      <c r="J167" s="139"/>
      <c r="K167" s="139"/>
      <c r="L167" s="143"/>
      <c r="M167" s="143"/>
      <c r="N167" s="140"/>
      <c r="O167" s="140"/>
      <c r="P167" s="140"/>
      <c r="Q167" s="140"/>
      <c r="R167" s="140"/>
      <c r="S167" s="140"/>
      <c r="T167" s="140"/>
    </row>
    <row r="168" spans="1:20" ht="15" customHeight="1" x14ac:dyDescent="0.2">
      <c r="A168" s="143"/>
      <c r="B168" s="143"/>
      <c r="C168" s="75" t="s">
        <v>729</v>
      </c>
      <c r="D168" s="143" t="s">
        <v>193</v>
      </c>
      <c r="E168" s="154">
        <v>1</v>
      </c>
      <c r="F168" s="144" t="str">
        <f>IF(AND(ISNA(VLOOKUP(D168,A:A,1,FALSE())),ISNA(VLOOKUP(D168,BaseType!A:A,1,FALSE())),D168&lt;&gt;"Struct"),"N","Y")</f>
        <v>Y</v>
      </c>
      <c r="G168" s="145" t="s">
        <v>730</v>
      </c>
      <c r="H168" s="139"/>
      <c r="I168" s="139"/>
      <c r="J168" s="139"/>
      <c r="K168" s="139"/>
      <c r="L168" s="143"/>
      <c r="M168" s="143"/>
      <c r="N168" s="140"/>
      <c r="O168" s="140"/>
      <c r="P168" s="140"/>
      <c r="Q168" s="140"/>
      <c r="R168" s="140"/>
      <c r="S168" s="140"/>
      <c r="T168" s="140"/>
    </row>
    <row r="169" spans="1:20" ht="15" customHeight="1" x14ac:dyDescent="0.2">
      <c r="A169" s="143"/>
      <c r="B169" s="143"/>
      <c r="C169" s="75" t="s">
        <v>731</v>
      </c>
      <c r="D169" s="143" t="s">
        <v>193</v>
      </c>
      <c r="E169" s="154">
        <v>1</v>
      </c>
      <c r="F169" s="144" t="str">
        <f>IF(AND(ISNA(VLOOKUP(D169,A:A,1,FALSE())),ISNA(VLOOKUP(D169,BaseType!A:A,1,FALSE())),D169&lt;&gt;"Struct"),"N","Y")</f>
        <v>Y</v>
      </c>
      <c r="G169" s="145" t="s">
        <v>732</v>
      </c>
      <c r="H169" s="139"/>
      <c r="I169" s="139"/>
      <c r="J169" s="139"/>
      <c r="K169" s="139"/>
      <c r="L169" s="143"/>
      <c r="M169" s="143"/>
      <c r="N169" s="140"/>
      <c r="O169" s="140"/>
      <c r="P169" s="140"/>
      <c r="Q169" s="140"/>
      <c r="R169" s="140"/>
      <c r="S169" s="140"/>
      <c r="T169" s="140"/>
    </row>
    <row r="170" spans="1:20" ht="15" customHeight="1" x14ac:dyDescent="0.2">
      <c r="A170" s="143"/>
      <c r="B170" s="143"/>
      <c r="C170" s="75" t="s">
        <v>733</v>
      </c>
      <c r="D170" s="143" t="s">
        <v>193</v>
      </c>
      <c r="E170" s="154">
        <v>1</v>
      </c>
      <c r="F170" s="144" t="str">
        <f>IF(AND(ISNA(VLOOKUP(D170,A:A,1,FALSE())),ISNA(VLOOKUP(D170,BaseType!A:A,1,FALSE())),D170&lt;&gt;"Struct"),"N","Y")</f>
        <v>Y</v>
      </c>
      <c r="G170" s="145" t="s">
        <v>734</v>
      </c>
      <c r="H170" s="139"/>
      <c r="I170" s="139"/>
      <c r="J170" s="139"/>
      <c r="K170" s="139"/>
      <c r="L170" s="143"/>
      <c r="M170" s="143"/>
      <c r="N170" s="140"/>
      <c r="O170" s="140"/>
      <c r="P170" s="140"/>
      <c r="Q170" s="140"/>
      <c r="R170" s="140"/>
      <c r="S170" s="140"/>
      <c r="T170" s="140"/>
    </row>
    <row r="171" spans="1:20" ht="15" customHeight="1" x14ac:dyDescent="0.2">
      <c r="A171" s="143"/>
      <c r="B171" s="143"/>
      <c r="C171" s="75" t="s">
        <v>735</v>
      </c>
      <c r="D171" s="143" t="s">
        <v>193</v>
      </c>
      <c r="E171" s="154">
        <v>1</v>
      </c>
      <c r="F171" s="144" t="str">
        <f>IF(AND(ISNA(VLOOKUP(D171,A:A,1,FALSE())),ISNA(VLOOKUP(D171,BaseType!A:A,1,FALSE())),D171&lt;&gt;"Struct"),"N","Y")</f>
        <v>Y</v>
      </c>
      <c r="G171" s="145" t="s">
        <v>736</v>
      </c>
      <c r="H171" s="139"/>
      <c r="I171" s="139"/>
      <c r="J171" s="139"/>
      <c r="K171" s="139"/>
      <c r="L171" s="143"/>
      <c r="M171" s="143"/>
      <c r="N171" s="140"/>
      <c r="O171" s="140"/>
      <c r="P171" s="140"/>
      <c r="Q171" s="140"/>
      <c r="R171" s="140"/>
      <c r="S171" s="140"/>
      <c r="T171" s="140"/>
    </row>
    <row r="172" spans="1:20" ht="15" customHeight="1" x14ac:dyDescent="0.2">
      <c r="A172" s="143" t="s">
        <v>254</v>
      </c>
      <c r="B172" s="143" t="str">
        <f>IF(ISBLANK(A172),"",IF(AND(ISNA(VLOOKUP(A172,Interface_Platform!E:E,1,FALSE())),ISNA(VLOOKUP(A172,D:D,1,FALSE()))),"N","Y"))</f>
        <v>Y</v>
      </c>
      <c r="C172" s="75"/>
      <c r="D172" s="143" t="s">
        <v>484</v>
      </c>
      <c r="E172" s="40"/>
      <c r="F172" s="144" t="str">
        <f>IF(AND(ISNA(VLOOKUP(D172,A:A,1,FALSE())),ISNA(VLOOKUP(D172,BaseType!A:A,1,FALSE())),D172&lt;&gt;"Struct"),"N","Y")</f>
        <v>Y</v>
      </c>
      <c r="G172" s="145"/>
      <c r="H172" s="139">
        <v>0</v>
      </c>
      <c r="I172" s="139">
        <v>0</v>
      </c>
      <c r="J172" s="139">
        <v>0</v>
      </c>
      <c r="K172" s="139">
        <v>0</v>
      </c>
      <c r="L172" s="143">
        <v>0</v>
      </c>
      <c r="M172" s="143">
        <v>0</v>
      </c>
      <c r="N172" s="140"/>
      <c r="O172" s="140"/>
      <c r="P172" s="140"/>
      <c r="Q172" s="140"/>
      <c r="R172" s="140"/>
      <c r="S172" s="140"/>
      <c r="T172" s="140"/>
    </row>
    <row r="173" spans="1:20" ht="15" customHeight="1" x14ac:dyDescent="0.2">
      <c r="A173" s="91"/>
      <c r="B173" s="143" t="str">
        <f>IF(ISBLANK(A173),"",IF(AND(ISNA(VLOOKUP(A173,Interface_Platform!E:E,1,FALSE())),ISNA(VLOOKUP(A173,D:D,1,FALSE()))),"N","Y"))</f>
        <v/>
      </c>
      <c r="C173" s="143" t="s">
        <v>630</v>
      </c>
      <c r="D173" s="143" t="s">
        <v>631</v>
      </c>
      <c r="E173" s="154">
        <v>1</v>
      </c>
      <c r="F173" s="144" t="str">
        <f>IF(AND(ISNA(VLOOKUP(D173,A:A,1,FALSE())),ISNA(VLOOKUP(D173,BaseType!A:A,1,FALSE())),D173&lt;&gt;"Struct"),"N","Y")</f>
        <v>Y</v>
      </c>
      <c r="G173" s="153"/>
      <c r="H173" s="139"/>
      <c r="I173" s="139"/>
      <c r="J173" s="139"/>
      <c r="K173" s="139"/>
      <c r="L173" s="143"/>
      <c r="M173" s="143"/>
      <c r="N173" s="140"/>
      <c r="O173" s="140"/>
      <c r="P173" s="140"/>
      <c r="Q173" s="140"/>
      <c r="R173" s="140"/>
      <c r="S173" s="140"/>
      <c r="T173" s="140"/>
    </row>
    <row r="174" spans="1:20" ht="15" customHeight="1" x14ac:dyDescent="0.2">
      <c r="A174" s="91"/>
      <c r="B174" s="143" t="str">
        <f>IF(ISBLANK(A174),"",IF(AND(ISNA(VLOOKUP(A174,Interface_Platform!E:E,1,FALSE())),ISNA(VLOOKUP(A174,D:D,1,FALSE()))),"N","Y"))</f>
        <v/>
      </c>
      <c r="C174" s="143" t="s">
        <v>737</v>
      </c>
      <c r="D174" s="143" t="s">
        <v>293</v>
      </c>
      <c r="E174" s="142">
        <v>1</v>
      </c>
      <c r="F174" s="144" t="str">
        <f>IF(AND(ISNA(VLOOKUP(D174,A:A,1,FALSE())),ISNA(VLOOKUP(D174,BaseType!A:A,1,FALSE())),D174&lt;&gt;"Struct"),"N","Y")</f>
        <v>Y</v>
      </c>
      <c r="G174" s="153" t="s">
        <v>738</v>
      </c>
      <c r="H174" s="139">
        <v>0</v>
      </c>
      <c r="I174" s="139">
        <v>0</v>
      </c>
      <c r="J174" s="139">
        <v>0</v>
      </c>
      <c r="K174" s="139">
        <v>0</v>
      </c>
      <c r="L174" s="143">
        <v>0</v>
      </c>
      <c r="M174" s="143">
        <v>0</v>
      </c>
      <c r="N174" s="140"/>
      <c r="O174" s="140"/>
      <c r="P174" s="140"/>
      <c r="Q174" s="140"/>
      <c r="R174" s="140"/>
      <c r="S174" s="140"/>
      <c r="T174" s="140"/>
    </row>
    <row r="175" spans="1:20" ht="15" customHeight="1" x14ac:dyDescent="0.2">
      <c r="A175" s="91"/>
      <c r="B175" s="143" t="str">
        <f>IF(ISBLANK(A175),"",IF(AND(ISNA(VLOOKUP(A175,Interface_Platform!E:E,1,FALSE())),ISNA(VLOOKUP(A175,D:D,1,FALSE()))),"N","Y"))</f>
        <v/>
      </c>
      <c r="C175" s="143" t="s">
        <v>739</v>
      </c>
      <c r="D175" s="143" t="s">
        <v>293</v>
      </c>
      <c r="E175" s="142">
        <v>1</v>
      </c>
      <c r="F175" s="144" t="str">
        <f>IF(AND(ISNA(VLOOKUP(D175,A:A,1,FALSE())),ISNA(VLOOKUP(D175,BaseType!A:A,1,FALSE())),D175&lt;&gt;"Struct"),"N","Y")</f>
        <v>Y</v>
      </c>
      <c r="G175" s="153" t="s">
        <v>740</v>
      </c>
      <c r="H175" s="139">
        <v>0</v>
      </c>
      <c r="I175" s="139">
        <v>0</v>
      </c>
      <c r="J175" s="139">
        <v>0</v>
      </c>
      <c r="K175" s="139">
        <v>0</v>
      </c>
      <c r="L175" s="143">
        <v>0</v>
      </c>
      <c r="M175" s="143">
        <v>0</v>
      </c>
      <c r="N175" s="140"/>
      <c r="O175" s="140"/>
      <c r="P175" s="140"/>
      <c r="Q175" s="140"/>
      <c r="R175" s="140"/>
      <c r="S175" s="140"/>
      <c r="T175" s="140"/>
    </row>
    <row r="176" spans="1:20" ht="15" customHeight="1" x14ac:dyDescent="0.2">
      <c r="A176" s="141"/>
      <c r="B176" s="143" t="str">
        <f>IF(ISBLANK(A176),"",IF(AND(ISNA(VLOOKUP(A176,Interface_Platform!E:E,1,FALSE())),ISNA(VLOOKUP(A176,D:D,1,FALSE()))),"N","Y"))</f>
        <v/>
      </c>
      <c r="C176" s="143" t="s">
        <v>741</v>
      </c>
      <c r="D176" s="143" t="s">
        <v>293</v>
      </c>
      <c r="E176" s="142">
        <v>1</v>
      </c>
      <c r="F176" s="144" t="str">
        <f>IF(AND(ISNA(VLOOKUP(D176,A:A,1,FALSE())),ISNA(VLOOKUP(D176,BaseType!A:A,1,FALSE())),D176&lt;&gt;"Struct"),"N","Y")</f>
        <v>Y</v>
      </c>
      <c r="G176" s="153" t="s">
        <v>742</v>
      </c>
      <c r="H176" s="139">
        <v>0</v>
      </c>
      <c r="I176" s="139">
        <v>0</v>
      </c>
      <c r="J176" s="139">
        <v>0</v>
      </c>
      <c r="K176" s="139">
        <v>0</v>
      </c>
      <c r="L176" s="143">
        <v>0</v>
      </c>
      <c r="M176" s="143">
        <v>0</v>
      </c>
      <c r="N176" s="140"/>
      <c r="O176" s="140"/>
      <c r="P176" s="140"/>
      <c r="Q176" s="140"/>
      <c r="R176" s="140"/>
      <c r="S176" s="140"/>
      <c r="T176" s="140"/>
    </row>
    <row r="177" spans="1:20" ht="15" customHeight="1" x14ac:dyDescent="0.2">
      <c r="A177" s="141"/>
      <c r="B177" s="143" t="str">
        <f>IF(ISBLANK(A177),"",IF(AND(ISNA(VLOOKUP(A177,Interface_Platform!E:E,1,FALSE())),ISNA(VLOOKUP(A177,D:D,1,FALSE()))),"N","Y"))</f>
        <v/>
      </c>
      <c r="C177" s="143" t="s">
        <v>743</v>
      </c>
      <c r="D177" s="143" t="s">
        <v>293</v>
      </c>
      <c r="E177" s="142">
        <v>1</v>
      </c>
      <c r="F177" s="144" t="str">
        <f>IF(AND(ISNA(VLOOKUP(D177,A:A,1,FALSE())),ISNA(VLOOKUP(D177,BaseType!A:A,1,FALSE())),D177&lt;&gt;"Struct"),"N","Y")</f>
        <v>Y</v>
      </c>
      <c r="G177" s="153" t="s">
        <v>744</v>
      </c>
      <c r="H177" s="139">
        <v>0</v>
      </c>
      <c r="I177" s="139">
        <v>0</v>
      </c>
      <c r="J177" s="139">
        <v>0</v>
      </c>
      <c r="K177" s="139">
        <v>0</v>
      </c>
      <c r="L177" s="143">
        <v>0</v>
      </c>
      <c r="M177" s="143">
        <v>0</v>
      </c>
      <c r="N177" s="140"/>
      <c r="O177" s="140"/>
      <c r="P177" s="140"/>
      <c r="Q177" s="140"/>
      <c r="R177" s="140"/>
      <c r="S177" s="140"/>
      <c r="T177" s="140"/>
    </row>
    <row r="178" spans="1:20" ht="15" customHeight="1" x14ac:dyDescent="0.2">
      <c r="A178" s="141"/>
      <c r="B178" s="143" t="str">
        <f>IF(ISBLANK(A178),"",IF(AND(ISNA(VLOOKUP(A178,Interface_Platform!E:E,1,FALSE())),ISNA(VLOOKUP(A178,D:D,1,FALSE()))),"N","Y"))</f>
        <v/>
      </c>
      <c r="C178" s="143" t="s">
        <v>745</v>
      </c>
      <c r="D178" s="143" t="s">
        <v>293</v>
      </c>
      <c r="E178" s="142">
        <v>1</v>
      </c>
      <c r="F178" s="144" t="str">
        <f>IF(AND(ISNA(VLOOKUP(D178,A:A,1,FALSE())),ISNA(VLOOKUP(D178,BaseType!A:A,1,FALSE())),D178&lt;&gt;"Struct"),"N","Y")</f>
        <v>Y</v>
      </c>
      <c r="G178" s="153" t="s">
        <v>746</v>
      </c>
      <c r="H178" s="139">
        <v>0</v>
      </c>
      <c r="I178" s="139">
        <v>0</v>
      </c>
      <c r="J178" s="139">
        <v>0</v>
      </c>
      <c r="K178" s="139">
        <v>0</v>
      </c>
      <c r="L178" s="143">
        <v>0</v>
      </c>
      <c r="M178" s="143">
        <v>0</v>
      </c>
      <c r="N178" s="140"/>
      <c r="O178" s="140"/>
      <c r="P178" s="140"/>
      <c r="Q178" s="140"/>
      <c r="R178" s="140"/>
      <c r="S178" s="140"/>
      <c r="T178" s="140"/>
    </row>
    <row r="179" spans="1:20" ht="15" customHeight="1" x14ac:dyDescent="0.2">
      <c r="A179" s="141"/>
      <c r="B179" s="143" t="str">
        <f>IF(ISBLANK(A179),"",IF(AND(ISNA(VLOOKUP(A179,Interface_Platform!E:E,1,FALSE())),ISNA(VLOOKUP(A179,D:D,1,FALSE()))),"N","Y"))</f>
        <v/>
      </c>
      <c r="C179" s="143" t="s">
        <v>747</v>
      </c>
      <c r="D179" s="143" t="s">
        <v>293</v>
      </c>
      <c r="E179" s="142">
        <v>1</v>
      </c>
      <c r="F179" s="144" t="str">
        <f>IF(AND(ISNA(VLOOKUP(D179,A:A,1,FALSE())),ISNA(VLOOKUP(D179,BaseType!A:A,1,FALSE())),D179&lt;&gt;"Struct"),"N","Y")</f>
        <v>Y</v>
      </c>
      <c r="G179" s="147" t="s">
        <v>748</v>
      </c>
      <c r="H179" s="141"/>
      <c r="I179" s="141"/>
      <c r="J179" s="141"/>
      <c r="K179" s="141"/>
      <c r="L179" s="141"/>
      <c r="M179" s="141"/>
      <c r="N179" s="140"/>
      <c r="O179" s="140"/>
      <c r="P179" s="140"/>
      <c r="Q179" s="140"/>
      <c r="R179" s="140"/>
      <c r="S179" s="140"/>
      <c r="T179" s="140"/>
    </row>
    <row r="180" spans="1:20" ht="15" customHeight="1" x14ac:dyDescent="0.2">
      <c r="A180" s="141"/>
      <c r="B180" s="143" t="str">
        <f>IF(ISBLANK(A180),"",IF(AND(ISNA(VLOOKUP(A180,Interface_Platform!E:E,1,FALSE())),ISNA(VLOOKUP(A180,D:D,1,FALSE()))),"N","Y"))</f>
        <v/>
      </c>
      <c r="C180" s="148" t="s">
        <v>749</v>
      </c>
      <c r="D180" s="143" t="s">
        <v>293</v>
      </c>
      <c r="E180" s="142">
        <v>1</v>
      </c>
      <c r="F180" s="144" t="str">
        <f>IF(AND(ISNA(VLOOKUP(D180,A:A,1,FALSE())),ISNA(VLOOKUP(D180,BaseType!A:A,1,FALSE())),D180&lt;&gt;"Struct"),"N","Y")</f>
        <v>Y</v>
      </c>
      <c r="G180" s="147" t="s">
        <v>750</v>
      </c>
      <c r="H180" s="139"/>
      <c r="I180" s="139"/>
      <c r="J180" s="139"/>
      <c r="K180" s="139"/>
      <c r="L180" s="143"/>
      <c r="M180" s="143"/>
      <c r="N180" s="140"/>
      <c r="O180" s="140"/>
      <c r="P180" s="140"/>
      <c r="Q180" s="140"/>
      <c r="R180" s="140"/>
      <c r="S180" s="140"/>
      <c r="T180" s="140"/>
    </row>
    <row r="181" spans="1:20" ht="15" customHeight="1" x14ac:dyDescent="0.2">
      <c r="A181" s="141"/>
      <c r="B181" s="143" t="str">
        <f>IF(ISBLANK(A181),"",IF(AND(ISNA(VLOOKUP(A181,Interface_Platform!E:E,1,FALSE())),ISNA(VLOOKUP(A181,D:D,1,FALSE()))),"N","Y"))</f>
        <v/>
      </c>
      <c r="C181" s="143" t="s">
        <v>751</v>
      </c>
      <c r="D181" s="143" t="s">
        <v>193</v>
      </c>
      <c r="E181" s="142">
        <v>1</v>
      </c>
      <c r="F181" s="144" t="str">
        <f>IF(AND(ISNA(VLOOKUP(D181,A:A,1,FALSE())),ISNA(VLOOKUP(D181,BaseType!A:A,1,FALSE())),D181&lt;&gt;"Struct"),"N","Y")</f>
        <v>Y</v>
      </c>
      <c r="G181" s="147" t="s">
        <v>752</v>
      </c>
      <c r="H181" s="139">
        <v>0</v>
      </c>
      <c r="I181" s="139">
        <v>0</v>
      </c>
      <c r="J181" s="139">
        <v>0</v>
      </c>
      <c r="K181" s="139">
        <v>0</v>
      </c>
      <c r="L181" s="143">
        <v>0</v>
      </c>
      <c r="M181" s="143">
        <v>0</v>
      </c>
      <c r="N181" s="140"/>
      <c r="O181" s="140"/>
      <c r="P181" s="140"/>
      <c r="Q181" s="140"/>
      <c r="R181" s="140"/>
      <c r="S181" s="140"/>
      <c r="T181" s="140"/>
    </row>
    <row r="182" spans="1:20" ht="15" customHeight="1" x14ac:dyDescent="0.2">
      <c r="A182" s="141"/>
      <c r="B182" s="143" t="str">
        <f>IF(ISBLANK(A182),"",IF(AND(ISNA(VLOOKUP(A182,Interface_Platform!E:E,1,FALSE())),ISNA(VLOOKUP(A182,D:D,1,FALSE()))),"N","Y"))</f>
        <v/>
      </c>
      <c r="C182" s="143" t="s">
        <v>753</v>
      </c>
      <c r="D182" s="143" t="s">
        <v>193</v>
      </c>
      <c r="E182" s="142">
        <v>1</v>
      </c>
      <c r="F182" s="144" t="str">
        <f>IF(AND(ISNA(VLOOKUP(D182,A:A,1,FALSE())),ISNA(VLOOKUP(D182,BaseType!A:A,1,FALSE())),D182&lt;&gt;"Struct"),"N","Y")</f>
        <v>Y</v>
      </c>
      <c r="G182" s="147" t="s">
        <v>754</v>
      </c>
      <c r="H182" s="139">
        <v>0</v>
      </c>
      <c r="I182" s="139">
        <v>0</v>
      </c>
      <c r="J182" s="139">
        <v>0</v>
      </c>
      <c r="K182" s="139">
        <v>0</v>
      </c>
      <c r="L182" s="143">
        <v>0</v>
      </c>
      <c r="M182" s="143">
        <v>0</v>
      </c>
      <c r="N182" s="140"/>
      <c r="O182" s="140"/>
      <c r="P182" s="140"/>
      <c r="Q182" s="140"/>
      <c r="R182" s="140"/>
      <c r="S182" s="140"/>
      <c r="T182" s="140"/>
    </row>
    <row r="183" spans="1:20" ht="15" customHeight="1" x14ac:dyDescent="0.2">
      <c r="A183" s="141"/>
      <c r="B183" s="143" t="str">
        <f>IF(ISBLANK(A183),"",IF(AND(ISNA(VLOOKUP(A183,Interface_Platform!E:E,1,FALSE())),ISNA(VLOOKUP(A183,D:D,1,FALSE()))),"N","Y"))</f>
        <v/>
      </c>
      <c r="C183" s="143" t="s">
        <v>755</v>
      </c>
      <c r="D183" s="143" t="s">
        <v>193</v>
      </c>
      <c r="E183" s="142">
        <v>1</v>
      </c>
      <c r="F183" s="144" t="str">
        <f>IF(AND(ISNA(VLOOKUP(D183,A:A,1,FALSE())),ISNA(VLOOKUP(D183,BaseType!A:A,1,FALSE())),D183&lt;&gt;"Struct"),"N","Y")</f>
        <v>Y</v>
      </c>
      <c r="G183" s="147" t="s">
        <v>756</v>
      </c>
      <c r="H183" s="139">
        <v>0</v>
      </c>
      <c r="I183" s="139">
        <v>0</v>
      </c>
      <c r="J183" s="139">
        <v>0</v>
      </c>
      <c r="K183" s="139">
        <v>0</v>
      </c>
      <c r="L183" s="143">
        <v>0</v>
      </c>
      <c r="M183" s="143">
        <v>0</v>
      </c>
      <c r="N183" s="140"/>
      <c r="O183" s="140"/>
      <c r="P183" s="140"/>
      <c r="Q183" s="140"/>
      <c r="R183" s="140"/>
      <c r="S183" s="140"/>
      <c r="T183" s="140"/>
    </row>
    <row r="184" spans="1:20" ht="15" customHeight="1" x14ac:dyDescent="0.2">
      <c r="A184" s="141"/>
      <c r="B184" s="143" t="str">
        <f>IF(ISBLANK(A184),"",IF(AND(ISNA(VLOOKUP(A184,Interface_Platform!E:E,1,FALSE())),ISNA(VLOOKUP(A184,D:D,1,FALSE()))),"N","Y"))</f>
        <v/>
      </c>
      <c r="C184" s="143" t="s">
        <v>757</v>
      </c>
      <c r="D184" s="143" t="s">
        <v>193</v>
      </c>
      <c r="E184" s="142">
        <v>1</v>
      </c>
      <c r="F184" s="144" t="str">
        <f>IF(AND(ISNA(VLOOKUP(D184,A:A,1,FALSE())),ISNA(VLOOKUP(D184,BaseType!A:A,1,FALSE())),D184&lt;&gt;"Struct"),"N","Y")</f>
        <v>Y</v>
      </c>
      <c r="G184" s="147" t="s">
        <v>758</v>
      </c>
      <c r="H184" s="139">
        <v>0</v>
      </c>
      <c r="I184" s="139">
        <v>0</v>
      </c>
      <c r="J184" s="139">
        <v>0</v>
      </c>
      <c r="K184" s="139">
        <v>0</v>
      </c>
      <c r="L184" s="143">
        <v>0</v>
      </c>
      <c r="M184" s="143">
        <v>0</v>
      </c>
      <c r="N184" s="140"/>
      <c r="O184" s="140"/>
      <c r="P184" s="140"/>
      <c r="Q184" s="140"/>
      <c r="R184" s="140"/>
      <c r="S184" s="140"/>
      <c r="T184" s="140"/>
    </row>
    <row r="185" spans="1:20" ht="15" customHeight="1" x14ac:dyDescent="0.2">
      <c r="A185" s="141"/>
      <c r="B185" s="143" t="str">
        <f>IF(ISBLANK(A185),"",IF(AND(ISNA(VLOOKUP(A185,Interface_Platform!E:E,1,FALSE())),ISNA(VLOOKUP(A185,D:D,1,FALSE()))),"N","Y"))</f>
        <v/>
      </c>
      <c r="C185" s="143" t="s">
        <v>759</v>
      </c>
      <c r="D185" s="143" t="s">
        <v>225</v>
      </c>
      <c r="E185" s="142">
        <v>1</v>
      </c>
      <c r="F185" s="144" t="str">
        <f>IF(AND(ISNA(VLOOKUP(D185,A:A,1,FALSE())),ISNA(VLOOKUP(D185,BaseType!A:A,1,FALSE())),D185&lt;&gt;"Struct"),"N","Y")</f>
        <v>Y</v>
      </c>
      <c r="G185" s="147" t="s">
        <v>760</v>
      </c>
      <c r="H185" s="139"/>
      <c r="I185" s="139"/>
      <c r="J185" s="139"/>
      <c r="K185" s="139"/>
      <c r="L185" s="143"/>
      <c r="M185" s="143"/>
      <c r="N185" s="140"/>
      <c r="O185" s="140"/>
      <c r="P185" s="140"/>
      <c r="Q185" s="140"/>
      <c r="R185" s="140"/>
      <c r="S185" s="140"/>
      <c r="T185" s="140"/>
    </row>
    <row r="186" spans="1:20" ht="15" customHeight="1" x14ac:dyDescent="0.2">
      <c r="A186" s="91"/>
      <c r="B186" s="143" t="str">
        <f>IF(ISBLANK(A186),"",IF(AND(ISNA(VLOOKUP(A186,Interface_Platform!E:E,1,FALSE())),ISNA(VLOOKUP(A186,D:D,1,FALSE()))),"N","Y"))</f>
        <v/>
      </c>
      <c r="C186" s="143" t="s">
        <v>761</v>
      </c>
      <c r="D186" s="143" t="s">
        <v>193</v>
      </c>
      <c r="E186" s="142">
        <v>1</v>
      </c>
      <c r="F186" s="144" t="str">
        <f>IF(AND(ISNA(VLOOKUP(D186,A:A,1,FALSE())),ISNA(VLOOKUP(D186,BaseType!A:A,1,FALSE())),D186&lt;&gt;"Struct"),"N","Y")</f>
        <v>Y</v>
      </c>
      <c r="G186" s="147" t="s">
        <v>762</v>
      </c>
      <c r="H186" s="139">
        <v>0</v>
      </c>
      <c r="I186" s="139">
        <v>0</v>
      </c>
      <c r="J186" s="139">
        <v>0</v>
      </c>
      <c r="K186" s="139">
        <v>0</v>
      </c>
      <c r="L186" s="143">
        <v>0</v>
      </c>
      <c r="M186" s="143">
        <v>0</v>
      </c>
      <c r="N186" s="140"/>
      <c r="O186" s="140"/>
      <c r="P186" s="140"/>
      <c r="Q186" s="140"/>
      <c r="R186" s="140"/>
      <c r="S186" s="140"/>
      <c r="T186" s="140"/>
    </row>
    <row r="187" spans="1:20" ht="15" customHeight="1" x14ac:dyDescent="0.2">
      <c r="A187" s="91"/>
      <c r="B187" s="143" t="str">
        <f>IF(ISBLANK(A187),"",IF(AND(ISNA(VLOOKUP(A187,Interface_Platform!E:E,1,FALSE())),ISNA(VLOOKUP(A187,D:D,1,FALSE()))),"N","Y"))</f>
        <v/>
      </c>
      <c r="C187" s="143" t="s">
        <v>763</v>
      </c>
      <c r="D187" s="143" t="s">
        <v>764</v>
      </c>
      <c r="E187" s="142">
        <v>1</v>
      </c>
      <c r="F187" s="144" t="str">
        <f>IF(AND(ISNA(VLOOKUP(D187,A:A,1,FALSE())),ISNA(VLOOKUP(D187,BaseType!A:A,1,FALSE())),D187&lt;&gt;"Struct"),"N","Y")</f>
        <v>Y</v>
      </c>
      <c r="G187" s="147" t="s">
        <v>765</v>
      </c>
      <c r="H187" s="139">
        <v>0</v>
      </c>
      <c r="I187" s="139">
        <v>0</v>
      </c>
      <c r="J187" s="139">
        <v>0</v>
      </c>
      <c r="K187" s="139">
        <v>0</v>
      </c>
      <c r="L187" s="143">
        <v>0</v>
      </c>
      <c r="M187" s="143">
        <v>0</v>
      </c>
      <c r="N187" s="140"/>
      <c r="O187" s="140"/>
      <c r="P187" s="140"/>
      <c r="Q187" s="140"/>
      <c r="R187" s="140"/>
      <c r="S187" s="140"/>
      <c r="T187" s="140"/>
    </row>
    <row r="188" spans="1:20" ht="15" customHeight="1" x14ac:dyDescent="0.2">
      <c r="A188" s="91"/>
      <c r="B188" s="143" t="str">
        <f>IF(ISBLANK(A188),"",IF(AND(ISNA(VLOOKUP(A188,Interface_Platform!E:E,1,FALSE())),ISNA(VLOOKUP(A188,D:D,1,FALSE()))),"N","Y"))</f>
        <v/>
      </c>
      <c r="C188" s="143" t="s">
        <v>766</v>
      </c>
      <c r="D188" s="143" t="s">
        <v>764</v>
      </c>
      <c r="E188" s="142">
        <v>1</v>
      </c>
      <c r="F188" s="144" t="str">
        <f>IF(AND(ISNA(VLOOKUP(D188,A:A,1,FALSE())),ISNA(VLOOKUP(D188,BaseType!A:A,1,FALSE())),D188&lt;&gt;"Struct"),"N","Y")</f>
        <v>Y</v>
      </c>
      <c r="G188" s="147" t="s">
        <v>767</v>
      </c>
      <c r="H188" s="139">
        <v>0</v>
      </c>
      <c r="I188" s="139">
        <v>0</v>
      </c>
      <c r="J188" s="139">
        <v>0</v>
      </c>
      <c r="K188" s="139">
        <v>0</v>
      </c>
      <c r="L188" s="143">
        <v>0</v>
      </c>
      <c r="M188" s="143">
        <v>0</v>
      </c>
      <c r="N188" s="140"/>
      <c r="O188" s="140"/>
      <c r="P188" s="140"/>
      <c r="Q188" s="140"/>
      <c r="R188" s="140"/>
      <c r="S188" s="140"/>
      <c r="T188" s="140"/>
    </row>
    <row r="189" spans="1:20" ht="15" customHeight="1" x14ac:dyDescent="0.2">
      <c r="A189" s="91"/>
      <c r="B189" s="143" t="str">
        <f>IF(ISBLANK(A189),"",IF(AND(ISNA(VLOOKUP(A189,Interface_Platform!E:E,1,FALSE())),ISNA(VLOOKUP(A189,D:D,1,FALSE()))),"N","Y"))</f>
        <v/>
      </c>
      <c r="C189" s="143" t="s">
        <v>768</v>
      </c>
      <c r="D189" s="143" t="s">
        <v>764</v>
      </c>
      <c r="E189" s="142">
        <v>1</v>
      </c>
      <c r="F189" s="144" t="str">
        <f>IF(AND(ISNA(VLOOKUP(D189,A:A,1,FALSE())),ISNA(VLOOKUP(D189,BaseType!A:A,1,FALSE())),D189&lt;&gt;"Struct"),"N","Y")</f>
        <v>Y</v>
      </c>
      <c r="G189" s="147" t="s">
        <v>769</v>
      </c>
      <c r="H189" s="139">
        <v>0</v>
      </c>
      <c r="I189" s="139">
        <v>0</v>
      </c>
      <c r="J189" s="139">
        <v>0</v>
      </c>
      <c r="K189" s="139">
        <v>0</v>
      </c>
      <c r="L189" s="143">
        <v>0</v>
      </c>
      <c r="M189" s="143">
        <v>0</v>
      </c>
      <c r="N189" s="140"/>
      <c r="O189" s="140"/>
      <c r="P189" s="140"/>
      <c r="Q189" s="140"/>
      <c r="R189" s="140"/>
      <c r="S189" s="140"/>
      <c r="T189" s="140"/>
    </row>
    <row r="190" spans="1:20" ht="15" customHeight="1" x14ac:dyDescent="0.2">
      <c r="A190" s="141"/>
      <c r="B190" s="143" t="str">
        <f>IF(ISBLANK(A190),"",IF(AND(ISNA(VLOOKUP(A190,Interface_Platform!E:E,1,FALSE())),ISNA(VLOOKUP(A190,D:D,1,FALSE()))),"N","Y"))</f>
        <v/>
      </c>
      <c r="C190" s="143" t="s">
        <v>770</v>
      </c>
      <c r="D190" s="143" t="s">
        <v>764</v>
      </c>
      <c r="E190" s="142">
        <v>1</v>
      </c>
      <c r="F190" s="144" t="str">
        <f>IF(AND(ISNA(VLOOKUP(D190,A:A,1,FALSE())),ISNA(VLOOKUP(D190,BaseType!A:A,1,FALSE())),D190&lt;&gt;"Struct"),"N","Y")</f>
        <v>Y</v>
      </c>
      <c r="G190" s="147" t="s">
        <v>771</v>
      </c>
      <c r="H190" s="139">
        <v>0</v>
      </c>
      <c r="I190" s="139">
        <v>0</v>
      </c>
      <c r="J190" s="139">
        <v>0</v>
      </c>
      <c r="K190" s="139">
        <v>0</v>
      </c>
      <c r="L190" s="143">
        <v>0</v>
      </c>
      <c r="M190" s="143">
        <v>0</v>
      </c>
      <c r="N190" s="140"/>
      <c r="O190" s="140"/>
      <c r="P190" s="140"/>
      <c r="Q190" s="140"/>
      <c r="R190" s="140"/>
      <c r="S190" s="140"/>
      <c r="T190" s="140"/>
    </row>
    <row r="191" spans="1:20" ht="15" customHeight="1" x14ac:dyDescent="0.2">
      <c r="A191" s="141"/>
      <c r="B191" s="143" t="str">
        <f>IF(ISBLANK(A191),"",IF(AND(ISNA(VLOOKUP(A191,Interface_Platform!E:E,1,FALSE())),ISNA(VLOOKUP(A191,D:D,1,FALSE()))),"N","Y"))</f>
        <v/>
      </c>
      <c r="C191" s="143" t="s">
        <v>772</v>
      </c>
      <c r="D191" s="143" t="s">
        <v>225</v>
      </c>
      <c r="E191" s="142">
        <v>1</v>
      </c>
      <c r="F191" s="144" t="str">
        <f>IF(AND(ISNA(VLOOKUP(D191,A:A,1,FALSE())),ISNA(VLOOKUP(D191,BaseType!A:A,1,FALSE())),D191&lt;&gt;"Struct"),"N","Y")</f>
        <v>Y</v>
      </c>
      <c r="G191" s="199" t="s">
        <v>773</v>
      </c>
      <c r="H191" s="75"/>
      <c r="I191" s="75"/>
      <c r="J191" s="75"/>
      <c r="K191" s="75"/>
      <c r="L191" s="141"/>
      <c r="M191" s="141"/>
      <c r="N191" s="140"/>
      <c r="O191" s="140"/>
      <c r="P191" s="140"/>
      <c r="Q191" s="140"/>
      <c r="R191" s="140"/>
      <c r="S191" s="140"/>
      <c r="T191" s="140"/>
    </row>
    <row r="192" spans="1:20" ht="15" customHeight="1" x14ac:dyDescent="0.2">
      <c r="A192" s="141"/>
      <c r="B192" s="143"/>
      <c r="C192" s="148" t="s">
        <v>774</v>
      </c>
      <c r="D192" s="148" t="s">
        <v>298</v>
      </c>
      <c r="E192" s="154">
        <v>1</v>
      </c>
      <c r="F192" s="158" t="str">
        <f>IF(AND(ISNA(VLOOKUP(D192,A:A,1,FALSE())),ISNA(VLOOKUP(D192,BaseType!A:A,1,FALSE())),D192&lt;&gt;"Struct"),"N","Y")</f>
        <v>Y</v>
      </c>
      <c r="G192" s="147" t="s">
        <v>775</v>
      </c>
      <c r="H192" s="139"/>
      <c r="I192" s="139"/>
      <c r="J192" s="139"/>
      <c r="K192" s="139"/>
      <c r="L192" s="143"/>
      <c r="M192" s="143"/>
      <c r="N192" s="140"/>
      <c r="O192" s="140"/>
      <c r="P192" s="140"/>
      <c r="Q192" s="140"/>
      <c r="R192" s="140"/>
      <c r="S192" s="140"/>
      <c r="T192" s="140"/>
    </row>
    <row r="193" spans="1:20" ht="15" customHeight="1" x14ac:dyDescent="0.2">
      <c r="A193" s="141"/>
      <c r="B193" s="143" t="str">
        <f>IF(ISBLANK(A193),"",IF(AND(ISNA(VLOOKUP(A193,Interface_Platform!E:E,1,FALSE())),ISNA(VLOOKUP(A193,D:D,1,FALSE()))),"N","Y"))</f>
        <v/>
      </c>
      <c r="C193" s="143" t="s">
        <v>776</v>
      </c>
      <c r="D193" s="143" t="s">
        <v>225</v>
      </c>
      <c r="E193" s="142">
        <v>1</v>
      </c>
      <c r="F193" s="144" t="str">
        <f>IF(AND(ISNA(VLOOKUP(D193,A:A,1,FALSE())),ISNA(VLOOKUP(D193,BaseType!A:A,1,FALSE())),D193&lt;&gt;"Struct"),"N","Y")</f>
        <v>Y</v>
      </c>
      <c r="G193" s="147" t="s">
        <v>777</v>
      </c>
      <c r="H193" s="139">
        <v>0</v>
      </c>
      <c r="I193" s="139">
        <v>0</v>
      </c>
      <c r="J193" s="139">
        <v>0</v>
      </c>
      <c r="K193" s="139">
        <v>0</v>
      </c>
      <c r="L193" s="143">
        <v>0</v>
      </c>
      <c r="M193" s="143">
        <v>0</v>
      </c>
      <c r="N193" s="140"/>
      <c r="O193" s="140"/>
      <c r="P193" s="140"/>
      <c r="Q193" s="140"/>
      <c r="R193" s="140"/>
      <c r="S193" s="140"/>
      <c r="T193" s="140"/>
    </row>
    <row r="194" spans="1:20" ht="15" customHeight="1" x14ac:dyDescent="0.2">
      <c r="A194" s="141"/>
      <c r="B194" s="143" t="str">
        <f>IF(ISBLANK(A194),"",IF(AND(ISNA(VLOOKUP(A194,Interface_Platform!E:E,1,FALSE())),ISNA(VLOOKUP(A194,D:D,1,FALSE()))),"N","Y"))</f>
        <v/>
      </c>
      <c r="C194" s="143" t="s">
        <v>778</v>
      </c>
      <c r="D194" s="143" t="s">
        <v>225</v>
      </c>
      <c r="E194" s="142">
        <v>1</v>
      </c>
      <c r="F194" s="144" t="str">
        <f>IF(AND(ISNA(VLOOKUP(D194,A:A,1,FALSE())),ISNA(VLOOKUP(D194,BaseType!A:A,1,FALSE())),D194&lt;&gt;"Struct"),"N","Y")</f>
        <v>Y</v>
      </c>
      <c r="G194" s="147" t="s">
        <v>779</v>
      </c>
      <c r="H194" s="139">
        <v>0</v>
      </c>
      <c r="I194" s="139">
        <v>0</v>
      </c>
      <c r="J194" s="139">
        <v>0</v>
      </c>
      <c r="K194" s="139">
        <v>0</v>
      </c>
      <c r="L194" s="143">
        <v>0</v>
      </c>
      <c r="M194" s="143">
        <v>0</v>
      </c>
      <c r="N194" s="140"/>
      <c r="O194" s="140"/>
      <c r="P194" s="140"/>
      <c r="Q194" s="140"/>
      <c r="R194" s="140"/>
      <c r="S194" s="140"/>
      <c r="T194" s="140"/>
    </row>
    <row r="195" spans="1:20" ht="15" customHeight="1" x14ac:dyDescent="0.2">
      <c r="A195" s="141"/>
      <c r="B195" s="143"/>
      <c r="C195" s="180" t="s">
        <v>780</v>
      </c>
      <c r="D195" s="180" t="s">
        <v>225</v>
      </c>
      <c r="E195" s="188">
        <v>1</v>
      </c>
      <c r="F195" s="187" t="str">
        <f>IF(AND(ISNA(VLOOKUP(D195,A:A,1,FALSE())),ISNA(VLOOKUP(D195,BaseType!A:A,1,FALSE())),D195&lt;&gt;"Struct"),"N","Y")</f>
        <v>Y</v>
      </c>
      <c r="G195" s="185" t="s">
        <v>781</v>
      </c>
      <c r="H195" s="139"/>
      <c r="I195" s="139"/>
      <c r="J195" s="139"/>
      <c r="K195" s="139"/>
      <c r="L195" s="143"/>
      <c r="M195" s="143"/>
      <c r="N195" s="140"/>
      <c r="O195" s="140"/>
      <c r="P195" s="140"/>
      <c r="Q195" s="140"/>
      <c r="R195" s="140"/>
      <c r="S195" s="140"/>
      <c r="T195" s="140"/>
    </row>
    <row r="196" spans="1:20" ht="15" customHeight="1" x14ac:dyDescent="0.2">
      <c r="A196" s="141"/>
      <c r="B196" s="143" t="str">
        <f>IF(ISBLANK(A196),"",IF(AND(ISNA(VLOOKUP(A196,Interface_Platform!E:E,1,FALSE())),ISNA(VLOOKUP(A196,D:D,1,FALSE()))),"N","Y"))</f>
        <v/>
      </c>
      <c r="C196" s="143" t="s">
        <v>782</v>
      </c>
      <c r="D196" s="143" t="s">
        <v>225</v>
      </c>
      <c r="E196" s="142">
        <v>1</v>
      </c>
      <c r="F196" s="144" t="str">
        <f>IF(AND(ISNA(VLOOKUP(D196,A:A,1,FALSE())),ISNA(VLOOKUP(D196,BaseType!A:A,1,FALSE())),D196&lt;&gt;"Struct"),"N","Y")</f>
        <v>Y</v>
      </c>
      <c r="G196" s="147" t="s">
        <v>783</v>
      </c>
      <c r="H196" s="139">
        <v>0</v>
      </c>
      <c r="I196" s="139">
        <v>0</v>
      </c>
      <c r="J196" s="139">
        <v>0</v>
      </c>
      <c r="K196" s="139">
        <v>0</v>
      </c>
      <c r="L196" s="143">
        <v>0</v>
      </c>
      <c r="M196" s="143">
        <v>0</v>
      </c>
      <c r="N196" s="140"/>
      <c r="O196" s="140"/>
      <c r="P196" s="140"/>
      <c r="Q196" s="140"/>
      <c r="R196" s="140"/>
      <c r="S196" s="140"/>
      <c r="T196" s="140"/>
    </row>
    <row r="197" spans="1:20" ht="15" customHeight="1" x14ac:dyDescent="0.2">
      <c r="A197" s="141"/>
      <c r="B197" s="143" t="str">
        <f>IF(ISBLANK(A197),"",IF(AND(ISNA(VLOOKUP(A197,Interface_Platform!E:E,1,FALSE())),ISNA(VLOOKUP(A197,D:D,1,FALSE()))),"N","Y"))</f>
        <v/>
      </c>
      <c r="C197" s="143" t="s">
        <v>784</v>
      </c>
      <c r="D197" s="143" t="s">
        <v>225</v>
      </c>
      <c r="E197" s="142">
        <v>1</v>
      </c>
      <c r="F197" s="144" t="str">
        <f>IF(AND(ISNA(VLOOKUP(D197,A:A,1,FALSE())),ISNA(VLOOKUP(D197,BaseType!A:A,1,FALSE())),D197&lt;&gt;"Struct"),"N","Y")</f>
        <v>Y</v>
      </c>
      <c r="G197" s="147" t="s">
        <v>785</v>
      </c>
      <c r="H197" s="139">
        <v>0</v>
      </c>
      <c r="I197" s="139">
        <v>0</v>
      </c>
      <c r="J197" s="139">
        <v>0</v>
      </c>
      <c r="K197" s="139">
        <v>0</v>
      </c>
      <c r="L197" s="143">
        <v>0</v>
      </c>
      <c r="M197" s="143">
        <v>0</v>
      </c>
      <c r="N197" s="140"/>
      <c r="O197" s="140"/>
      <c r="P197" s="140"/>
      <c r="Q197" s="140"/>
      <c r="R197" s="140"/>
      <c r="S197" s="140"/>
      <c r="T197" s="140"/>
    </row>
    <row r="198" spans="1:20" ht="15" customHeight="1" x14ac:dyDescent="0.2">
      <c r="A198" s="141"/>
      <c r="B198" s="143" t="str">
        <f>IF(ISBLANK(A198),"",IF(AND(ISNA(VLOOKUP(A198,Interface_Platform!E:E,1,FALSE())),ISNA(VLOOKUP(A198,D:D,1,FALSE()))),"N","Y"))</f>
        <v/>
      </c>
      <c r="C198" s="143" t="s">
        <v>786</v>
      </c>
      <c r="D198" s="143" t="s">
        <v>225</v>
      </c>
      <c r="E198" s="142">
        <v>1</v>
      </c>
      <c r="F198" s="144" t="str">
        <f>IF(AND(ISNA(VLOOKUP(D198,A:A,1,FALSE())),ISNA(VLOOKUP(D198,BaseType!A:A,1,FALSE())),D198&lt;&gt;"Struct"),"N","Y")</f>
        <v>Y</v>
      </c>
      <c r="G198" s="147" t="s">
        <v>787</v>
      </c>
      <c r="H198" s="139">
        <v>0</v>
      </c>
      <c r="I198" s="139">
        <v>0</v>
      </c>
      <c r="J198" s="139">
        <v>0</v>
      </c>
      <c r="K198" s="139">
        <v>0</v>
      </c>
      <c r="L198" s="143">
        <v>0</v>
      </c>
      <c r="M198" s="143">
        <v>0</v>
      </c>
      <c r="N198" s="140"/>
      <c r="O198" s="140"/>
      <c r="P198" s="140"/>
      <c r="Q198" s="140"/>
      <c r="R198" s="140"/>
      <c r="S198" s="140"/>
      <c r="T198" s="140"/>
    </row>
    <row r="199" spans="1:20" ht="15" customHeight="1" x14ac:dyDescent="0.2">
      <c r="A199" s="141"/>
      <c r="B199" s="143" t="str">
        <f>IF(ISBLANK(A199),"",IF(AND(ISNA(VLOOKUP(A199,Interface_Platform!E:E,1,FALSE())),ISNA(VLOOKUP(A199,D:D,1,FALSE()))),"N","Y"))</f>
        <v/>
      </c>
      <c r="C199" s="143" t="s">
        <v>788</v>
      </c>
      <c r="D199" s="143" t="s">
        <v>225</v>
      </c>
      <c r="E199" s="142">
        <v>1</v>
      </c>
      <c r="F199" s="144" t="str">
        <f>IF(AND(ISNA(VLOOKUP(D199,A:A,1,FALSE())),ISNA(VLOOKUP(D199,BaseType!A:A,1,FALSE())),D199&lt;&gt;"Struct"),"N","Y")</f>
        <v>Y</v>
      </c>
      <c r="G199" s="147" t="s">
        <v>789</v>
      </c>
      <c r="H199" s="139"/>
      <c r="I199" s="139"/>
      <c r="J199" s="139"/>
      <c r="K199" s="139"/>
      <c r="L199" s="143"/>
      <c r="M199" s="143"/>
      <c r="N199" s="140"/>
      <c r="O199" s="140"/>
      <c r="P199" s="140"/>
      <c r="Q199" s="140"/>
      <c r="R199" s="140"/>
      <c r="S199" s="140"/>
      <c r="T199" s="140"/>
    </row>
    <row r="200" spans="1:20" ht="15" customHeight="1" x14ac:dyDescent="0.2">
      <c r="A200" s="141"/>
      <c r="B200" s="143" t="str">
        <f>IF(ISBLANK(A200),"",IF(AND(ISNA(VLOOKUP(A200,Interface_Platform!E:E,1,FALSE())),ISNA(VLOOKUP(A200,D:D,1,FALSE()))),"N","Y"))</f>
        <v/>
      </c>
      <c r="C200" s="143" t="s">
        <v>790</v>
      </c>
      <c r="D200" s="143" t="s">
        <v>225</v>
      </c>
      <c r="E200" s="142">
        <v>1</v>
      </c>
      <c r="F200" s="144" t="str">
        <f>IF(AND(ISNA(VLOOKUP(D200,A:A,1,FALSE())),ISNA(VLOOKUP(D200,BaseType!A:A,1,FALSE())),D200&lt;&gt;"Struct"),"N","Y")</f>
        <v>Y</v>
      </c>
      <c r="G200" s="147" t="s">
        <v>791</v>
      </c>
      <c r="H200" s="139">
        <v>0</v>
      </c>
      <c r="I200" s="139">
        <v>0</v>
      </c>
      <c r="J200" s="139">
        <v>0</v>
      </c>
      <c r="K200" s="139">
        <v>0</v>
      </c>
      <c r="L200" s="143">
        <v>0</v>
      </c>
      <c r="M200" s="143">
        <v>0</v>
      </c>
      <c r="N200" s="140"/>
      <c r="O200" s="140"/>
      <c r="P200" s="140"/>
      <c r="Q200" s="140"/>
      <c r="R200" s="140"/>
      <c r="S200" s="140"/>
      <c r="T200" s="140"/>
    </row>
    <row r="201" spans="1:20" ht="15" customHeight="1" x14ac:dyDescent="0.2">
      <c r="A201" s="141"/>
      <c r="B201" s="143" t="str">
        <f>IF(ISBLANK(A201),"",IF(AND(ISNA(VLOOKUP(A201,Interface_Platform!E:E,1,FALSE())),ISNA(VLOOKUP(A201,D:D,1,FALSE()))),"N","Y"))</f>
        <v/>
      </c>
      <c r="C201" s="143" t="s">
        <v>792</v>
      </c>
      <c r="D201" s="143" t="s">
        <v>225</v>
      </c>
      <c r="E201" s="142">
        <v>1</v>
      </c>
      <c r="F201" s="144" t="str">
        <f>IF(AND(ISNA(VLOOKUP(D201,A:A,1,FALSE())),ISNA(VLOOKUP(D201,BaseType!A:A,1,FALSE())),D201&lt;&gt;"Struct"),"N","Y")</f>
        <v>Y</v>
      </c>
      <c r="G201" s="147" t="s">
        <v>793</v>
      </c>
      <c r="H201" s="139">
        <v>0</v>
      </c>
      <c r="I201" s="139">
        <v>0</v>
      </c>
      <c r="J201" s="139">
        <v>0</v>
      </c>
      <c r="K201" s="139">
        <v>0</v>
      </c>
      <c r="L201" s="143">
        <v>0</v>
      </c>
      <c r="M201" s="143">
        <v>0</v>
      </c>
      <c r="N201" s="140"/>
      <c r="O201" s="140"/>
      <c r="P201" s="140"/>
      <c r="Q201" s="140"/>
      <c r="R201" s="140"/>
      <c r="S201" s="140"/>
      <c r="T201" s="140"/>
    </row>
    <row r="202" spans="1:20" ht="15" customHeight="1" x14ac:dyDescent="0.2">
      <c r="A202" s="141"/>
      <c r="B202" s="143" t="str">
        <f>IF(ISBLANK(A202),"",IF(AND(ISNA(VLOOKUP(A202,Interface_Platform!E:E,1,FALSE())),ISNA(VLOOKUP(A202,D:D,1,FALSE()))),"N","Y"))</f>
        <v/>
      </c>
      <c r="C202" s="143" t="s">
        <v>794</v>
      </c>
      <c r="D202" s="143" t="s">
        <v>225</v>
      </c>
      <c r="E202" s="142">
        <v>1</v>
      </c>
      <c r="F202" s="144" t="str">
        <f>IF(AND(ISNA(VLOOKUP(D202,A:A,1,FALSE())),ISNA(VLOOKUP(D202,BaseType!A:A,1,FALSE())),D202&lt;&gt;"Struct"),"N","Y")</f>
        <v>Y</v>
      </c>
      <c r="G202" s="185" t="s">
        <v>795</v>
      </c>
      <c r="H202" s="139">
        <v>0</v>
      </c>
      <c r="I202" s="139">
        <v>0</v>
      </c>
      <c r="J202" s="139">
        <v>0</v>
      </c>
      <c r="K202" s="139">
        <v>0</v>
      </c>
      <c r="L202" s="143">
        <v>0</v>
      </c>
      <c r="M202" s="143">
        <v>0</v>
      </c>
      <c r="N202" s="140"/>
      <c r="O202" s="140"/>
      <c r="P202" s="140"/>
      <c r="Q202" s="140"/>
      <c r="R202" s="140"/>
      <c r="S202" s="140"/>
      <c r="T202" s="140"/>
    </row>
    <row r="203" spans="1:20" ht="15" customHeight="1" x14ac:dyDescent="0.2">
      <c r="A203" s="141"/>
      <c r="B203" s="143" t="str">
        <f>IF(ISBLANK(A203),"",IF(AND(ISNA(VLOOKUP(A203,Interface_Platform!E:E,1,FALSE())),ISNA(VLOOKUP(A203,D:D,1,FALSE()))),"N","Y"))</f>
        <v/>
      </c>
      <c r="C203" s="143" t="s">
        <v>796</v>
      </c>
      <c r="D203" s="143" t="s">
        <v>225</v>
      </c>
      <c r="E203" s="142">
        <v>1</v>
      </c>
      <c r="F203" s="144" t="str">
        <f>IF(AND(ISNA(VLOOKUP(D203,A:A,1,FALSE())),ISNA(VLOOKUP(D203,BaseType!A:A,1,FALSE())),D203&lt;&gt;"Struct"),"N","Y")</f>
        <v>Y</v>
      </c>
      <c r="G203" s="147" t="s">
        <v>797</v>
      </c>
      <c r="H203" s="139">
        <v>0</v>
      </c>
      <c r="I203" s="139">
        <v>0</v>
      </c>
      <c r="J203" s="139">
        <v>0</v>
      </c>
      <c r="K203" s="139">
        <v>0</v>
      </c>
      <c r="L203" s="143">
        <v>0</v>
      </c>
      <c r="M203" s="143">
        <v>0</v>
      </c>
      <c r="N203" s="140"/>
      <c r="O203" s="140"/>
      <c r="P203" s="140"/>
      <c r="Q203" s="140"/>
      <c r="R203" s="140"/>
      <c r="S203" s="140"/>
      <c r="T203" s="140"/>
    </row>
    <row r="204" spans="1:20" ht="15" customHeight="1" x14ac:dyDescent="0.2">
      <c r="A204" s="141"/>
      <c r="B204" s="143" t="str">
        <f>IF(ISBLANK(A204),"",IF(AND(ISNA(VLOOKUP(A204,Interface_Platform!E:E,1,FALSE())),ISNA(VLOOKUP(A204,D:D,1,FALSE()))),"N","Y"))</f>
        <v/>
      </c>
      <c r="C204" s="143" t="s">
        <v>798</v>
      </c>
      <c r="D204" s="143" t="s">
        <v>225</v>
      </c>
      <c r="E204" s="142">
        <v>1</v>
      </c>
      <c r="F204" s="144" t="str">
        <f>IF(AND(ISNA(VLOOKUP(D204,A:A,1,FALSE())),ISNA(VLOOKUP(D204,BaseType!A:A,1,FALSE())),D204&lt;&gt;"Struct"),"N","Y")</f>
        <v>Y</v>
      </c>
      <c r="G204" s="147" t="s">
        <v>799</v>
      </c>
      <c r="H204" s="139">
        <v>0</v>
      </c>
      <c r="I204" s="139">
        <v>0</v>
      </c>
      <c r="J204" s="139">
        <v>0</v>
      </c>
      <c r="K204" s="139">
        <v>0</v>
      </c>
      <c r="L204" s="143">
        <v>0</v>
      </c>
      <c r="M204" s="143">
        <v>0</v>
      </c>
      <c r="N204" s="140"/>
      <c r="O204" s="140"/>
      <c r="P204" s="140"/>
      <c r="Q204" s="140"/>
      <c r="R204" s="140"/>
      <c r="S204" s="140"/>
      <c r="T204" s="140"/>
    </row>
    <row r="205" spans="1:20" ht="15" customHeight="1" x14ac:dyDescent="0.2">
      <c r="A205" s="141"/>
      <c r="B205" s="143" t="str">
        <f>IF(ISBLANK(A205),"",IF(AND(ISNA(VLOOKUP(A205,Interface_Platform!E:E,1,FALSE())),ISNA(VLOOKUP(A205,D:D,1,FALSE()))),"N","Y"))</f>
        <v/>
      </c>
      <c r="C205" s="143" t="s">
        <v>800</v>
      </c>
      <c r="D205" s="143" t="s">
        <v>225</v>
      </c>
      <c r="E205" s="142">
        <v>1</v>
      </c>
      <c r="F205" s="144" t="str">
        <f>IF(AND(ISNA(VLOOKUP(D205,A:A,1,FALSE())),ISNA(VLOOKUP(D205,BaseType!A:A,1,FALSE())),D205&lt;&gt;"Struct"),"N","Y")</f>
        <v>Y</v>
      </c>
      <c r="G205" s="147" t="s">
        <v>801</v>
      </c>
      <c r="H205" s="139">
        <v>0</v>
      </c>
      <c r="I205" s="139">
        <v>0</v>
      </c>
      <c r="J205" s="139">
        <v>0</v>
      </c>
      <c r="K205" s="139">
        <v>0</v>
      </c>
      <c r="L205" s="143">
        <v>0</v>
      </c>
      <c r="M205" s="143">
        <v>0</v>
      </c>
      <c r="N205" s="140"/>
      <c r="O205" s="140"/>
      <c r="P205" s="140"/>
      <c r="Q205" s="140"/>
      <c r="R205" s="140"/>
      <c r="S205" s="140"/>
      <c r="T205" s="140"/>
    </row>
    <row r="206" spans="1:20" ht="15" customHeight="1" x14ac:dyDescent="0.2">
      <c r="A206" s="91"/>
      <c r="B206" s="143" t="str">
        <f>IF(ISBLANK(A206),"",IF(AND(ISNA(VLOOKUP(A206,Interface_Platform!E:E,1,FALSE())),ISNA(VLOOKUP(A206,D:D,1,FALSE()))),"N","Y"))</f>
        <v/>
      </c>
      <c r="C206" s="143" t="s">
        <v>802</v>
      </c>
      <c r="D206" s="143" t="s">
        <v>225</v>
      </c>
      <c r="E206" s="142">
        <v>1</v>
      </c>
      <c r="F206" s="144" t="str">
        <f>IF(AND(ISNA(VLOOKUP(D206,A:A,1,FALSE())),ISNA(VLOOKUP(D206,BaseType!A:A,1,FALSE())),D206&lt;&gt;"Struct"),"N","Y")</f>
        <v>Y</v>
      </c>
      <c r="G206" s="147" t="s">
        <v>803</v>
      </c>
      <c r="H206" s="139">
        <v>0</v>
      </c>
      <c r="I206" s="139">
        <v>0</v>
      </c>
      <c r="J206" s="139">
        <v>0</v>
      </c>
      <c r="K206" s="139">
        <v>0</v>
      </c>
      <c r="L206" s="143">
        <v>0</v>
      </c>
      <c r="M206" s="143">
        <v>0</v>
      </c>
      <c r="N206" s="140"/>
      <c r="O206" s="140"/>
      <c r="P206" s="140"/>
      <c r="Q206" s="140"/>
      <c r="R206" s="140"/>
      <c r="S206" s="140"/>
      <c r="T206" s="140"/>
    </row>
    <row r="207" spans="1:20" ht="15" customHeight="1" x14ac:dyDescent="0.2">
      <c r="A207" s="91"/>
      <c r="B207" s="143" t="str">
        <f>IF(ISBLANK(A207),"",IF(AND(ISNA(VLOOKUP(A207,Interface_Platform!E:E,1,FALSE())),ISNA(VLOOKUP(A207,D:D,1,FALSE()))),"N","Y"))</f>
        <v/>
      </c>
      <c r="C207" s="143" t="s">
        <v>804</v>
      </c>
      <c r="D207" s="143" t="s">
        <v>225</v>
      </c>
      <c r="E207" s="142">
        <v>1</v>
      </c>
      <c r="F207" s="144" t="str">
        <f>IF(AND(ISNA(VLOOKUP(D207,A:A,1,FALSE())),ISNA(VLOOKUP(D207,BaseType!A:A,1,FALSE())),D207&lt;&gt;"Struct"),"N","Y")</f>
        <v>Y</v>
      </c>
      <c r="G207" s="147" t="s">
        <v>805</v>
      </c>
      <c r="H207" s="139">
        <v>0</v>
      </c>
      <c r="I207" s="139">
        <v>0</v>
      </c>
      <c r="J207" s="139">
        <v>0</v>
      </c>
      <c r="K207" s="139">
        <v>0</v>
      </c>
      <c r="L207" s="143">
        <v>0</v>
      </c>
      <c r="M207" s="143">
        <v>0</v>
      </c>
      <c r="N207" s="140"/>
      <c r="O207" s="140"/>
      <c r="P207" s="140"/>
      <c r="Q207" s="140"/>
      <c r="R207" s="140"/>
      <c r="S207" s="140"/>
      <c r="T207" s="140"/>
    </row>
    <row r="208" spans="1:20" ht="15" customHeight="1" x14ac:dyDescent="0.2">
      <c r="A208" s="91"/>
      <c r="B208" s="143" t="str">
        <f>IF(ISBLANK(A208),"",IF(AND(ISNA(VLOOKUP(A208,Interface_Platform!E:E,1,FALSE())),ISNA(VLOOKUP(A208,D:D,1,FALSE()))),"N","Y"))</f>
        <v/>
      </c>
      <c r="C208" s="143" t="s">
        <v>806</v>
      </c>
      <c r="D208" s="143" t="s">
        <v>225</v>
      </c>
      <c r="E208" s="142">
        <v>1</v>
      </c>
      <c r="F208" s="144" t="str">
        <f>IF(AND(ISNA(VLOOKUP(D208,A:A,1,FALSE())),ISNA(VLOOKUP(D208,BaseType!A:A,1,FALSE())),D208&lt;&gt;"Struct"),"N","Y")</f>
        <v>Y</v>
      </c>
      <c r="G208" s="147" t="s">
        <v>807</v>
      </c>
      <c r="H208" s="139">
        <v>0</v>
      </c>
      <c r="I208" s="139">
        <v>0</v>
      </c>
      <c r="J208" s="139">
        <v>0</v>
      </c>
      <c r="K208" s="139">
        <v>0</v>
      </c>
      <c r="L208" s="143">
        <v>0</v>
      </c>
      <c r="M208" s="143">
        <v>0</v>
      </c>
      <c r="N208" s="140"/>
      <c r="O208" s="140"/>
      <c r="P208" s="140"/>
      <c r="Q208" s="140"/>
      <c r="R208" s="140"/>
      <c r="S208" s="140"/>
      <c r="T208" s="140"/>
    </row>
    <row r="209" spans="1:20" ht="15" customHeight="1" x14ac:dyDescent="0.2">
      <c r="A209" s="91"/>
      <c r="B209" s="143" t="str">
        <f>IF(ISBLANK(A209),"",IF(AND(ISNA(VLOOKUP(A209,Interface_Platform!E:E,1,FALSE())),ISNA(VLOOKUP(A209,D:D,1,FALSE()))),"N","Y"))</f>
        <v/>
      </c>
      <c r="C209" s="143" t="s">
        <v>808</v>
      </c>
      <c r="D209" s="143" t="s">
        <v>225</v>
      </c>
      <c r="E209" s="142">
        <v>1</v>
      </c>
      <c r="F209" s="144" t="str">
        <f>IF(AND(ISNA(VLOOKUP(D209,A:A,1,FALSE())),ISNA(VLOOKUP(D209,BaseType!A:A,1,FALSE())),D209&lt;&gt;"Struct"),"N","Y")</f>
        <v>Y</v>
      </c>
      <c r="G209" s="147" t="s">
        <v>809</v>
      </c>
      <c r="H209" s="139">
        <v>0</v>
      </c>
      <c r="I209" s="139">
        <v>0</v>
      </c>
      <c r="J209" s="139">
        <v>0</v>
      </c>
      <c r="K209" s="139">
        <v>0</v>
      </c>
      <c r="L209" s="143">
        <v>0</v>
      </c>
      <c r="M209" s="143">
        <v>0</v>
      </c>
      <c r="N209" s="140"/>
      <c r="O209" s="140"/>
      <c r="P209" s="140"/>
      <c r="Q209" s="140"/>
      <c r="R209" s="140"/>
      <c r="S209" s="140"/>
      <c r="T209" s="140"/>
    </row>
    <row r="210" spans="1:20" ht="15" customHeight="1" x14ac:dyDescent="0.2">
      <c r="A210" s="91"/>
      <c r="B210" s="143" t="str">
        <f>IF(ISBLANK(A210),"",IF(AND(ISNA(VLOOKUP(A210,Interface_Platform!E:E,1,FALSE())),ISNA(VLOOKUP(A210,D:D,1,FALSE()))),"N","Y"))</f>
        <v/>
      </c>
      <c r="C210" s="148" t="s">
        <v>810</v>
      </c>
      <c r="D210" s="149" t="s">
        <v>298</v>
      </c>
      <c r="E210" s="154">
        <v>1</v>
      </c>
      <c r="F210" s="144" t="str">
        <f>IF(AND(ISNA(VLOOKUP(D210,A:A,1,FALSE())),ISNA(VLOOKUP(D210,BaseType!A:A,1,FALSE())),D210&lt;&gt;"Struct"),"N","Y")</f>
        <v>Y</v>
      </c>
      <c r="G210" s="147" t="s">
        <v>811</v>
      </c>
      <c r="H210" s="139"/>
      <c r="I210" s="139"/>
      <c r="J210" s="139"/>
      <c r="K210" s="139"/>
      <c r="L210" s="143"/>
      <c r="M210" s="143"/>
      <c r="N210" s="140"/>
      <c r="O210" s="140"/>
      <c r="P210" s="140"/>
      <c r="Q210" s="140"/>
      <c r="R210" s="140"/>
      <c r="S210" s="140"/>
      <c r="T210" s="140"/>
    </row>
    <row r="211" spans="1:20" ht="15" customHeight="1" x14ac:dyDescent="0.2">
      <c r="A211" s="91"/>
      <c r="B211" s="143" t="str">
        <f>IF(ISBLANK(A211),"",IF(AND(ISNA(VLOOKUP(A211,Interface_Platform!E:E,1,FALSE())),ISNA(VLOOKUP(A211,D:D,1,FALSE()))),"N","Y"))</f>
        <v/>
      </c>
      <c r="C211" s="148" t="s">
        <v>812</v>
      </c>
      <c r="D211" s="149" t="s">
        <v>298</v>
      </c>
      <c r="E211" s="154">
        <v>1</v>
      </c>
      <c r="F211" s="144" t="str">
        <f>IF(AND(ISNA(VLOOKUP(D211,A:A,1,FALSE())),ISNA(VLOOKUP(D211,BaseType!A:A,1,FALSE())),D211&lt;&gt;"Struct"),"N","Y")</f>
        <v>Y</v>
      </c>
      <c r="G211" s="147" t="s">
        <v>813</v>
      </c>
      <c r="H211" s="139"/>
      <c r="I211" s="139"/>
      <c r="J211" s="139"/>
      <c r="K211" s="139"/>
      <c r="L211" s="143"/>
      <c r="M211" s="143"/>
      <c r="N211" s="140"/>
      <c r="O211" s="140"/>
      <c r="P211" s="140"/>
      <c r="Q211" s="140"/>
      <c r="R211" s="140"/>
      <c r="S211" s="140"/>
      <c r="T211" s="140"/>
    </row>
    <row r="212" spans="1:20" ht="15" customHeight="1" x14ac:dyDescent="0.2">
      <c r="A212" s="91"/>
      <c r="B212" s="143" t="str">
        <f>IF(ISBLANK(A212),"",IF(AND(ISNA(VLOOKUP(A212,Interface_Platform!E:E,1,FALSE())),ISNA(VLOOKUP(A212,D:D,1,FALSE()))),"N","Y"))</f>
        <v/>
      </c>
      <c r="C212" s="148" t="s">
        <v>814</v>
      </c>
      <c r="D212" s="149" t="s">
        <v>298</v>
      </c>
      <c r="E212" s="154">
        <v>1</v>
      </c>
      <c r="F212" s="144" t="str">
        <f>IF(AND(ISNA(VLOOKUP(D212,A:A,1,FALSE())),ISNA(VLOOKUP(D212,BaseType!A:A,1,FALSE())),D212&lt;&gt;"Struct"),"N","Y")</f>
        <v>Y</v>
      </c>
      <c r="G212" s="147" t="s">
        <v>815</v>
      </c>
      <c r="H212" s="139"/>
      <c r="I212" s="139"/>
      <c r="J212" s="139"/>
      <c r="K212" s="139"/>
      <c r="L212" s="143"/>
      <c r="M212" s="143"/>
      <c r="N212" s="140"/>
      <c r="O212" s="140"/>
      <c r="P212" s="140"/>
      <c r="Q212" s="140"/>
      <c r="R212" s="140"/>
      <c r="S212" s="140"/>
      <c r="T212" s="140"/>
    </row>
    <row r="213" spans="1:20" ht="15" customHeight="1" x14ac:dyDescent="0.2">
      <c r="A213" s="91"/>
      <c r="B213" s="143" t="str">
        <f>IF(ISBLANK(A213),"",IF(AND(ISNA(VLOOKUP(A213,Interface_Platform!E:E,1,FALSE())),ISNA(VLOOKUP(A213,D:D,1,FALSE()))),"N","Y"))</f>
        <v/>
      </c>
      <c r="C213" s="148" t="s">
        <v>816</v>
      </c>
      <c r="D213" s="149" t="s">
        <v>298</v>
      </c>
      <c r="E213" s="154">
        <v>1</v>
      </c>
      <c r="F213" s="144" t="str">
        <f>IF(AND(ISNA(VLOOKUP(D213,A:A,1,FALSE())),ISNA(VLOOKUP(D213,BaseType!A:A,1,FALSE())),D213&lt;&gt;"Struct"),"N","Y")</f>
        <v>Y</v>
      </c>
      <c r="G213" s="147" t="s">
        <v>817</v>
      </c>
      <c r="H213" s="139"/>
      <c r="I213" s="139"/>
      <c r="J213" s="139"/>
      <c r="K213" s="139"/>
      <c r="L213" s="143"/>
      <c r="M213" s="143"/>
      <c r="N213" s="140"/>
      <c r="O213" s="140"/>
      <c r="P213" s="140"/>
      <c r="Q213" s="140"/>
      <c r="R213" s="140"/>
      <c r="S213" s="140"/>
      <c r="T213" s="140"/>
    </row>
    <row r="214" spans="1:20" ht="15" customHeight="1" x14ac:dyDescent="0.2">
      <c r="A214" s="91"/>
      <c r="B214" s="143" t="str">
        <f>IF(ISBLANK(A214),"",IF(AND(ISNA(VLOOKUP(A214,Interface_Platform!E:E,1,FALSE())),ISNA(VLOOKUP(A214,D:D,1,FALSE()))),"N","Y"))</f>
        <v/>
      </c>
      <c r="C214" s="148" t="s">
        <v>818</v>
      </c>
      <c r="D214" s="148" t="s">
        <v>293</v>
      </c>
      <c r="E214" s="154">
        <v>1</v>
      </c>
      <c r="F214" s="144" t="str">
        <f>IF(AND(ISNA(VLOOKUP(D214,A:A,1,FALSE())),ISNA(VLOOKUP(D214,BaseType!A:A,1,FALSE())),D214&lt;&gt;"Struct"),"N","Y")</f>
        <v>Y</v>
      </c>
      <c r="G214" s="147" t="s">
        <v>819</v>
      </c>
      <c r="H214" s="139"/>
      <c r="I214" s="139"/>
      <c r="J214" s="139"/>
      <c r="K214" s="139"/>
      <c r="L214" s="143"/>
      <c r="M214" s="143"/>
      <c r="N214" s="140"/>
      <c r="O214" s="140"/>
      <c r="P214" s="140"/>
      <c r="Q214" s="140"/>
      <c r="R214" s="140"/>
      <c r="S214" s="140"/>
      <c r="T214" s="140"/>
    </row>
    <row r="215" spans="1:20" ht="15" customHeight="1" x14ac:dyDescent="0.2">
      <c r="A215" s="91"/>
      <c r="B215" s="143" t="str">
        <f>IF(ISBLANK(A215),"",IF(AND(ISNA(VLOOKUP(A215,Interface_Platform!E:E,1,FALSE())),ISNA(VLOOKUP(A215,D:D,1,FALSE()))),"N","Y"))</f>
        <v/>
      </c>
      <c r="C215" s="143" t="s">
        <v>820</v>
      </c>
      <c r="D215" s="143" t="s">
        <v>225</v>
      </c>
      <c r="E215" s="142">
        <v>1</v>
      </c>
      <c r="F215" s="144" t="str">
        <f>IF(AND(ISNA(VLOOKUP(D215,A:A,1,FALSE())),ISNA(VLOOKUP(D215,BaseType!A:A,1,FALSE())),D215&lt;&gt;"Struct"),"N","Y")</f>
        <v>Y</v>
      </c>
      <c r="G215" s="147" t="s">
        <v>821</v>
      </c>
      <c r="H215" s="139">
        <v>0</v>
      </c>
      <c r="I215" s="139">
        <v>0</v>
      </c>
      <c r="J215" s="139">
        <v>0</v>
      </c>
      <c r="K215" s="139">
        <v>0</v>
      </c>
      <c r="L215" s="143">
        <v>0</v>
      </c>
      <c r="M215" s="143">
        <v>0</v>
      </c>
      <c r="N215" s="140"/>
      <c r="O215" s="140"/>
      <c r="P215" s="140"/>
      <c r="Q215" s="140"/>
      <c r="R215" s="140"/>
      <c r="S215" s="140"/>
      <c r="T215" s="140"/>
    </row>
    <row r="216" spans="1:20" ht="15" customHeight="1" x14ac:dyDescent="0.2">
      <c r="A216" s="91"/>
      <c r="B216" s="143" t="str">
        <f>IF(ISBLANK(A216),"",IF(AND(ISNA(VLOOKUP(A216,Interface_Platform!E:E,1,FALSE())),ISNA(VLOOKUP(A216,D:D,1,FALSE()))),"N","Y"))</f>
        <v/>
      </c>
      <c r="C216" s="143" t="s">
        <v>822</v>
      </c>
      <c r="D216" s="143" t="s">
        <v>225</v>
      </c>
      <c r="E216" s="142">
        <v>1</v>
      </c>
      <c r="F216" s="144" t="str">
        <f>IF(AND(ISNA(VLOOKUP(D216,A:A,1,FALSE())),ISNA(VLOOKUP(D216,BaseType!A:A,1,FALSE())),D216&lt;&gt;"Struct"),"N","Y")</f>
        <v>Y</v>
      </c>
      <c r="G216" s="147" t="s">
        <v>823</v>
      </c>
      <c r="H216" s="139">
        <v>0</v>
      </c>
      <c r="I216" s="139">
        <v>0</v>
      </c>
      <c r="J216" s="139">
        <v>0</v>
      </c>
      <c r="K216" s="139">
        <v>0</v>
      </c>
      <c r="L216" s="143">
        <v>0</v>
      </c>
      <c r="M216" s="143">
        <v>0</v>
      </c>
      <c r="N216" s="140"/>
      <c r="O216" s="140"/>
      <c r="P216" s="140"/>
      <c r="Q216" s="140"/>
      <c r="R216" s="140"/>
      <c r="S216" s="140"/>
      <c r="T216" s="140"/>
    </row>
    <row r="217" spans="1:20" ht="15" customHeight="1" x14ac:dyDescent="0.2">
      <c r="A217" s="91"/>
      <c r="B217" s="143" t="str">
        <f>IF(ISBLANK(A217),"",IF(AND(ISNA(VLOOKUP(A217,Interface_Platform!E:E,1,FALSE())),ISNA(VLOOKUP(A217,D:D,1,FALSE()))),"N","Y"))</f>
        <v/>
      </c>
      <c r="C217" s="143" t="s">
        <v>824</v>
      </c>
      <c r="D217" s="143" t="s">
        <v>225</v>
      </c>
      <c r="E217" s="142">
        <v>1</v>
      </c>
      <c r="F217" s="144" t="str">
        <f>IF(AND(ISNA(VLOOKUP(D217,A:A,1,FALSE())),ISNA(VLOOKUP(D217,BaseType!A:A,1,FALSE())),D217&lt;&gt;"Struct"),"N","Y")</f>
        <v>Y</v>
      </c>
      <c r="G217" s="147" t="s">
        <v>825</v>
      </c>
      <c r="H217" s="139">
        <v>0</v>
      </c>
      <c r="I217" s="139">
        <v>0</v>
      </c>
      <c r="J217" s="139">
        <v>0</v>
      </c>
      <c r="K217" s="139">
        <v>0</v>
      </c>
      <c r="L217" s="143">
        <v>0</v>
      </c>
      <c r="M217" s="143">
        <v>0</v>
      </c>
      <c r="N217" s="140"/>
      <c r="O217" s="140"/>
      <c r="P217" s="140"/>
      <c r="Q217" s="140"/>
      <c r="R217" s="140"/>
      <c r="S217" s="140"/>
      <c r="T217" s="140"/>
    </row>
    <row r="218" spans="1:20" ht="15" customHeight="1" x14ac:dyDescent="0.2">
      <c r="A218" s="91"/>
      <c r="B218" s="143" t="str">
        <f>IF(ISBLANK(A218),"",IF(AND(ISNA(VLOOKUP(A218,Interface_Platform!E:E,1,FALSE())),ISNA(VLOOKUP(A218,D:D,1,FALSE()))),"N","Y"))</f>
        <v/>
      </c>
      <c r="C218" s="143" t="s">
        <v>826</v>
      </c>
      <c r="D218" s="143" t="s">
        <v>225</v>
      </c>
      <c r="E218" s="142">
        <v>1</v>
      </c>
      <c r="F218" s="144" t="str">
        <f>IF(AND(ISNA(VLOOKUP(D218,A:A,1,FALSE())),ISNA(VLOOKUP(D218,BaseType!A:A,1,FALSE())),D218&lt;&gt;"Struct"),"N","Y")</f>
        <v>Y</v>
      </c>
      <c r="G218" s="147" t="s">
        <v>827</v>
      </c>
      <c r="H218" s="141"/>
      <c r="I218" s="141"/>
      <c r="J218" s="141"/>
      <c r="K218" s="141"/>
      <c r="L218" s="141"/>
      <c r="M218" s="141"/>
      <c r="N218" s="140"/>
      <c r="O218" s="140"/>
      <c r="P218" s="140"/>
      <c r="Q218" s="140"/>
      <c r="R218" s="140"/>
      <c r="S218" s="140"/>
      <c r="T218" s="140"/>
    </row>
    <row r="219" spans="1:20" ht="15" customHeight="1" x14ac:dyDescent="0.2">
      <c r="A219" s="148" t="s">
        <v>250</v>
      </c>
      <c r="B219" s="143" t="str">
        <f>IF(ISBLANK(A219),"",IF(AND(ISNA(VLOOKUP(A219,Interface_Platform!E:E,1,FALSE())),ISNA(VLOOKUP(A219,D:D,1,FALSE()))),"N","Y"))</f>
        <v>Y</v>
      </c>
      <c r="C219" s="48"/>
      <c r="D219" s="169" t="s">
        <v>484</v>
      </c>
      <c r="E219" s="46"/>
      <c r="F219" s="144" t="str">
        <f>IF(AND(ISNA(VLOOKUP(D219,A:A,1,FALSE())),ISNA(VLOOKUP(D219,BaseType!A:A,1,FALSE())),D219&lt;&gt;"Struct"),"N","Y")</f>
        <v>Y</v>
      </c>
      <c r="G219" s="150"/>
      <c r="H219" s="152">
        <v>0</v>
      </c>
      <c r="I219" s="152">
        <v>0</v>
      </c>
      <c r="J219" s="152">
        <v>0</v>
      </c>
      <c r="K219" s="152">
        <v>0</v>
      </c>
      <c r="L219" s="148">
        <v>0</v>
      </c>
      <c r="M219" s="148">
        <v>0</v>
      </c>
      <c r="N219" s="42"/>
      <c r="O219" s="42"/>
      <c r="P219" s="42"/>
      <c r="Q219" s="42"/>
      <c r="R219" s="42"/>
      <c r="S219" s="42"/>
      <c r="T219" s="42"/>
    </row>
    <row r="220" spans="1:20" ht="15" customHeight="1" x14ac:dyDescent="0.2">
      <c r="A220" s="149"/>
      <c r="B220" s="143" t="str">
        <f>IF(ISBLANK(A220),"",IF(AND(ISNA(VLOOKUP(A220,Interface_Platform!E:E,1,FALSE())),ISNA(VLOOKUP(A220,D:D,1,FALSE()))),"N","Y"))</f>
        <v/>
      </c>
      <c r="C220" s="148" t="s">
        <v>630</v>
      </c>
      <c r="D220" s="149" t="s">
        <v>631</v>
      </c>
      <c r="E220" s="154">
        <v>1</v>
      </c>
      <c r="F220" s="144" t="str">
        <f>IF(AND(ISNA(VLOOKUP(D220,A:A,1,FALSE())),ISNA(VLOOKUP(D220,BaseType!A:A,1,FALSE())),D220&lt;&gt;"Struct"),"N","Y")</f>
        <v>Y</v>
      </c>
      <c r="G220" s="147"/>
      <c r="H220" s="152"/>
      <c r="I220" s="152"/>
      <c r="J220" s="152"/>
      <c r="K220" s="152"/>
      <c r="L220" s="148"/>
      <c r="M220" s="148"/>
      <c r="N220" s="42"/>
      <c r="O220" s="42"/>
      <c r="P220" s="42"/>
      <c r="Q220" s="42"/>
      <c r="R220" s="42"/>
      <c r="S220" s="42"/>
      <c r="T220" s="42"/>
    </row>
    <row r="221" spans="1:20" ht="15" customHeight="1" x14ac:dyDescent="0.2">
      <c r="A221" s="149"/>
      <c r="B221" s="143" t="str">
        <f>IF(ISBLANK(A221),"",IF(AND(ISNA(VLOOKUP(A221,Interface_Platform!E:E,1,FALSE())),ISNA(VLOOKUP(A221,D:D,1,FALSE()))),"N","Y"))</f>
        <v/>
      </c>
      <c r="C221" s="148" t="s">
        <v>828</v>
      </c>
      <c r="D221" s="148" t="s">
        <v>293</v>
      </c>
      <c r="E221" s="154">
        <v>1</v>
      </c>
      <c r="F221" s="144" t="str">
        <f>IF(AND(ISNA(VLOOKUP(D221,A:A,1,FALSE())),ISNA(VLOOKUP(D221,BaseType!A:A,1,FALSE())),D221&lt;&gt;"Struct"),"N","Y")</f>
        <v>Y</v>
      </c>
      <c r="G221" s="147" t="s">
        <v>829</v>
      </c>
      <c r="H221" s="152">
        <v>0</v>
      </c>
      <c r="I221" s="152">
        <v>0</v>
      </c>
      <c r="J221" s="152">
        <v>0</v>
      </c>
      <c r="K221" s="152">
        <v>0</v>
      </c>
      <c r="L221" s="148">
        <v>0</v>
      </c>
      <c r="M221" s="148">
        <v>0</v>
      </c>
      <c r="N221" s="42"/>
      <c r="O221" s="42"/>
      <c r="P221" s="42"/>
      <c r="Q221" s="42"/>
      <c r="R221" s="42"/>
      <c r="S221" s="42"/>
      <c r="T221" s="42"/>
    </row>
    <row r="222" spans="1:20" ht="15" customHeight="1" x14ac:dyDescent="0.2">
      <c r="A222" s="149"/>
      <c r="B222" s="143" t="str">
        <f>IF(ISBLANK(A222),"",IF(AND(ISNA(VLOOKUP(A222,Interface_Platform!E:E,1,FALSE())),ISNA(VLOOKUP(A222,D:D,1,FALSE()))),"N","Y"))</f>
        <v/>
      </c>
      <c r="C222" s="181" t="s">
        <v>830</v>
      </c>
      <c r="D222" s="148" t="s">
        <v>293</v>
      </c>
      <c r="E222" s="154">
        <v>1</v>
      </c>
      <c r="F222" s="144" t="str">
        <f>IF(AND(ISNA(VLOOKUP(D222,A:A,1,FALSE())),ISNA(VLOOKUP(D222,BaseType!A:A,1,FALSE())),D222&lt;&gt;"Struct"),"N","Y")</f>
        <v>Y</v>
      </c>
      <c r="G222" s="147" t="s">
        <v>831</v>
      </c>
      <c r="H222" s="152">
        <v>0</v>
      </c>
      <c r="I222" s="152">
        <v>0</v>
      </c>
      <c r="J222" s="152">
        <v>0</v>
      </c>
      <c r="K222" s="152">
        <v>0</v>
      </c>
      <c r="L222" s="148">
        <v>0</v>
      </c>
      <c r="M222" s="148">
        <v>0</v>
      </c>
      <c r="N222" s="42"/>
      <c r="O222" s="42"/>
      <c r="P222" s="42"/>
      <c r="Q222" s="42"/>
      <c r="R222" s="42"/>
      <c r="S222" s="42"/>
      <c r="T222" s="42"/>
    </row>
    <row r="223" spans="1:20" ht="15" customHeight="1" x14ac:dyDescent="0.2">
      <c r="A223" s="149"/>
      <c r="B223" s="143"/>
      <c r="C223" s="181" t="s">
        <v>832</v>
      </c>
      <c r="D223" s="148" t="s">
        <v>293</v>
      </c>
      <c r="E223" s="154">
        <v>1</v>
      </c>
      <c r="F223" s="144" t="str">
        <f>IF(AND(ISNA(VLOOKUP(D223,A:A,1,FALSE())),ISNA(VLOOKUP(D223,BaseType!A:A,1,FALSE())),D223&lt;&gt;"Struct"),"N","Y")</f>
        <v>Y</v>
      </c>
      <c r="G223" s="147" t="s">
        <v>833</v>
      </c>
      <c r="H223" s="152"/>
      <c r="I223" s="152"/>
      <c r="J223" s="152"/>
      <c r="K223" s="152"/>
      <c r="L223" s="148"/>
      <c r="M223" s="148"/>
      <c r="N223" s="42"/>
      <c r="O223" s="42"/>
      <c r="P223" s="42"/>
      <c r="Q223" s="42"/>
      <c r="R223" s="42"/>
      <c r="S223" s="42"/>
      <c r="T223" s="42"/>
    </row>
    <row r="224" spans="1:20" ht="15" customHeight="1" x14ac:dyDescent="0.2">
      <c r="A224" s="149"/>
      <c r="B224" s="148" t="str">
        <f>IF(ISBLANK(A224),"",IF(AND(ISNA(VLOOKUP(A224,Interface_Platform!E:E,1,FALSE())),ISNA(VLOOKUP(A224,D:D,1,FALSE()))),"N","Y"))</f>
        <v/>
      </c>
      <c r="C224" s="181" t="s">
        <v>834</v>
      </c>
      <c r="D224" s="148" t="s">
        <v>293</v>
      </c>
      <c r="E224" s="154">
        <v>1</v>
      </c>
      <c r="F224" s="144" t="str">
        <f>IF(AND(ISNA(VLOOKUP(D224,A:A,1,FALSE())),ISNA(VLOOKUP(D224,BaseType!A:A,1,FALSE())),D224&lt;&gt;"Struct"),"N","Y")</f>
        <v>Y</v>
      </c>
      <c r="G224" s="147" t="s">
        <v>835</v>
      </c>
      <c r="H224" s="152">
        <v>0</v>
      </c>
      <c r="I224" s="152">
        <v>0</v>
      </c>
      <c r="J224" s="152">
        <v>0</v>
      </c>
      <c r="K224" s="152">
        <v>0</v>
      </c>
      <c r="L224" s="148">
        <v>0</v>
      </c>
      <c r="M224" s="148">
        <v>0</v>
      </c>
      <c r="N224" s="42"/>
      <c r="O224" s="42"/>
      <c r="P224" s="42"/>
      <c r="Q224" s="42"/>
      <c r="R224" s="42"/>
      <c r="S224" s="42"/>
      <c r="T224" s="42"/>
    </row>
    <row r="225" spans="1:20" ht="15" customHeight="1" x14ac:dyDescent="0.2">
      <c r="A225" s="149"/>
      <c r="B225" s="148"/>
      <c r="C225" s="181" t="s">
        <v>836</v>
      </c>
      <c r="D225" s="148" t="s">
        <v>293</v>
      </c>
      <c r="E225" s="154">
        <v>1</v>
      </c>
      <c r="F225" s="144" t="str">
        <f>IF(AND(ISNA(VLOOKUP(D225,A:A,1,FALSE())),ISNA(VLOOKUP(D225,BaseType!A:A,1,FALSE())),D225&lt;&gt;"Struct"),"N","Y")</f>
        <v>Y</v>
      </c>
      <c r="G225" s="147" t="s">
        <v>837</v>
      </c>
      <c r="H225" s="152"/>
      <c r="I225" s="152"/>
      <c r="J225" s="152"/>
      <c r="K225" s="152"/>
      <c r="L225" s="148"/>
      <c r="M225" s="148"/>
      <c r="N225" s="42"/>
      <c r="O225" s="42"/>
      <c r="P225" s="42"/>
      <c r="Q225" s="42"/>
      <c r="R225" s="42"/>
      <c r="S225" s="42"/>
      <c r="T225" s="42"/>
    </row>
    <row r="226" spans="1:20" ht="15" customHeight="1" x14ac:dyDescent="0.2">
      <c r="A226" s="149"/>
      <c r="B226" s="143"/>
      <c r="C226" s="148" t="s">
        <v>838</v>
      </c>
      <c r="D226" s="148" t="s">
        <v>293</v>
      </c>
      <c r="E226" s="154">
        <v>1</v>
      </c>
      <c r="F226" s="144" t="str">
        <f>IF(AND(ISNA(VLOOKUP(D226,A:A,1,FALSE())),ISNA(VLOOKUP(D226,BaseType!A:A,1,FALSE())),D226&lt;&gt;"Struct"),"N","Y")</f>
        <v>Y</v>
      </c>
      <c r="G226" s="147" t="s">
        <v>839</v>
      </c>
      <c r="H226" s="152"/>
      <c r="I226" s="152"/>
      <c r="J226" s="152"/>
      <c r="K226" s="152"/>
      <c r="L226" s="148"/>
      <c r="M226" s="148"/>
      <c r="N226" s="42"/>
      <c r="O226" s="42"/>
      <c r="P226" s="42"/>
      <c r="Q226" s="42"/>
      <c r="R226" s="42"/>
      <c r="S226" s="42"/>
      <c r="T226" s="42"/>
    </row>
    <row r="227" spans="1:20" ht="15" customHeight="1" x14ac:dyDescent="0.2">
      <c r="A227" s="149"/>
      <c r="B227" s="143" t="str">
        <f>IF(ISBLANK(A227),"",IF(AND(ISNA(VLOOKUP(A227,Interface_Platform!E:E,1,FALSE())),ISNA(VLOOKUP(A227,D:D,1,FALSE()))),"N","Y"))</f>
        <v/>
      </c>
      <c r="C227" s="148" t="s">
        <v>840</v>
      </c>
      <c r="D227" s="148" t="s">
        <v>293</v>
      </c>
      <c r="E227" s="154">
        <v>1</v>
      </c>
      <c r="F227" s="144" t="str">
        <f>IF(AND(ISNA(VLOOKUP(D227,A:A,1,FALSE())),ISNA(VLOOKUP(D227,BaseType!A:A,1,FALSE())),D227&lt;&gt;"Struct"),"N","Y")</f>
        <v>Y</v>
      </c>
      <c r="G227" s="147" t="s">
        <v>841</v>
      </c>
      <c r="H227" s="152">
        <v>0</v>
      </c>
      <c r="I227" s="152">
        <v>0</v>
      </c>
      <c r="J227" s="152">
        <v>0</v>
      </c>
      <c r="K227" s="152">
        <v>0</v>
      </c>
      <c r="L227" s="148">
        <v>0</v>
      </c>
      <c r="M227" s="148">
        <v>0</v>
      </c>
      <c r="N227" s="42"/>
      <c r="O227" s="42"/>
      <c r="P227" s="42"/>
      <c r="Q227" s="42"/>
      <c r="R227" s="42"/>
      <c r="S227" s="42"/>
      <c r="T227" s="42"/>
    </row>
    <row r="228" spans="1:20" ht="15" customHeight="1" x14ac:dyDescent="0.2">
      <c r="A228" s="149"/>
      <c r="B228" s="143" t="str">
        <f>IF(ISBLANK(A228),"",IF(AND(ISNA(VLOOKUP(A228,Interface_Platform!E:E,1,FALSE())),ISNA(VLOOKUP(A228,D:D,1,FALSE()))),"N","Y"))</f>
        <v/>
      </c>
      <c r="C228" s="148" t="s">
        <v>842</v>
      </c>
      <c r="D228" s="148" t="s">
        <v>293</v>
      </c>
      <c r="E228" s="154">
        <v>1</v>
      </c>
      <c r="F228" s="144" t="str">
        <f>IF(AND(ISNA(VLOOKUP(D228,A:A,1,FALSE())),ISNA(VLOOKUP(D228,BaseType!A:A,1,FALSE())),D228&lt;&gt;"Struct"),"N","Y")</f>
        <v>Y</v>
      </c>
      <c r="G228" s="147" t="s">
        <v>843</v>
      </c>
      <c r="H228" s="152">
        <v>0</v>
      </c>
      <c r="I228" s="152">
        <v>0</v>
      </c>
      <c r="J228" s="152">
        <v>0</v>
      </c>
      <c r="K228" s="152">
        <v>0</v>
      </c>
      <c r="L228" s="148">
        <v>0</v>
      </c>
      <c r="M228" s="148">
        <v>0</v>
      </c>
      <c r="N228" s="42"/>
      <c r="O228" s="42"/>
      <c r="P228" s="42"/>
      <c r="Q228" s="42"/>
      <c r="R228" s="42"/>
      <c r="S228" s="42"/>
      <c r="T228" s="42"/>
    </row>
    <row r="229" spans="1:20" ht="15" customHeight="1" x14ac:dyDescent="0.2">
      <c r="A229" s="149"/>
      <c r="B229" s="143" t="str">
        <f>IF(ISBLANK(A229),"",IF(AND(ISNA(VLOOKUP(A229,Interface_Platform!E:E,1,FALSE())),ISNA(VLOOKUP(A229,D:D,1,FALSE()))),"N","Y"))</f>
        <v/>
      </c>
      <c r="C229" s="148" t="s">
        <v>844</v>
      </c>
      <c r="D229" s="148" t="s">
        <v>293</v>
      </c>
      <c r="E229" s="154">
        <v>1</v>
      </c>
      <c r="F229" s="144" t="str">
        <f>IF(AND(ISNA(VLOOKUP(D229,A:A,1,FALSE())),ISNA(VLOOKUP(D229,BaseType!A:A,1,FALSE())),D229&lt;&gt;"Struct"),"N","Y")</f>
        <v>Y</v>
      </c>
      <c r="G229" s="147" t="s">
        <v>845</v>
      </c>
      <c r="H229" s="152">
        <v>0</v>
      </c>
      <c r="I229" s="152">
        <v>0</v>
      </c>
      <c r="J229" s="152">
        <v>0</v>
      </c>
      <c r="K229" s="152">
        <v>0</v>
      </c>
      <c r="L229" s="148">
        <v>0</v>
      </c>
      <c r="M229" s="148">
        <v>0</v>
      </c>
      <c r="N229" s="42"/>
      <c r="O229" s="42"/>
      <c r="P229" s="42"/>
      <c r="Q229" s="42"/>
      <c r="R229" s="42"/>
      <c r="S229" s="42"/>
      <c r="T229" s="42"/>
    </row>
    <row r="230" spans="1:20" ht="15" customHeight="1" x14ac:dyDescent="0.2">
      <c r="A230" s="149"/>
      <c r="B230" s="143" t="str">
        <f>IF(ISBLANK(A230),"",IF(AND(ISNA(VLOOKUP(A230,Interface_Platform!E:E,1,FALSE())),ISNA(VLOOKUP(A230,D:D,1,FALSE()))),"N","Y"))</f>
        <v/>
      </c>
      <c r="C230" s="148" t="s">
        <v>846</v>
      </c>
      <c r="D230" s="148" t="s">
        <v>293</v>
      </c>
      <c r="E230" s="154">
        <v>1</v>
      </c>
      <c r="F230" s="144" t="str">
        <f>IF(AND(ISNA(VLOOKUP(D230,A:A,1,FALSE())),ISNA(VLOOKUP(D230,BaseType!A:A,1,FALSE())),D230&lt;&gt;"Struct"),"N","Y")</f>
        <v>Y</v>
      </c>
      <c r="G230" s="147" t="s">
        <v>847</v>
      </c>
      <c r="H230" s="152">
        <v>0</v>
      </c>
      <c r="I230" s="152">
        <v>0</v>
      </c>
      <c r="J230" s="152">
        <v>0</v>
      </c>
      <c r="K230" s="152">
        <v>0</v>
      </c>
      <c r="L230" s="148">
        <v>0</v>
      </c>
      <c r="M230" s="148">
        <v>0</v>
      </c>
      <c r="N230" s="42"/>
      <c r="O230" s="42"/>
      <c r="P230" s="42"/>
      <c r="Q230" s="42"/>
      <c r="R230" s="42"/>
      <c r="S230" s="42"/>
      <c r="T230" s="42"/>
    </row>
    <row r="231" spans="1:20" ht="15" customHeight="1" x14ac:dyDescent="0.2">
      <c r="A231" s="149"/>
      <c r="B231" s="143" t="str">
        <f>IF(ISBLANK(A231),"",IF(AND(ISNA(VLOOKUP(A231,Interface_Platform!E:E,1,FALSE())),ISNA(VLOOKUP(A231,D:D,1,FALSE()))),"N","Y"))</f>
        <v/>
      </c>
      <c r="C231" s="148" t="s">
        <v>848</v>
      </c>
      <c r="D231" s="148" t="s">
        <v>293</v>
      </c>
      <c r="E231" s="154">
        <v>1</v>
      </c>
      <c r="F231" s="144" t="str">
        <f>IF(AND(ISNA(VLOOKUP(D231,A:A,1,FALSE())),ISNA(VLOOKUP(D231,BaseType!A:A,1,FALSE())),D231&lt;&gt;"Struct"),"N","Y")</f>
        <v>Y</v>
      </c>
      <c r="G231" s="147" t="s">
        <v>849</v>
      </c>
      <c r="H231" s="152">
        <v>0</v>
      </c>
      <c r="I231" s="152">
        <v>0</v>
      </c>
      <c r="J231" s="152">
        <v>0</v>
      </c>
      <c r="K231" s="152">
        <v>0</v>
      </c>
      <c r="L231" s="148">
        <v>0</v>
      </c>
      <c r="M231" s="148">
        <v>0</v>
      </c>
      <c r="N231" s="42"/>
      <c r="O231" s="42"/>
      <c r="P231" s="42"/>
      <c r="Q231" s="42"/>
      <c r="R231" s="42"/>
      <c r="S231" s="42"/>
      <c r="T231" s="42"/>
    </row>
    <row r="232" spans="1:20" ht="15" customHeight="1" x14ac:dyDescent="0.2">
      <c r="A232" s="149"/>
      <c r="B232" s="143" t="str">
        <f>IF(ISBLANK(A232),"",IF(AND(ISNA(VLOOKUP(A232,Interface_Platform!E:E,1,FALSE())),ISNA(VLOOKUP(A232,D:D,1,FALSE()))),"N","Y"))</f>
        <v/>
      </c>
      <c r="C232" s="148" t="s">
        <v>850</v>
      </c>
      <c r="D232" s="148" t="s">
        <v>293</v>
      </c>
      <c r="E232" s="154">
        <v>1</v>
      </c>
      <c r="F232" s="144" t="str">
        <f>IF(AND(ISNA(VLOOKUP(D232,A:A,1,FALSE())),ISNA(VLOOKUP(D232,BaseType!A:A,1,FALSE())),D232&lt;&gt;"Struct"),"N","Y")</f>
        <v>Y</v>
      </c>
      <c r="G232" s="147" t="s">
        <v>851</v>
      </c>
      <c r="H232" s="152">
        <v>0</v>
      </c>
      <c r="I232" s="152">
        <v>0</v>
      </c>
      <c r="J232" s="152">
        <v>0</v>
      </c>
      <c r="K232" s="152">
        <v>0</v>
      </c>
      <c r="L232" s="148">
        <v>0</v>
      </c>
      <c r="M232" s="148">
        <v>0</v>
      </c>
      <c r="N232" s="42"/>
      <c r="O232" s="42"/>
      <c r="P232" s="42"/>
      <c r="Q232" s="42"/>
      <c r="R232" s="42"/>
      <c r="S232" s="42"/>
      <c r="T232" s="42"/>
    </row>
    <row r="233" spans="1:20" ht="15" customHeight="1" x14ac:dyDescent="0.2">
      <c r="A233" s="149"/>
      <c r="B233" s="148"/>
      <c r="C233" s="181" t="s">
        <v>852</v>
      </c>
      <c r="D233" s="148" t="s">
        <v>193</v>
      </c>
      <c r="E233" s="154">
        <v>1</v>
      </c>
      <c r="F233" s="144" t="str">
        <f>IF(AND(ISNA(VLOOKUP(D233,A:A,1,FALSE())),ISNA(VLOOKUP(D233,BaseType!A:A,1,FALSE())),D233&lt;&gt;"Struct"),"N","Y")</f>
        <v>Y</v>
      </c>
      <c r="G233" s="147" t="s">
        <v>853</v>
      </c>
      <c r="H233" s="152"/>
      <c r="I233" s="152"/>
      <c r="J233" s="152"/>
      <c r="K233" s="152"/>
      <c r="L233" s="148"/>
      <c r="M233" s="148"/>
      <c r="N233" s="42"/>
      <c r="O233" s="42"/>
      <c r="P233" s="42"/>
      <c r="Q233" s="42"/>
      <c r="R233" s="42"/>
      <c r="S233" s="42"/>
      <c r="T233" s="42"/>
    </row>
    <row r="234" spans="1:20" ht="15" customHeight="1" x14ac:dyDescent="0.2">
      <c r="A234" s="149"/>
      <c r="B234" s="143" t="str">
        <f>IF(ISBLANK(A234),"",IF(AND(ISNA(VLOOKUP(A234,Interface_Platform!E:E,1,FALSE())),ISNA(VLOOKUP(A234,D:D,1,FALSE()))),"N","Y"))</f>
        <v/>
      </c>
      <c r="C234" s="148" t="s">
        <v>854</v>
      </c>
      <c r="D234" s="148" t="s">
        <v>193</v>
      </c>
      <c r="E234" s="154">
        <v>1</v>
      </c>
      <c r="F234" s="144" t="str">
        <f>IF(AND(ISNA(VLOOKUP(D234,A:A,1,FALSE())),ISNA(VLOOKUP(D234,BaseType!A:A,1,FALSE())),D234&lt;&gt;"Struct"),"N","Y")</f>
        <v>Y</v>
      </c>
      <c r="G234" s="147" t="s">
        <v>855</v>
      </c>
      <c r="H234" s="152">
        <v>0</v>
      </c>
      <c r="I234" s="152">
        <v>0</v>
      </c>
      <c r="J234" s="152">
        <v>0</v>
      </c>
      <c r="K234" s="152">
        <v>0</v>
      </c>
      <c r="L234" s="148">
        <v>0</v>
      </c>
      <c r="M234" s="148">
        <v>0</v>
      </c>
      <c r="N234" s="42"/>
      <c r="O234" s="42"/>
      <c r="P234" s="42"/>
      <c r="Q234" s="42"/>
      <c r="R234" s="42"/>
      <c r="S234" s="42"/>
      <c r="T234" s="42"/>
    </row>
    <row r="235" spans="1:20" ht="15" customHeight="1" x14ac:dyDescent="0.2">
      <c r="A235" s="149"/>
      <c r="B235" s="143" t="str">
        <f>IF(ISBLANK(A235),"",IF(AND(ISNA(VLOOKUP(A235,Interface_Platform!E:E,1,FALSE())),ISNA(VLOOKUP(A235,D:D,1,FALSE()))),"N","Y"))</f>
        <v/>
      </c>
      <c r="C235" s="148" t="s">
        <v>856</v>
      </c>
      <c r="D235" s="148" t="s">
        <v>193</v>
      </c>
      <c r="E235" s="154">
        <v>1</v>
      </c>
      <c r="F235" s="144" t="str">
        <f>IF(AND(ISNA(VLOOKUP(D235,A:A,1,FALSE())),ISNA(VLOOKUP(D235,BaseType!A:A,1,FALSE())),D235&lt;&gt;"Struct"),"N","Y")</f>
        <v>Y</v>
      </c>
      <c r="G235" s="147" t="s">
        <v>857</v>
      </c>
      <c r="H235" s="152">
        <v>0</v>
      </c>
      <c r="I235" s="152">
        <v>0</v>
      </c>
      <c r="J235" s="152">
        <v>0</v>
      </c>
      <c r="K235" s="152">
        <v>0</v>
      </c>
      <c r="L235" s="148">
        <v>0</v>
      </c>
      <c r="M235" s="148">
        <v>0</v>
      </c>
      <c r="N235" s="42"/>
      <c r="O235" s="42"/>
      <c r="P235" s="42"/>
      <c r="Q235" s="42"/>
      <c r="R235" s="42"/>
      <c r="S235" s="42"/>
      <c r="T235" s="42"/>
    </row>
    <row r="236" spans="1:20" ht="15" customHeight="1" x14ac:dyDescent="0.2">
      <c r="A236" s="149"/>
      <c r="B236" s="143" t="str">
        <f>IF(ISBLANK(A236),"",IF(AND(ISNA(VLOOKUP(A236,Interface_Platform!E:E,1,FALSE())),ISNA(VLOOKUP(A236,D:D,1,FALSE()))),"N","Y"))</f>
        <v/>
      </c>
      <c r="C236" s="148" t="s">
        <v>858</v>
      </c>
      <c r="D236" s="148" t="s">
        <v>193</v>
      </c>
      <c r="E236" s="154">
        <v>1</v>
      </c>
      <c r="F236" s="144" t="str">
        <f>IF(AND(ISNA(VLOOKUP(D236,A:A,1,FALSE())),ISNA(VLOOKUP(D236,BaseType!A:A,1,FALSE())),D236&lt;&gt;"Struct"),"N","Y")</f>
        <v>Y</v>
      </c>
      <c r="G236" s="147" t="s">
        <v>859</v>
      </c>
      <c r="H236" s="152">
        <v>0</v>
      </c>
      <c r="I236" s="152">
        <v>0</v>
      </c>
      <c r="J236" s="152">
        <v>0</v>
      </c>
      <c r="K236" s="152">
        <v>0</v>
      </c>
      <c r="L236" s="148">
        <v>0</v>
      </c>
      <c r="M236" s="148">
        <v>0</v>
      </c>
      <c r="N236" s="42"/>
      <c r="O236" s="42"/>
      <c r="P236" s="42"/>
      <c r="Q236" s="42"/>
      <c r="R236" s="42"/>
      <c r="S236" s="42"/>
      <c r="T236" s="42"/>
    </row>
    <row r="237" spans="1:20" ht="15" customHeight="1" x14ac:dyDescent="0.2">
      <c r="A237" s="149"/>
      <c r="B237" s="143" t="str">
        <f>IF(ISBLANK(A237),"",IF(AND(ISNA(VLOOKUP(A237,Interface_Platform!E:E,1,FALSE())),ISNA(VLOOKUP(A237,D:D,1,FALSE()))),"N","Y"))</f>
        <v/>
      </c>
      <c r="C237" s="148" t="s">
        <v>860</v>
      </c>
      <c r="D237" s="148" t="s">
        <v>193</v>
      </c>
      <c r="E237" s="154">
        <v>1</v>
      </c>
      <c r="F237" s="144" t="str">
        <f>IF(AND(ISNA(VLOOKUP(D237,A:A,1,FALSE())),ISNA(VLOOKUP(D237,BaseType!A:A,1,FALSE())),D237&lt;&gt;"Struct"),"N","Y")</f>
        <v>Y</v>
      </c>
      <c r="G237" s="147" t="s">
        <v>861</v>
      </c>
      <c r="H237" s="152">
        <v>0</v>
      </c>
      <c r="I237" s="152">
        <v>0</v>
      </c>
      <c r="J237" s="152">
        <v>0</v>
      </c>
      <c r="K237" s="152">
        <v>0</v>
      </c>
      <c r="L237" s="148">
        <v>0</v>
      </c>
      <c r="M237" s="148">
        <v>0</v>
      </c>
      <c r="N237" s="42"/>
      <c r="O237" s="42"/>
      <c r="P237" s="42"/>
      <c r="Q237" s="42"/>
      <c r="R237" s="42"/>
      <c r="S237" s="42"/>
      <c r="T237" s="42"/>
    </row>
    <row r="238" spans="1:20" ht="15" customHeight="1" x14ac:dyDescent="0.2">
      <c r="A238" s="149"/>
      <c r="B238" s="143"/>
      <c r="C238" s="181" t="s">
        <v>862</v>
      </c>
      <c r="D238" s="148" t="s">
        <v>193</v>
      </c>
      <c r="E238" s="154">
        <v>1</v>
      </c>
      <c r="F238" s="144" t="str">
        <f>IF(AND(ISNA(VLOOKUP(D238,A:A,1,FALSE())),ISNA(VLOOKUP(D238,BaseType!A:A,1,FALSE())),D238&lt;&gt;"Struct"),"N","Y")</f>
        <v>Y</v>
      </c>
      <c r="G238" s="147" t="s">
        <v>863</v>
      </c>
      <c r="H238" s="152"/>
      <c r="I238" s="152"/>
      <c r="J238" s="152"/>
      <c r="K238" s="152"/>
      <c r="L238" s="148"/>
      <c r="M238" s="148"/>
      <c r="N238" s="42"/>
      <c r="O238" s="42"/>
      <c r="P238" s="42"/>
      <c r="Q238" s="42"/>
      <c r="R238" s="42"/>
      <c r="S238" s="42"/>
      <c r="T238" s="42"/>
    </row>
    <row r="239" spans="1:20" ht="15" customHeight="1" x14ac:dyDescent="0.2">
      <c r="A239" s="149"/>
      <c r="B239" s="143"/>
      <c r="C239" s="181" t="s">
        <v>864</v>
      </c>
      <c r="D239" s="148" t="s">
        <v>193</v>
      </c>
      <c r="E239" s="154">
        <v>1</v>
      </c>
      <c r="F239" s="144" t="str">
        <f>IF(AND(ISNA(VLOOKUP(D239,A:A,1,FALSE())),ISNA(VLOOKUP(D239,BaseType!A:A,1,FALSE())),D239&lt;&gt;"Struct"),"N","Y")</f>
        <v>Y</v>
      </c>
      <c r="G239" s="147" t="s">
        <v>865</v>
      </c>
      <c r="H239" s="152"/>
      <c r="I239" s="152"/>
      <c r="J239" s="152"/>
      <c r="K239" s="152"/>
      <c r="L239" s="148"/>
      <c r="M239" s="148"/>
      <c r="N239" s="42"/>
      <c r="O239" s="42"/>
      <c r="P239" s="42"/>
      <c r="Q239" s="42"/>
      <c r="R239" s="42"/>
      <c r="S239" s="42"/>
      <c r="T239" s="42"/>
    </row>
    <row r="240" spans="1:20" ht="15" customHeight="1" x14ac:dyDescent="0.2">
      <c r="A240" s="149"/>
      <c r="B240" s="143"/>
      <c r="C240" s="181" t="s">
        <v>866</v>
      </c>
      <c r="D240" s="148" t="s">
        <v>193</v>
      </c>
      <c r="E240" s="154">
        <v>1</v>
      </c>
      <c r="F240" s="144" t="str">
        <f>IF(AND(ISNA(VLOOKUP(D240,A:A,1,FALSE())),ISNA(VLOOKUP(D240,BaseType!A:A,1,FALSE())),D240&lt;&gt;"Struct"),"N","Y")</f>
        <v>Y</v>
      </c>
      <c r="G240" s="147" t="s">
        <v>867</v>
      </c>
      <c r="H240" s="152"/>
      <c r="I240" s="152"/>
      <c r="J240" s="152"/>
      <c r="K240" s="152"/>
      <c r="L240" s="148"/>
      <c r="M240" s="148"/>
      <c r="N240" s="42"/>
      <c r="O240" s="42"/>
      <c r="P240" s="42"/>
      <c r="Q240" s="42"/>
      <c r="R240" s="42"/>
      <c r="S240" s="42"/>
      <c r="T240" s="42"/>
    </row>
    <row r="241" spans="1:20" ht="15" customHeight="1" x14ac:dyDescent="0.2">
      <c r="A241" s="149"/>
      <c r="B241" s="143" t="str">
        <f>IF(ISBLANK(A241),"",IF(AND(ISNA(VLOOKUP(A241,Interface_Platform!E:E,1,FALSE())),ISNA(VLOOKUP(A241,D:D,1,FALSE()))),"N","Y"))</f>
        <v/>
      </c>
      <c r="C241" s="148" t="s">
        <v>868</v>
      </c>
      <c r="D241" s="148" t="s">
        <v>193</v>
      </c>
      <c r="E241" s="154">
        <v>1</v>
      </c>
      <c r="F241" s="144" t="str">
        <f>IF(AND(ISNA(VLOOKUP(D241,A:A,1,FALSE())),ISNA(VLOOKUP(D241,BaseType!A:A,1,FALSE())),D241&lt;&gt;"Struct"),"N","Y")</f>
        <v>Y</v>
      </c>
      <c r="G241" s="147" t="s">
        <v>869</v>
      </c>
      <c r="H241" s="152"/>
      <c r="I241" s="152"/>
      <c r="J241" s="152"/>
      <c r="K241" s="152"/>
      <c r="L241" s="148"/>
      <c r="M241" s="148"/>
      <c r="N241" s="42"/>
      <c r="O241" s="42"/>
      <c r="P241" s="42"/>
      <c r="Q241" s="42"/>
      <c r="R241" s="42"/>
      <c r="S241" s="42"/>
      <c r="T241" s="42"/>
    </row>
    <row r="242" spans="1:20" ht="15" customHeight="1" x14ac:dyDescent="0.2">
      <c r="A242" s="149"/>
      <c r="B242" s="143" t="str">
        <f>IF(ISBLANK(A242),"",IF(AND(ISNA(VLOOKUP(A242,Interface_Platform!E:E,1,FALSE())),ISNA(VLOOKUP(A242,D:D,1,FALSE()))),"N","Y"))</f>
        <v/>
      </c>
      <c r="C242" s="148" t="s">
        <v>870</v>
      </c>
      <c r="D242" s="148" t="s">
        <v>193</v>
      </c>
      <c r="E242" s="154">
        <v>1</v>
      </c>
      <c r="F242" s="144" t="str">
        <f>IF(AND(ISNA(VLOOKUP(D242,A:A,1,FALSE())),ISNA(VLOOKUP(D242,BaseType!A:A,1,FALSE())),D242&lt;&gt;"Struct"),"N","Y")</f>
        <v>Y</v>
      </c>
      <c r="G242" s="147" t="s">
        <v>871</v>
      </c>
      <c r="H242" s="152"/>
      <c r="I242" s="152"/>
      <c r="J242" s="152"/>
      <c r="K242" s="152"/>
      <c r="L242" s="148"/>
      <c r="M242" s="148"/>
      <c r="N242" s="42"/>
      <c r="O242" s="42"/>
      <c r="P242" s="42"/>
      <c r="Q242" s="42"/>
      <c r="R242" s="42"/>
      <c r="S242" s="42"/>
      <c r="T242" s="42"/>
    </row>
    <row r="243" spans="1:20" ht="15" customHeight="1" x14ac:dyDescent="0.2">
      <c r="A243" s="149"/>
      <c r="B243" s="143" t="str">
        <f>IF(ISBLANK(A243),"",IF(AND(ISNA(VLOOKUP(A243,Interface_Platform!E:E,1,FALSE())),ISNA(VLOOKUP(A243,D:D,1,FALSE()))),"N","Y"))</f>
        <v/>
      </c>
      <c r="C243" s="48" t="s">
        <v>872</v>
      </c>
      <c r="D243" s="148" t="s">
        <v>193</v>
      </c>
      <c r="E243" s="154">
        <v>1</v>
      </c>
      <c r="F243" s="144" t="str">
        <f>IF(AND(ISNA(VLOOKUP(D243,A:A,1,FALSE())),ISNA(VLOOKUP(D243,BaseType!A:A,1,FALSE())),D243&lt;&gt;"Struct"),"N","Y")</f>
        <v>Y</v>
      </c>
      <c r="G243" s="147" t="s">
        <v>873</v>
      </c>
      <c r="H243" s="152"/>
      <c r="I243" s="152"/>
      <c r="J243" s="152"/>
      <c r="K243" s="152"/>
      <c r="L243" s="148"/>
      <c r="M243" s="148"/>
      <c r="N243" s="42"/>
      <c r="O243" s="42"/>
      <c r="P243" s="42"/>
      <c r="Q243" s="42"/>
      <c r="R243" s="42"/>
      <c r="S243" s="42"/>
      <c r="T243" s="42"/>
    </row>
    <row r="244" spans="1:20" ht="15" customHeight="1" x14ac:dyDescent="0.2">
      <c r="A244" s="149"/>
      <c r="B244" s="143" t="str">
        <f>IF(ISBLANK(A244),"",IF(AND(ISNA(VLOOKUP(A244,Interface_Platform!E:E,1,FALSE())),ISNA(VLOOKUP(A244,D:D,1,FALSE()))),"N","Y"))</f>
        <v/>
      </c>
      <c r="C244" s="48" t="s">
        <v>874</v>
      </c>
      <c r="D244" s="148" t="s">
        <v>193</v>
      </c>
      <c r="E244" s="154">
        <v>1</v>
      </c>
      <c r="F244" s="144" t="str">
        <f>IF(AND(ISNA(VLOOKUP(D244,A:A,1,FALSE())),ISNA(VLOOKUP(D244,BaseType!A:A,1,FALSE())),D244&lt;&gt;"Struct"),"N","Y")</f>
        <v>Y</v>
      </c>
      <c r="G244" s="147" t="s">
        <v>875</v>
      </c>
      <c r="H244" s="152"/>
      <c r="I244" s="152"/>
      <c r="J244" s="152"/>
      <c r="K244" s="152"/>
      <c r="L244" s="148"/>
      <c r="M244" s="148"/>
      <c r="N244" s="42"/>
      <c r="O244" s="42"/>
      <c r="P244" s="42"/>
      <c r="Q244" s="42"/>
      <c r="R244" s="42"/>
      <c r="S244" s="42"/>
      <c r="T244" s="42"/>
    </row>
    <row r="245" spans="1:20" ht="15" customHeight="1" x14ac:dyDescent="0.2">
      <c r="A245" s="149"/>
      <c r="B245" s="143" t="str">
        <f>IF(ISBLANK(A245),"",IF(AND(ISNA(VLOOKUP(A245,Interface_Platform!E:E,1,FALSE())),ISNA(VLOOKUP(A245,D:D,1,FALSE()))),"N","Y"))</f>
        <v/>
      </c>
      <c r="C245" s="181" t="s">
        <v>876</v>
      </c>
      <c r="D245" s="148" t="s">
        <v>193</v>
      </c>
      <c r="E245" s="154">
        <v>1</v>
      </c>
      <c r="F245" s="144" t="str">
        <f>IF(AND(ISNA(VLOOKUP(D245,A:A,1,FALSE())),ISNA(VLOOKUP(D245,BaseType!A:A,1,FALSE())),D245&lt;&gt;"Struct"),"N","Y")</f>
        <v>Y</v>
      </c>
      <c r="G245" s="147" t="s">
        <v>877</v>
      </c>
      <c r="H245" s="152"/>
      <c r="I245" s="152"/>
      <c r="J245" s="152"/>
      <c r="K245" s="152"/>
      <c r="L245" s="148"/>
      <c r="M245" s="148"/>
      <c r="N245" s="42"/>
      <c r="O245" s="42"/>
      <c r="P245" s="42"/>
      <c r="Q245" s="42"/>
      <c r="R245" s="42"/>
      <c r="S245" s="42"/>
      <c r="T245" s="42"/>
    </row>
    <row r="246" spans="1:20" ht="15" customHeight="1" x14ac:dyDescent="0.2">
      <c r="A246" s="149"/>
      <c r="B246" s="143" t="str">
        <f>IF(ISBLANK(A246),"",IF(AND(ISNA(VLOOKUP(A246,Interface_Platform!E:E,1,FALSE())),ISNA(VLOOKUP(A246,D:D,1,FALSE()))),"N","Y"))</f>
        <v/>
      </c>
      <c r="C246" s="181" t="s">
        <v>878</v>
      </c>
      <c r="D246" s="148" t="s">
        <v>193</v>
      </c>
      <c r="E246" s="154">
        <v>1</v>
      </c>
      <c r="F246" s="144" t="str">
        <f>IF(AND(ISNA(VLOOKUP(D246,A:A,1,FALSE())),ISNA(VLOOKUP(D246,BaseType!A:A,1,FALSE())),D246&lt;&gt;"Struct"),"N","Y")</f>
        <v>Y</v>
      </c>
      <c r="G246" s="147" t="s">
        <v>879</v>
      </c>
      <c r="H246" s="152"/>
      <c r="I246" s="152"/>
      <c r="J246" s="152"/>
      <c r="K246" s="152"/>
      <c r="L246" s="148"/>
      <c r="M246" s="148"/>
      <c r="N246" s="42"/>
      <c r="O246" s="42"/>
      <c r="P246" s="42"/>
      <c r="Q246" s="42"/>
      <c r="R246" s="42"/>
      <c r="S246" s="42"/>
      <c r="T246" s="42"/>
    </row>
    <row r="247" spans="1:20" ht="15" customHeight="1" x14ac:dyDescent="0.2">
      <c r="A247" s="149"/>
      <c r="B247" s="143" t="str">
        <f>IF(ISBLANK(A247),"",IF(AND(ISNA(VLOOKUP(A247,Interface_Platform!E:E,1,FALSE())),ISNA(VLOOKUP(A247,D:D,1,FALSE()))),"N","Y"))</f>
        <v/>
      </c>
      <c r="C247" s="148" t="s">
        <v>880</v>
      </c>
      <c r="D247" s="148" t="s">
        <v>193</v>
      </c>
      <c r="E247" s="154">
        <v>1</v>
      </c>
      <c r="F247" s="144" t="str">
        <f>IF(AND(ISNA(VLOOKUP(D247,A:A,1,FALSE())),ISNA(VLOOKUP(D247,BaseType!A:A,1,FALSE())),D247&lt;&gt;"Struct"),"N","Y")</f>
        <v>Y</v>
      </c>
      <c r="G247" s="147" t="s">
        <v>881</v>
      </c>
      <c r="H247" s="152"/>
      <c r="I247" s="152"/>
      <c r="J247" s="152"/>
      <c r="K247" s="152"/>
      <c r="L247" s="148"/>
      <c r="M247" s="148"/>
      <c r="N247" s="42"/>
      <c r="O247" s="42"/>
      <c r="P247" s="42"/>
      <c r="Q247" s="42"/>
      <c r="R247" s="42"/>
      <c r="S247" s="42"/>
      <c r="T247" s="42"/>
    </row>
    <row r="248" spans="1:20" ht="15" customHeight="1" x14ac:dyDescent="0.2">
      <c r="A248" s="149"/>
      <c r="B248" s="143" t="str">
        <f>IF(ISBLANK(A248),"",IF(AND(ISNA(VLOOKUP(A248,Interface_Platform!E:E,1,FALSE())),ISNA(VLOOKUP(A248,D:D,1,FALSE()))),"N","Y"))</f>
        <v/>
      </c>
      <c r="C248" s="148" t="s">
        <v>882</v>
      </c>
      <c r="D248" s="148" t="s">
        <v>193</v>
      </c>
      <c r="E248" s="154">
        <v>1</v>
      </c>
      <c r="F248" s="144" t="str">
        <f>IF(AND(ISNA(VLOOKUP(D248,A:A,1,FALSE())),ISNA(VLOOKUP(D248,BaseType!A:A,1,FALSE())),D248&lt;&gt;"Struct"),"N","Y")</f>
        <v>Y</v>
      </c>
      <c r="G248" s="147" t="s">
        <v>879</v>
      </c>
      <c r="H248" s="152"/>
      <c r="I248" s="152"/>
      <c r="J248" s="152"/>
      <c r="K248" s="152"/>
      <c r="L248" s="148"/>
      <c r="M248" s="148"/>
      <c r="N248" s="42"/>
      <c r="O248" s="42"/>
      <c r="P248" s="42"/>
      <c r="Q248" s="42"/>
      <c r="R248" s="42"/>
      <c r="S248" s="42"/>
      <c r="T248" s="42"/>
    </row>
    <row r="249" spans="1:20" ht="15" customHeight="1" x14ac:dyDescent="0.2">
      <c r="A249" s="149"/>
      <c r="B249" s="143" t="str">
        <f>IF(ISBLANK(A249),"",IF(AND(ISNA(VLOOKUP(A249,Interface_Platform!E:E,1,FALSE())),ISNA(VLOOKUP(A249,D:D,1,FALSE()))),"N","Y"))</f>
        <v/>
      </c>
      <c r="C249" s="148" t="s">
        <v>883</v>
      </c>
      <c r="D249" s="148" t="s">
        <v>225</v>
      </c>
      <c r="E249" s="154">
        <v>1</v>
      </c>
      <c r="F249" s="144" t="str">
        <f>IF(AND(ISNA(VLOOKUP(D249,A:A,1,FALSE())),ISNA(VLOOKUP(D249,BaseType!A:A,1,FALSE())),D249&lt;&gt;"Struct"),"N","Y")</f>
        <v>Y</v>
      </c>
      <c r="G249" s="147" t="s">
        <v>884</v>
      </c>
      <c r="H249" s="152">
        <v>0</v>
      </c>
      <c r="I249" s="152">
        <v>0</v>
      </c>
      <c r="J249" s="152">
        <v>0</v>
      </c>
      <c r="K249" s="152">
        <v>0</v>
      </c>
      <c r="L249" s="148">
        <v>0</v>
      </c>
      <c r="M249" s="148">
        <v>0</v>
      </c>
      <c r="N249" s="42"/>
      <c r="O249" s="42"/>
      <c r="P249" s="42"/>
      <c r="Q249" s="42"/>
      <c r="R249" s="42"/>
      <c r="S249" s="42"/>
      <c r="T249" s="42"/>
    </row>
    <row r="250" spans="1:20" ht="15" customHeight="1" x14ac:dyDescent="0.2">
      <c r="A250" s="149"/>
      <c r="B250" s="143"/>
      <c r="C250" s="181" t="s">
        <v>885</v>
      </c>
      <c r="D250" s="148" t="s">
        <v>225</v>
      </c>
      <c r="E250" s="154">
        <v>1</v>
      </c>
      <c r="F250" s="144" t="str">
        <f>IF(AND(ISNA(VLOOKUP(D250,A:A,1,FALSE())),ISNA(VLOOKUP(D250,BaseType!A:A,1,FALSE())),D250&lt;&gt;"Struct"),"N","Y")</f>
        <v>Y</v>
      </c>
      <c r="G250" s="147" t="s">
        <v>886</v>
      </c>
      <c r="H250" s="152"/>
      <c r="I250" s="152"/>
      <c r="J250" s="152"/>
      <c r="K250" s="152"/>
      <c r="L250" s="148"/>
      <c r="M250" s="148"/>
      <c r="N250" s="42"/>
      <c r="O250" s="42"/>
      <c r="P250" s="42"/>
      <c r="Q250" s="42"/>
      <c r="R250" s="42"/>
      <c r="S250" s="42"/>
      <c r="T250" s="42"/>
    </row>
    <row r="251" spans="1:20" ht="15" customHeight="1" x14ac:dyDescent="0.2">
      <c r="A251" s="149"/>
      <c r="B251" s="143" t="str">
        <f>IF(ISBLANK(A251),"",IF(AND(ISNA(VLOOKUP(A251,Interface_Platform!E:E,1,FALSE())),ISNA(VLOOKUP(A251,D:D,1,FALSE()))),"N","Y"))</f>
        <v/>
      </c>
      <c r="C251" s="148" t="s">
        <v>887</v>
      </c>
      <c r="D251" s="148" t="s">
        <v>225</v>
      </c>
      <c r="E251" s="154">
        <v>1</v>
      </c>
      <c r="F251" s="144" t="str">
        <f>IF(AND(ISNA(VLOOKUP(D251,A:A,1,FALSE())),ISNA(VLOOKUP(D251,BaseType!A:A,1,FALSE())),D251&lt;&gt;"Struct"),"N","Y")</f>
        <v>Y</v>
      </c>
      <c r="G251" s="147" t="s">
        <v>888</v>
      </c>
      <c r="H251" s="152">
        <v>0</v>
      </c>
      <c r="I251" s="152">
        <v>0</v>
      </c>
      <c r="J251" s="152">
        <v>0</v>
      </c>
      <c r="K251" s="152">
        <v>0</v>
      </c>
      <c r="L251" s="148">
        <v>0</v>
      </c>
      <c r="M251" s="148">
        <v>0</v>
      </c>
      <c r="N251" s="42"/>
      <c r="O251" s="42"/>
      <c r="P251" s="42"/>
      <c r="Q251" s="42"/>
      <c r="R251" s="42"/>
      <c r="S251" s="42"/>
      <c r="T251" s="42"/>
    </row>
    <row r="252" spans="1:20" ht="15" customHeight="1" x14ac:dyDescent="0.2">
      <c r="A252" s="149"/>
      <c r="B252" s="148" t="str">
        <f>IF(ISBLANK(A252),"",IF(AND(ISNA(VLOOKUP(A252,Interface_Platform!E:E,1,FALSE())),ISNA(VLOOKUP(A252,D:D,1,FALSE()))),"N","Y"))</f>
        <v/>
      </c>
      <c r="C252" s="148" t="s">
        <v>889</v>
      </c>
      <c r="D252" s="148" t="s">
        <v>225</v>
      </c>
      <c r="E252" s="154">
        <v>1</v>
      </c>
      <c r="F252" s="144" t="str">
        <f>IF(AND(ISNA(VLOOKUP(D252,A:A,1,FALSE())),ISNA(VLOOKUP(D252,BaseType!A:A,1,FALSE())),D252&lt;&gt;"Struct"),"N","Y")</f>
        <v>Y</v>
      </c>
      <c r="G252" s="147" t="s">
        <v>890</v>
      </c>
      <c r="H252" s="152">
        <v>0</v>
      </c>
      <c r="I252" s="152">
        <v>0</v>
      </c>
      <c r="J252" s="152">
        <v>0</v>
      </c>
      <c r="K252" s="152">
        <v>0</v>
      </c>
      <c r="L252" s="148">
        <v>0</v>
      </c>
      <c r="M252" s="148">
        <v>0</v>
      </c>
      <c r="N252" s="42"/>
      <c r="O252" s="42"/>
      <c r="P252" s="42"/>
      <c r="Q252" s="42"/>
      <c r="R252" s="42"/>
      <c r="S252" s="42"/>
      <c r="T252" s="42"/>
    </row>
    <row r="253" spans="1:20" ht="15" customHeight="1" x14ac:dyDescent="0.2">
      <c r="A253" s="148" t="s">
        <v>248</v>
      </c>
      <c r="B253" s="144" t="str">
        <f>IF(ISBLANK(A253),"",IF(AND(ISNA(VLOOKUP(A253,Interface_Platform!E:E,1,FALSE())),ISNA(VLOOKUP(A253,D:D,1,FALSE()))),"N","Y"))</f>
        <v>Y</v>
      </c>
      <c r="C253" s="48"/>
      <c r="D253" s="169" t="s">
        <v>484</v>
      </c>
      <c r="E253" s="46"/>
      <c r="F253" s="144" t="str">
        <f>IF(AND(ISNA(VLOOKUP(D253,A:A,1,FALSE())),ISNA(VLOOKUP(D253,BaseType!A:A,1,FALSE())),D253&lt;&gt;"Struct"),"N","Y")</f>
        <v>Y</v>
      </c>
      <c r="G253" s="150"/>
      <c r="H253" s="152">
        <v>0</v>
      </c>
      <c r="I253" s="152">
        <v>0</v>
      </c>
      <c r="J253" s="152">
        <v>0</v>
      </c>
      <c r="K253" s="152">
        <v>0</v>
      </c>
      <c r="L253" s="148">
        <v>0</v>
      </c>
      <c r="M253" s="148">
        <v>0</v>
      </c>
      <c r="N253" s="42"/>
      <c r="O253" s="42"/>
      <c r="P253" s="42"/>
      <c r="Q253" s="42"/>
      <c r="R253" s="42"/>
      <c r="S253" s="42"/>
      <c r="T253" s="42"/>
    </row>
    <row r="254" spans="1:20" ht="15" customHeight="1" x14ac:dyDescent="0.2">
      <c r="A254" s="149"/>
      <c r="B254" s="148"/>
      <c r="C254" s="149" t="s">
        <v>630</v>
      </c>
      <c r="D254" s="149" t="s">
        <v>631</v>
      </c>
      <c r="E254" s="154">
        <v>1</v>
      </c>
      <c r="F254" s="144" t="str">
        <f>IF(AND(ISNA(VLOOKUP(D254,A:A,1,FALSE())),ISNA(VLOOKUP(D254,BaseType!A:A,1,FALSE())),D254&lt;&gt;"Struct"),"N","Y")</f>
        <v>Y</v>
      </c>
      <c r="G254" s="147"/>
      <c r="H254" s="152"/>
      <c r="I254" s="152"/>
      <c r="J254" s="152"/>
      <c r="K254" s="152"/>
      <c r="L254" s="148"/>
      <c r="M254" s="148"/>
      <c r="N254" s="42"/>
      <c r="O254" s="42"/>
      <c r="P254" s="42"/>
      <c r="Q254" s="42"/>
      <c r="R254" s="42"/>
      <c r="S254" s="42"/>
      <c r="T254" s="42"/>
    </row>
    <row r="255" spans="1:20" ht="15" customHeight="1" x14ac:dyDescent="0.2">
      <c r="A255" s="149"/>
      <c r="B255" s="148" t="str">
        <f>IF(ISBLANK(A255),"",IF(AND(ISNA(VLOOKUP(A255,Interface_Platform!E:E,1,FALSE())),ISNA(VLOOKUP(A255,D:D,1,FALSE()))),"N","Y"))</f>
        <v/>
      </c>
      <c r="C255" s="148" t="s">
        <v>891</v>
      </c>
      <c r="D255" s="148" t="s">
        <v>293</v>
      </c>
      <c r="E255" s="154">
        <v>1</v>
      </c>
      <c r="F255" s="144" t="str">
        <f>IF(AND(ISNA(VLOOKUP(D255,A:A,1,FALSE())),ISNA(VLOOKUP(D255,BaseType!A:A,1,FALSE())),D255&lt;&gt;"Struct"),"N","Y")</f>
        <v>Y</v>
      </c>
      <c r="G255" s="147" t="s">
        <v>892</v>
      </c>
      <c r="H255" s="152">
        <v>0</v>
      </c>
      <c r="I255" s="152">
        <v>0</v>
      </c>
      <c r="J255" s="152">
        <v>0</v>
      </c>
      <c r="K255" s="152">
        <v>0</v>
      </c>
      <c r="L255" s="148">
        <v>0</v>
      </c>
      <c r="M255" s="148">
        <v>0</v>
      </c>
      <c r="N255" s="42"/>
      <c r="O255" s="42"/>
      <c r="P255" s="42"/>
      <c r="Q255" s="42"/>
      <c r="R255" s="42"/>
      <c r="S255" s="42"/>
      <c r="T255" s="42"/>
    </row>
    <row r="256" spans="1:20" ht="15" customHeight="1" x14ac:dyDescent="0.2">
      <c r="A256" s="149"/>
      <c r="B256" s="148" t="str">
        <f>IF(ISBLANK(A256),"",IF(AND(ISNA(VLOOKUP(A256,Interface_Platform!E:E,1,FALSE())),ISNA(VLOOKUP(A256,D:D,1,FALSE()))),"N","Y"))</f>
        <v/>
      </c>
      <c r="C256" s="148" t="s">
        <v>893</v>
      </c>
      <c r="D256" s="148" t="s">
        <v>293</v>
      </c>
      <c r="E256" s="154">
        <v>1</v>
      </c>
      <c r="F256" s="144" t="str">
        <f>IF(AND(ISNA(VLOOKUP(D256,A:A,1,FALSE())),ISNA(VLOOKUP(D256,BaseType!A:A,1,FALSE())),D256&lt;&gt;"Struct"),"N","Y")</f>
        <v>Y</v>
      </c>
      <c r="G256" s="147" t="s">
        <v>894</v>
      </c>
      <c r="H256" s="152">
        <v>0</v>
      </c>
      <c r="I256" s="152">
        <v>0</v>
      </c>
      <c r="J256" s="152">
        <v>0</v>
      </c>
      <c r="K256" s="152">
        <v>0</v>
      </c>
      <c r="L256" s="148">
        <v>0</v>
      </c>
      <c r="M256" s="148">
        <v>0</v>
      </c>
      <c r="N256" s="42"/>
      <c r="O256" s="42"/>
      <c r="P256" s="42"/>
      <c r="Q256" s="42"/>
      <c r="R256" s="42"/>
      <c r="S256" s="42"/>
      <c r="T256" s="42"/>
    </row>
    <row r="257" spans="1:20" ht="15" customHeight="1" x14ac:dyDescent="0.2">
      <c r="A257" s="149"/>
      <c r="B257" s="148" t="str">
        <f>IF(ISBLANK(A257),"",IF(AND(ISNA(VLOOKUP(A257,Interface_Platform!E:E,1,FALSE())),ISNA(VLOOKUP(A257,D:D,1,FALSE()))),"N","Y"))</f>
        <v/>
      </c>
      <c r="C257" s="148" t="s">
        <v>895</v>
      </c>
      <c r="D257" s="148" t="s">
        <v>293</v>
      </c>
      <c r="E257" s="154">
        <v>1</v>
      </c>
      <c r="F257" s="144" t="str">
        <f>IF(AND(ISNA(VLOOKUP(D257,A:A,1,FALSE())),ISNA(VLOOKUP(D257,BaseType!A:A,1,FALSE())),D257&lt;&gt;"Struct"),"N","Y")</f>
        <v>Y</v>
      </c>
      <c r="G257" s="147" t="s">
        <v>896</v>
      </c>
      <c r="H257" s="152">
        <v>0</v>
      </c>
      <c r="I257" s="152">
        <v>0</v>
      </c>
      <c r="J257" s="152">
        <v>0</v>
      </c>
      <c r="K257" s="152">
        <v>0</v>
      </c>
      <c r="L257" s="148">
        <v>0</v>
      </c>
      <c r="M257" s="148">
        <v>0</v>
      </c>
      <c r="N257" s="42"/>
      <c r="O257" s="42"/>
      <c r="P257" s="42"/>
      <c r="Q257" s="42"/>
      <c r="R257" s="42"/>
      <c r="S257" s="42"/>
      <c r="T257" s="42"/>
    </row>
    <row r="258" spans="1:20" ht="15" customHeight="1" x14ac:dyDescent="0.2">
      <c r="A258" s="149"/>
      <c r="B258" s="148" t="str">
        <f>IF(ISBLANK(A258),"",IF(AND(ISNA(VLOOKUP(A258,Interface_Platform!E:E,1,FALSE())),ISNA(VLOOKUP(A258,D:D,1,FALSE()))),"N","Y"))</f>
        <v/>
      </c>
      <c r="C258" s="148" t="s">
        <v>897</v>
      </c>
      <c r="D258" s="148" t="s">
        <v>293</v>
      </c>
      <c r="E258" s="154">
        <v>1</v>
      </c>
      <c r="F258" s="144" t="str">
        <f>IF(AND(ISNA(VLOOKUP(D258,A:A,1,FALSE())),ISNA(VLOOKUP(D258,BaseType!A:A,1,FALSE())),D258&lt;&gt;"Struct"),"N","Y")</f>
        <v>Y</v>
      </c>
      <c r="G258" s="147" t="s">
        <v>898</v>
      </c>
      <c r="H258" s="152">
        <v>0</v>
      </c>
      <c r="I258" s="152">
        <v>0</v>
      </c>
      <c r="J258" s="152">
        <v>0</v>
      </c>
      <c r="K258" s="152">
        <v>0</v>
      </c>
      <c r="L258" s="148">
        <v>0</v>
      </c>
      <c r="M258" s="148">
        <v>0</v>
      </c>
      <c r="N258" s="42"/>
      <c r="O258" s="42"/>
      <c r="P258" s="42"/>
      <c r="Q258" s="42"/>
      <c r="R258" s="42"/>
      <c r="S258" s="42"/>
      <c r="T258" s="42"/>
    </row>
    <row r="259" spans="1:20" ht="15" customHeight="1" x14ac:dyDescent="0.2">
      <c r="A259" s="149"/>
      <c r="B259" s="148" t="str">
        <f>IF(ISBLANK(A259),"",IF(AND(ISNA(VLOOKUP(A259,Interface_Platform!E:E,1,FALSE())),ISNA(VLOOKUP(A259,D:D,1,FALSE()))),"N","Y"))</f>
        <v/>
      </c>
      <c r="C259" s="148" t="s">
        <v>899</v>
      </c>
      <c r="D259" s="148" t="s">
        <v>293</v>
      </c>
      <c r="E259" s="154">
        <v>1</v>
      </c>
      <c r="F259" s="144" t="str">
        <f>IF(AND(ISNA(VLOOKUP(D259,A:A,1,FALSE())),ISNA(VLOOKUP(D259,BaseType!A:A,1,FALSE())),D259&lt;&gt;"Struct"),"N","Y")</f>
        <v>Y</v>
      </c>
      <c r="G259" s="147" t="s">
        <v>900</v>
      </c>
      <c r="H259" s="152">
        <v>0</v>
      </c>
      <c r="I259" s="152">
        <v>0</v>
      </c>
      <c r="J259" s="152">
        <v>0</v>
      </c>
      <c r="K259" s="152">
        <v>0</v>
      </c>
      <c r="L259" s="148">
        <v>0</v>
      </c>
      <c r="M259" s="148">
        <v>0</v>
      </c>
      <c r="N259" s="42"/>
      <c r="O259" s="42"/>
      <c r="P259" s="42"/>
      <c r="Q259" s="42"/>
      <c r="R259" s="42"/>
      <c r="S259" s="42"/>
      <c r="T259" s="42"/>
    </row>
    <row r="260" spans="1:20" ht="15" customHeight="1" x14ac:dyDescent="0.2">
      <c r="A260" s="149"/>
      <c r="B260" s="148" t="str">
        <f>IF(ISBLANK(A260),"",IF(AND(ISNA(VLOOKUP(A260,Interface_Platform!E:E,1,FALSE())),ISNA(VLOOKUP(A260,D:D,1,FALSE()))),"N","Y"))</f>
        <v/>
      </c>
      <c r="C260" s="148" t="s">
        <v>901</v>
      </c>
      <c r="D260" s="148" t="s">
        <v>293</v>
      </c>
      <c r="E260" s="154">
        <v>1</v>
      </c>
      <c r="F260" s="144" t="str">
        <f>IF(AND(ISNA(VLOOKUP(D260,A:A,1,FALSE())),ISNA(VLOOKUP(D260,BaseType!A:A,1,FALSE())),D260&lt;&gt;"Struct"),"N","Y")</f>
        <v>Y</v>
      </c>
      <c r="G260" s="147" t="s">
        <v>902</v>
      </c>
      <c r="H260" s="152">
        <v>0</v>
      </c>
      <c r="I260" s="152">
        <v>0</v>
      </c>
      <c r="J260" s="152">
        <v>0</v>
      </c>
      <c r="K260" s="152">
        <v>0</v>
      </c>
      <c r="L260" s="148">
        <v>0</v>
      </c>
      <c r="M260" s="148">
        <v>0</v>
      </c>
      <c r="N260" s="42"/>
      <c r="O260" s="42"/>
      <c r="P260" s="42"/>
      <c r="Q260" s="42"/>
      <c r="R260" s="42"/>
      <c r="S260" s="42"/>
      <c r="T260" s="42"/>
    </row>
    <row r="261" spans="1:20" ht="15" customHeight="1" x14ac:dyDescent="0.2">
      <c r="A261" s="149"/>
      <c r="B261" s="148" t="str">
        <f>IF(ISBLANK(A261),"",IF(AND(ISNA(VLOOKUP(A261,Interface_Platform!E:E,1,FALSE())),ISNA(VLOOKUP(A261,D:D,1,FALSE()))),"N","Y"))</f>
        <v/>
      </c>
      <c r="C261" s="148" t="s">
        <v>903</v>
      </c>
      <c r="D261" s="148" t="s">
        <v>293</v>
      </c>
      <c r="E261" s="154">
        <v>1</v>
      </c>
      <c r="F261" s="144" t="str">
        <f>IF(AND(ISNA(VLOOKUP(D261,A:A,1,FALSE())),ISNA(VLOOKUP(D261,BaseType!A:A,1,FALSE())),D261&lt;&gt;"Struct"),"N","Y")</f>
        <v>Y</v>
      </c>
      <c r="G261" s="147" t="s">
        <v>904</v>
      </c>
      <c r="H261" s="152">
        <v>0</v>
      </c>
      <c r="I261" s="152">
        <v>0</v>
      </c>
      <c r="J261" s="152">
        <v>0</v>
      </c>
      <c r="K261" s="152">
        <v>0</v>
      </c>
      <c r="L261" s="148">
        <v>0</v>
      </c>
      <c r="M261" s="148">
        <v>0</v>
      </c>
      <c r="N261" s="42"/>
      <c r="O261" s="42"/>
      <c r="P261" s="42"/>
      <c r="Q261" s="42"/>
      <c r="R261" s="42"/>
      <c r="S261" s="42"/>
      <c r="T261" s="42"/>
    </row>
    <row r="262" spans="1:20" ht="15" customHeight="1" x14ac:dyDescent="0.2">
      <c r="A262" s="149"/>
      <c r="B262" s="148" t="str">
        <f>IF(ISBLANK(A262),"",IF(AND(ISNA(VLOOKUP(A262,Interface_Platform!E:E,1,FALSE())),ISNA(VLOOKUP(A262,D:D,1,FALSE()))),"N","Y"))</f>
        <v/>
      </c>
      <c r="C262" s="148" t="s">
        <v>905</v>
      </c>
      <c r="D262" s="148" t="s">
        <v>293</v>
      </c>
      <c r="E262" s="154">
        <v>1</v>
      </c>
      <c r="F262" s="144" t="str">
        <f>IF(AND(ISNA(VLOOKUP(D262,A:A,1,FALSE())),ISNA(VLOOKUP(D262,BaseType!A:A,1,FALSE())),D262&lt;&gt;"Struct"),"N","Y")</f>
        <v>Y</v>
      </c>
      <c r="G262" s="147" t="s">
        <v>906</v>
      </c>
      <c r="H262" s="152">
        <v>0</v>
      </c>
      <c r="I262" s="152">
        <v>0</v>
      </c>
      <c r="J262" s="152">
        <v>0</v>
      </c>
      <c r="K262" s="152">
        <v>0</v>
      </c>
      <c r="L262" s="148">
        <v>0</v>
      </c>
      <c r="M262" s="148">
        <v>0</v>
      </c>
      <c r="N262" s="42"/>
      <c r="O262" s="42"/>
      <c r="P262" s="42"/>
      <c r="Q262" s="42"/>
      <c r="R262" s="42"/>
      <c r="S262" s="42"/>
      <c r="T262" s="42"/>
    </row>
    <row r="263" spans="1:20" ht="15" customHeight="1" x14ac:dyDescent="0.2">
      <c r="A263" s="149"/>
      <c r="B263" s="148" t="str">
        <f>IF(ISBLANK(A263),"",IF(AND(ISNA(VLOOKUP(A263,Interface_Platform!E:E,1,FALSE())),ISNA(VLOOKUP(A263,D:D,1,FALSE()))),"N","Y"))</f>
        <v/>
      </c>
      <c r="C263" s="148" t="s">
        <v>907</v>
      </c>
      <c r="D263" s="148" t="s">
        <v>293</v>
      </c>
      <c r="E263" s="154">
        <v>1</v>
      </c>
      <c r="F263" s="144" t="str">
        <f>IF(AND(ISNA(VLOOKUP(D263,A:A,1,FALSE())),ISNA(VLOOKUP(D263,BaseType!A:A,1,FALSE())),D263&lt;&gt;"Struct"),"N","Y")</f>
        <v>Y</v>
      </c>
      <c r="G263" s="147" t="s">
        <v>908</v>
      </c>
      <c r="H263" s="152">
        <v>0</v>
      </c>
      <c r="I263" s="152">
        <v>0</v>
      </c>
      <c r="J263" s="152">
        <v>0</v>
      </c>
      <c r="K263" s="152">
        <v>0</v>
      </c>
      <c r="L263" s="148">
        <v>0</v>
      </c>
      <c r="M263" s="148">
        <v>0</v>
      </c>
      <c r="N263" s="42"/>
      <c r="O263" s="42"/>
      <c r="P263" s="42"/>
      <c r="Q263" s="42"/>
      <c r="R263" s="42"/>
      <c r="S263" s="42"/>
      <c r="T263" s="42"/>
    </row>
    <row r="264" spans="1:20" ht="15" customHeight="1" x14ac:dyDescent="0.2">
      <c r="A264" s="149"/>
      <c r="B264" s="148" t="str">
        <f>IF(ISBLANK(A264),"",IF(AND(ISNA(VLOOKUP(A264,Interface_Platform!E:E,1,FALSE())),ISNA(VLOOKUP(A264,D:D,1,FALSE()))),"N","Y"))</f>
        <v/>
      </c>
      <c r="C264" s="148" t="s">
        <v>909</v>
      </c>
      <c r="D264" s="148" t="s">
        <v>293</v>
      </c>
      <c r="E264" s="154">
        <v>1</v>
      </c>
      <c r="F264" s="144" t="str">
        <f>IF(AND(ISNA(VLOOKUP(D264,A:A,1,FALSE())),ISNA(VLOOKUP(D264,BaseType!A:A,1,FALSE())),D264&lt;&gt;"Struct"),"N","Y")</f>
        <v>Y</v>
      </c>
      <c r="G264" s="147" t="s">
        <v>910</v>
      </c>
      <c r="H264" s="152">
        <v>0</v>
      </c>
      <c r="I264" s="152">
        <v>0</v>
      </c>
      <c r="J264" s="152">
        <v>0</v>
      </c>
      <c r="K264" s="152">
        <v>0</v>
      </c>
      <c r="L264" s="148">
        <v>0</v>
      </c>
      <c r="M264" s="148">
        <v>0</v>
      </c>
      <c r="N264" s="42"/>
      <c r="O264" s="42"/>
      <c r="P264" s="42"/>
      <c r="Q264" s="42"/>
      <c r="R264" s="42"/>
      <c r="S264" s="42"/>
      <c r="T264" s="42"/>
    </row>
    <row r="265" spans="1:20" ht="15" customHeight="1" x14ac:dyDescent="0.2">
      <c r="A265" s="149"/>
      <c r="B265" s="148" t="str">
        <f>IF(ISBLANK(A265),"",IF(AND(ISNA(VLOOKUP(A265,Interface_Platform!E:E,1,FALSE())),ISNA(VLOOKUP(A265,D:D,1,FALSE()))),"N","Y"))</f>
        <v/>
      </c>
      <c r="C265" s="148" t="s">
        <v>911</v>
      </c>
      <c r="D265" s="148" t="s">
        <v>293</v>
      </c>
      <c r="E265" s="154">
        <v>1</v>
      </c>
      <c r="F265" s="144" t="str">
        <f>IF(AND(ISNA(VLOOKUP(D265,A:A,1,FALSE())),ISNA(VLOOKUP(D265,BaseType!A:A,1,FALSE())),D265&lt;&gt;"Struct"),"N","Y")</f>
        <v>Y</v>
      </c>
      <c r="G265" s="147" t="s">
        <v>912</v>
      </c>
      <c r="H265" s="152">
        <v>0</v>
      </c>
      <c r="I265" s="152">
        <v>0</v>
      </c>
      <c r="J265" s="152">
        <v>0</v>
      </c>
      <c r="K265" s="152">
        <v>0</v>
      </c>
      <c r="L265" s="148">
        <v>0</v>
      </c>
      <c r="M265" s="148">
        <v>0</v>
      </c>
      <c r="N265" s="42"/>
      <c r="O265" s="42"/>
      <c r="P265" s="42"/>
      <c r="Q265" s="42"/>
      <c r="R265" s="42"/>
      <c r="S265" s="42"/>
      <c r="T265" s="42"/>
    </row>
    <row r="266" spans="1:20" ht="15" customHeight="1" x14ac:dyDescent="0.2">
      <c r="A266" s="149"/>
      <c r="B266" s="148" t="str">
        <f>IF(ISBLANK(A266),"",IF(AND(ISNA(VLOOKUP(A266,Interface_Platform!E:E,1,FALSE())),ISNA(VLOOKUP(A266,D:D,1,FALSE()))),"N","Y"))</f>
        <v/>
      </c>
      <c r="C266" s="148" t="s">
        <v>913</v>
      </c>
      <c r="D266" s="148" t="s">
        <v>293</v>
      </c>
      <c r="E266" s="154">
        <v>1</v>
      </c>
      <c r="F266" s="144" t="str">
        <f>IF(AND(ISNA(VLOOKUP(D266,A:A,1,FALSE())),ISNA(VLOOKUP(D266,BaseType!A:A,1,FALSE())),D266&lt;&gt;"Struct"),"N","Y")</f>
        <v>Y</v>
      </c>
      <c r="G266" s="147" t="s">
        <v>914</v>
      </c>
      <c r="H266" s="152">
        <v>0</v>
      </c>
      <c r="I266" s="152">
        <v>0</v>
      </c>
      <c r="J266" s="152">
        <v>0</v>
      </c>
      <c r="K266" s="152">
        <v>0</v>
      </c>
      <c r="L266" s="148">
        <v>0</v>
      </c>
      <c r="M266" s="148">
        <v>0</v>
      </c>
      <c r="N266" s="42"/>
      <c r="O266" s="42"/>
      <c r="P266" s="42"/>
      <c r="Q266" s="42"/>
      <c r="R266" s="42"/>
      <c r="S266" s="42"/>
      <c r="T266" s="42"/>
    </row>
    <row r="267" spans="1:20" ht="15" customHeight="1" x14ac:dyDescent="0.2">
      <c r="A267" s="148"/>
      <c r="B267" s="148" t="str">
        <f>IF(ISBLANK(A267),"",IF(AND(ISNA(VLOOKUP(A267,Interface_Platform!E:E,1,FALSE())),ISNA(VLOOKUP(A267,D:D,1,FALSE()))),"N","Y"))</f>
        <v/>
      </c>
      <c r="C267" s="48" t="s">
        <v>915</v>
      </c>
      <c r="D267" s="148" t="s">
        <v>293</v>
      </c>
      <c r="E267" s="154">
        <v>1</v>
      </c>
      <c r="F267" s="144" t="str">
        <f>IF(AND(ISNA(VLOOKUP(D267,A:A,1,FALSE())),ISNA(VLOOKUP(D267,BaseType!A:A,1,FALSE())),D267&lt;&gt;"Struct"),"N","Y")</f>
        <v>Y</v>
      </c>
      <c r="G267" s="147" t="s">
        <v>916</v>
      </c>
      <c r="H267" s="152"/>
      <c r="I267" s="152"/>
      <c r="J267" s="152"/>
      <c r="K267" s="152"/>
      <c r="L267" s="148"/>
      <c r="M267" s="148"/>
      <c r="N267" s="42"/>
      <c r="O267" s="42"/>
      <c r="P267" s="42"/>
      <c r="Q267" s="42"/>
      <c r="R267" s="42"/>
      <c r="S267" s="42"/>
      <c r="T267" s="42"/>
    </row>
    <row r="268" spans="1:20" ht="15" customHeight="1" x14ac:dyDescent="0.2">
      <c r="A268" s="149"/>
      <c r="B268" s="148"/>
      <c r="C268" s="148" t="s">
        <v>917</v>
      </c>
      <c r="D268" s="181" t="s">
        <v>918</v>
      </c>
      <c r="E268" s="205">
        <v>1</v>
      </c>
      <c r="F268" s="187" t="str">
        <f>IF(AND(ISNA(VLOOKUP(D268,A:A,1,FALSE())),ISNA(VLOOKUP(D268,BaseType!A:A,1,FALSE())),D268&lt;&gt;"Struct"),"N","Y")</f>
        <v>Y</v>
      </c>
      <c r="G268" s="147" t="s">
        <v>919</v>
      </c>
      <c r="H268" s="152"/>
      <c r="I268" s="152"/>
      <c r="J268" s="152"/>
      <c r="K268" s="152"/>
      <c r="L268" s="148"/>
      <c r="M268" s="148"/>
      <c r="N268" s="42"/>
      <c r="O268" s="42"/>
      <c r="P268" s="42"/>
      <c r="Q268" s="42"/>
      <c r="R268" s="42"/>
      <c r="S268" s="42"/>
      <c r="T268" s="42"/>
    </row>
    <row r="269" spans="1:20" ht="15" customHeight="1" x14ac:dyDescent="0.2">
      <c r="A269" s="149"/>
      <c r="B269" s="148" t="str">
        <f>IF(ISBLANK(A269),"",IF(AND(ISNA(VLOOKUP(A269,Interface_Platform!E:E,1,FALSE())),ISNA(VLOOKUP(A269,D:D,1,FALSE()))),"N","Y"))</f>
        <v/>
      </c>
      <c r="C269" s="148" t="s">
        <v>920</v>
      </c>
      <c r="D269" s="181" t="s">
        <v>918</v>
      </c>
      <c r="E269" s="205">
        <v>1</v>
      </c>
      <c r="F269" s="187" t="str">
        <f>IF(AND(ISNA(VLOOKUP(D269,A:A,1,FALSE())),ISNA(VLOOKUP(D269,BaseType!A:A,1,FALSE())),D269&lt;&gt;"Struct"),"N","Y")</f>
        <v>Y</v>
      </c>
      <c r="G269" s="147" t="s">
        <v>921</v>
      </c>
      <c r="H269" s="152">
        <v>0</v>
      </c>
      <c r="I269" s="152">
        <v>0</v>
      </c>
      <c r="J269" s="152">
        <v>0</v>
      </c>
      <c r="K269" s="152">
        <v>0</v>
      </c>
      <c r="L269" s="148">
        <v>0</v>
      </c>
      <c r="M269" s="148">
        <v>0</v>
      </c>
      <c r="N269" s="42"/>
      <c r="O269" s="42"/>
      <c r="P269" s="42"/>
      <c r="Q269" s="42"/>
      <c r="R269" s="42"/>
      <c r="S269" s="42"/>
      <c r="T269" s="42"/>
    </row>
    <row r="270" spans="1:20" ht="15" customHeight="1" x14ac:dyDescent="0.2">
      <c r="A270" s="149"/>
      <c r="B270" s="148"/>
      <c r="C270" s="148" t="s">
        <v>922</v>
      </c>
      <c r="D270" s="181" t="s">
        <v>193</v>
      </c>
      <c r="E270" s="205">
        <v>1</v>
      </c>
      <c r="F270" s="187" t="str">
        <f>IF(AND(ISNA(VLOOKUP(D270,A:A,1,FALSE())),ISNA(VLOOKUP(D270,BaseType!A:A,1,FALSE())),D270&lt;&gt;"Struct"),"N","Y")</f>
        <v>Y</v>
      </c>
      <c r="G270" s="147" t="s">
        <v>923</v>
      </c>
      <c r="H270" s="152"/>
      <c r="I270" s="152"/>
      <c r="J270" s="152"/>
      <c r="K270" s="152"/>
      <c r="L270" s="148"/>
      <c r="M270" s="148"/>
      <c r="N270" s="42"/>
      <c r="O270" s="42"/>
      <c r="P270" s="42"/>
      <c r="Q270" s="42"/>
      <c r="R270" s="42"/>
      <c r="S270" s="42"/>
      <c r="T270" s="42"/>
    </row>
    <row r="271" spans="1:20" ht="15" customHeight="1" x14ac:dyDescent="0.2">
      <c r="A271" s="149"/>
      <c r="B271" s="148"/>
      <c r="C271" s="148" t="s">
        <v>924</v>
      </c>
      <c r="D271" s="148" t="s">
        <v>193</v>
      </c>
      <c r="E271" s="154">
        <v>1</v>
      </c>
      <c r="F271" s="144" t="str">
        <f>IF(AND(ISNA(VLOOKUP(D271,A:A,1,FALSE())),ISNA(VLOOKUP(D271,BaseType!A:A,1,FALSE())),D271&lt;&gt;"Struct"),"N","Y")</f>
        <v>Y</v>
      </c>
      <c r="G271" s="147" t="s">
        <v>925</v>
      </c>
      <c r="H271" s="152"/>
      <c r="I271" s="152"/>
      <c r="J271" s="152"/>
      <c r="K271" s="152"/>
      <c r="L271" s="148"/>
      <c r="M271" s="148"/>
      <c r="N271" s="42"/>
      <c r="O271" s="42"/>
      <c r="P271" s="42"/>
      <c r="Q271" s="42"/>
      <c r="R271" s="42"/>
      <c r="S271" s="42"/>
      <c r="T271" s="42"/>
    </row>
    <row r="272" spans="1:20" ht="15" customHeight="1" x14ac:dyDescent="0.2">
      <c r="A272" s="149"/>
      <c r="B272" s="148"/>
      <c r="C272" s="148" t="s">
        <v>926</v>
      </c>
      <c r="D272" s="148" t="s">
        <v>193</v>
      </c>
      <c r="E272" s="154">
        <v>1</v>
      </c>
      <c r="F272" s="144" t="str">
        <f>IF(AND(ISNA(VLOOKUP(D272,A:A,1,FALSE())),ISNA(VLOOKUP(D272,BaseType!A:A,1,FALSE())),D272&lt;&gt;"Struct"),"N","Y")</f>
        <v>Y</v>
      </c>
      <c r="G272" s="147" t="s">
        <v>927</v>
      </c>
      <c r="H272" s="152"/>
      <c r="I272" s="152"/>
      <c r="J272" s="152"/>
      <c r="K272" s="152"/>
      <c r="L272" s="148"/>
      <c r="M272" s="148"/>
      <c r="N272" s="42"/>
      <c r="O272" s="42"/>
      <c r="P272" s="42"/>
      <c r="Q272" s="42"/>
      <c r="R272" s="42"/>
      <c r="S272" s="42"/>
      <c r="T272" s="42"/>
    </row>
    <row r="273" spans="1:20" ht="15" customHeight="1" x14ac:dyDescent="0.2">
      <c r="A273" s="149"/>
      <c r="B273" s="148"/>
      <c r="C273" s="148" t="s">
        <v>928</v>
      </c>
      <c r="D273" s="148" t="s">
        <v>193</v>
      </c>
      <c r="E273" s="154">
        <v>1</v>
      </c>
      <c r="F273" s="144" t="str">
        <f>IF(AND(ISNA(VLOOKUP(D273,A:A,1,FALSE())),ISNA(VLOOKUP(D273,BaseType!A:A,1,FALSE())),D273&lt;&gt;"Struct"),"N","Y")</f>
        <v>Y</v>
      </c>
      <c r="G273" s="147" t="s">
        <v>929</v>
      </c>
      <c r="H273" s="152"/>
      <c r="I273" s="152"/>
      <c r="J273" s="152"/>
      <c r="K273" s="152"/>
      <c r="L273" s="148"/>
      <c r="M273" s="148"/>
      <c r="N273" s="42"/>
      <c r="O273" s="42"/>
      <c r="P273" s="42"/>
      <c r="Q273" s="42"/>
      <c r="R273" s="42"/>
      <c r="S273" s="42"/>
      <c r="T273" s="42"/>
    </row>
    <row r="274" spans="1:20" ht="15" customHeight="1" x14ac:dyDescent="0.2">
      <c r="A274" s="149"/>
      <c r="B274" s="148"/>
      <c r="C274" s="148" t="s">
        <v>930</v>
      </c>
      <c r="D274" s="148" t="s">
        <v>193</v>
      </c>
      <c r="E274" s="154">
        <v>1</v>
      </c>
      <c r="F274" s="144" t="str">
        <f>IF(AND(ISNA(VLOOKUP(D274,A:A,1,FALSE())),ISNA(VLOOKUP(D274,BaseType!A:A,1,FALSE())),D274&lt;&gt;"Struct"),"N","Y")</f>
        <v>Y</v>
      </c>
      <c r="G274" s="147" t="s">
        <v>931</v>
      </c>
      <c r="H274" s="152"/>
      <c r="I274" s="152"/>
      <c r="J274" s="152"/>
      <c r="K274" s="152"/>
      <c r="L274" s="148"/>
      <c r="M274" s="148"/>
      <c r="N274" s="42"/>
      <c r="O274" s="42"/>
      <c r="P274" s="42"/>
      <c r="Q274" s="42"/>
      <c r="R274" s="42"/>
      <c r="S274" s="42"/>
      <c r="T274" s="42"/>
    </row>
    <row r="275" spans="1:20" ht="15" customHeight="1" x14ac:dyDescent="0.2">
      <c r="A275" s="149"/>
      <c r="B275" s="148" t="str">
        <f>IF(ISBLANK(A275),"",IF(AND(ISNA(VLOOKUP(A275,Interface_Platform!E:E,1,FALSE())),ISNA(VLOOKUP(A275,D:D,1,FALSE()))),"N","Y"))</f>
        <v/>
      </c>
      <c r="C275" s="148" t="s">
        <v>932</v>
      </c>
      <c r="D275" s="148" t="s">
        <v>193</v>
      </c>
      <c r="E275" s="154">
        <v>1</v>
      </c>
      <c r="F275" s="144" t="str">
        <f>IF(AND(ISNA(VLOOKUP(D275,A:A,1,FALSE())),ISNA(VLOOKUP(D275,BaseType!A:A,1,FALSE())),D275&lt;&gt;"Struct"),"N","Y")</f>
        <v>Y</v>
      </c>
      <c r="G275" s="147" t="s">
        <v>933</v>
      </c>
      <c r="H275" s="152">
        <v>0</v>
      </c>
      <c r="I275" s="152">
        <v>0</v>
      </c>
      <c r="J275" s="152">
        <v>0</v>
      </c>
      <c r="K275" s="152">
        <v>0</v>
      </c>
      <c r="L275" s="148">
        <v>0</v>
      </c>
      <c r="M275" s="148">
        <v>0</v>
      </c>
      <c r="N275" s="42"/>
      <c r="O275" s="42"/>
      <c r="P275" s="42"/>
      <c r="Q275" s="42"/>
      <c r="R275" s="42"/>
      <c r="S275" s="42"/>
      <c r="T275" s="42"/>
    </row>
    <row r="276" spans="1:20" ht="15" customHeight="1" x14ac:dyDescent="0.2">
      <c r="A276" s="149"/>
      <c r="B276" s="148" t="str">
        <f>IF(ISBLANK(A276),"",IF(AND(ISNA(VLOOKUP(A276,Interface_Platform!E:E,1,FALSE())),ISNA(VLOOKUP(A276,D:D,1,FALSE()))),"N","Y"))</f>
        <v/>
      </c>
      <c r="C276" s="148" t="s">
        <v>934</v>
      </c>
      <c r="D276" s="148" t="s">
        <v>193</v>
      </c>
      <c r="E276" s="154">
        <v>1</v>
      </c>
      <c r="F276" s="144" t="str">
        <f>IF(AND(ISNA(VLOOKUP(D276,A:A,1,FALSE())),ISNA(VLOOKUP(D276,BaseType!A:A,1,FALSE())),D276&lt;&gt;"Struct"),"N","Y")</f>
        <v>Y</v>
      </c>
      <c r="G276" s="147" t="s">
        <v>935</v>
      </c>
      <c r="H276" s="152">
        <v>0</v>
      </c>
      <c r="I276" s="152">
        <v>0</v>
      </c>
      <c r="J276" s="152">
        <v>0</v>
      </c>
      <c r="K276" s="152">
        <v>0</v>
      </c>
      <c r="L276" s="148">
        <v>0</v>
      </c>
      <c r="M276" s="148">
        <v>0</v>
      </c>
      <c r="N276" s="42"/>
      <c r="O276" s="42"/>
      <c r="P276" s="42"/>
      <c r="Q276" s="42"/>
      <c r="R276" s="42"/>
      <c r="S276" s="42"/>
      <c r="T276" s="42"/>
    </row>
    <row r="277" spans="1:20" ht="15" customHeight="1" x14ac:dyDescent="0.2">
      <c r="A277" s="149"/>
      <c r="B277" s="148" t="str">
        <f>IF(ISBLANK(A277),"",IF(AND(ISNA(VLOOKUP(A277,Interface_Platform!E:E,1,FALSE())),ISNA(VLOOKUP(A277,D:D,1,FALSE()))),"N","Y"))</f>
        <v/>
      </c>
      <c r="C277" s="148" t="s">
        <v>936</v>
      </c>
      <c r="D277" s="148" t="s">
        <v>193</v>
      </c>
      <c r="E277" s="154">
        <v>1</v>
      </c>
      <c r="F277" s="144" t="str">
        <f>IF(AND(ISNA(VLOOKUP(D277,A:A,1,FALSE())),ISNA(VLOOKUP(D277,BaseType!A:A,1,FALSE())),D277&lt;&gt;"Struct"),"N","Y")</f>
        <v>Y</v>
      </c>
      <c r="G277" s="147" t="s">
        <v>937</v>
      </c>
      <c r="H277" s="152">
        <v>0</v>
      </c>
      <c r="I277" s="152">
        <v>0</v>
      </c>
      <c r="J277" s="152">
        <v>0</v>
      </c>
      <c r="K277" s="152">
        <v>0</v>
      </c>
      <c r="L277" s="148">
        <v>0</v>
      </c>
      <c r="M277" s="148">
        <v>0</v>
      </c>
      <c r="N277" s="42"/>
      <c r="O277" s="42"/>
      <c r="P277" s="42"/>
      <c r="Q277" s="42"/>
      <c r="R277" s="42"/>
      <c r="S277" s="42"/>
      <c r="T277" s="42"/>
    </row>
    <row r="278" spans="1:20" ht="15" customHeight="1" x14ac:dyDescent="0.2">
      <c r="A278" s="149"/>
      <c r="B278" s="148"/>
      <c r="C278" s="148" t="s">
        <v>938</v>
      </c>
      <c r="D278" s="148" t="s">
        <v>193</v>
      </c>
      <c r="E278" s="154">
        <v>1</v>
      </c>
      <c r="F278" s="144" t="str">
        <f>IF(AND(ISNA(VLOOKUP(D278,A:A,1,FALSE())),ISNA(VLOOKUP(D278,BaseType!A:A,1,FALSE())),D278&lt;&gt;"Struct"),"N","Y")</f>
        <v>Y</v>
      </c>
      <c r="G278" s="147" t="s">
        <v>939</v>
      </c>
      <c r="H278" s="152"/>
      <c r="I278" s="152"/>
      <c r="J278" s="152"/>
      <c r="K278" s="152"/>
      <c r="L278" s="148"/>
      <c r="M278" s="148"/>
      <c r="N278" s="42"/>
      <c r="O278" s="42"/>
      <c r="P278" s="42"/>
      <c r="Q278" s="42"/>
      <c r="R278" s="42"/>
      <c r="S278" s="42"/>
      <c r="T278" s="42"/>
    </row>
    <row r="279" spans="1:20" ht="15" customHeight="1" x14ac:dyDescent="0.2">
      <c r="A279" s="149"/>
      <c r="B279" s="148" t="str">
        <f>IF(ISBLANK(A279),"",IF(AND(ISNA(VLOOKUP(A279,Interface_Platform!E:E,1,FALSE())),ISNA(VLOOKUP(A279,D:D,1,FALSE()))),"N","Y"))</f>
        <v/>
      </c>
      <c r="C279" s="148" t="s">
        <v>940</v>
      </c>
      <c r="D279" s="148" t="s">
        <v>193</v>
      </c>
      <c r="E279" s="154">
        <v>1</v>
      </c>
      <c r="F279" s="144" t="str">
        <f>IF(AND(ISNA(VLOOKUP(D279,A:A,1,FALSE())),ISNA(VLOOKUP(D279,BaseType!A:A,1,FALSE())),D279&lt;&gt;"Struct"),"N","Y")</f>
        <v>Y</v>
      </c>
      <c r="G279" s="147" t="s">
        <v>941</v>
      </c>
      <c r="H279" s="152">
        <v>0</v>
      </c>
      <c r="I279" s="152">
        <v>0</v>
      </c>
      <c r="J279" s="152">
        <v>0</v>
      </c>
      <c r="K279" s="152">
        <v>0</v>
      </c>
      <c r="L279" s="148">
        <v>0</v>
      </c>
      <c r="M279" s="148">
        <v>0</v>
      </c>
      <c r="N279" s="42"/>
      <c r="O279" s="42"/>
      <c r="P279" s="42"/>
      <c r="Q279" s="42"/>
      <c r="R279" s="42"/>
      <c r="S279" s="42"/>
      <c r="T279" s="42"/>
    </row>
    <row r="280" spans="1:20" ht="15" customHeight="1" x14ac:dyDescent="0.2">
      <c r="A280" s="149"/>
      <c r="B280" s="148"/>
      <c r="C280" s="148" t="s">
        <v>942</v>
      </c>
      <c r="D280" s="148" t="s">
        <v>193</v>
      </c>
      <c r="E280" s="154">
        <v>1</v>
      </c>
      <c r="F280" s="144" t="str">
        <f>IF(AND(ISNA(VLOOKUP(D280,A:A,1,FALSE())),ISNA(VLOOKUP(D280,BaseType!A:A,1,FALSE())),D280&lt;&gt;"Struct"),"N","Y")</f>
        <v>Y</v>
      </c>
      <c r="G280" s="147" t="s">
        <v>943</v>
      </c>
      <c r="H280" s="152"/>
      <c r="I280" s="152"/>
      <c r="J280" s="152"/>
      <c r="K280" s="152"/>
      <c r="L280" s="148"/>
      <c r="M280" s="148"/>
      <c r="N280" s="42"/>
      <c r="O280" s="42"/>
      <c r="P280" s="42"/>
      <c r="Q280" s="42"/>
      <c r="R280" s="42"/>
      <c r="S280" s="42"/>
      <c r="T280" s="42"/>
    </row>
    <row r="281" spans="1:20" ht="15" customHeight="1" x14ac:dyDescent="0.2">
      <c r="A281" s="149"/>
      <c r="B281" s="148" t="str">
        <f>IF(ISBLANK(A281),"",IF(AND(ISNA(VLOOKUP(A281,Interface_Platform!E:E,1,FALSE())),ISNA(VLOOKUP(A281,D:D,1,FALSE()))),"N","Y"))</f>
        <v/>
      </c>
      <c r="C281" s="148" t="s">
        <v>944</v>
      </c>
      <c r="D281" s="148" t="s">
        <v>193</v>
      </c>
      <c r="E281" s="154">
        <v>1</v>
      </c>
      <c r="F281" s="144" t="str">
        <f>IF(AND(ISNA(VLOOKUP(D281,A:A,1,FALSE())),ISNA(VLOOKUP(D281,BaseType!A:A,1,FALSE())),D281&lt;&gt;"Struct"),"N","Y")</f>
        <v>Y</v>
      </c>
      <c r="G281" s="147" t="s">
        <v>945</v>
      </c>
      <c r="H281" s="152">
        <v>0</v>
      </c>
      <c r="I281" s="152">
        <v>0</v>
      </c>
      <c r="J281" s="152">
        <v>0</v>
      </c>
      <c r="K281" s="152">
        <v>0</v>
      </c>
      <c r="L281" s="148">
        <v>0</v>
      </c>
      <c r="M281" s="148">
        <v>0</v>
      </c>
      <c r="N281" s="42"/>
      <c r="O281" s="42"/>
      <c r="P281" s="42"/>
      <c r="Q281" s="42"/>
      <c r="R281" s="42"/>
      <c r="S281" s="42"/>
      <c r="T281" s="42"/>
    </row>
    <row r="282" spans="1:20" ht="15" customHeight="1" x14ac:dyDescent="0.2">
      <c r="A282" s="149"/>
      <c r="B282" s="148" t="str">
        <f>IF(ISBLANK(A282),"",IF(AND(ISNA(VLOOKUP(A282,Interface_Platform!E:E,1,FALSE())),ISNA(VLOOKUP(A282,D:D,1,FALSE()))),"N","Y"))</f>
        <v/>
      </c>
      <c r="C282" s="148" t="s">
        <v>946</v>
      </c>
      <c r="D282" s="148" t="s">
        <v>193</v>
      </c>
      <c r="E282" s="154">
        <v>1</v>
      </c>
      <c r="F282" s="144" t="str">
        <f>IF(AND(ISNA(VLOOKUP(D282,A:A,1,FALSE())),ISNA(VLOOKUP(D282,BaseType!A:A,1,FALSE())),D282&lt;&gt;"Struct"),"N","Y")</f>
        <v>Y</v>
      </c>
      <c r="G282" s="147" t="s">
        <v>947</v>
      </c>
      <c r="H282" s="152">
        <v>0</v>
      </c>
      <c r="I282" s="152">
        <v>0</v>
      </c>
      <c r="J282" s="152">
        <v>0</v>
      </c>
      <c r="K282" s="152">
        <v>0</v>
      </c>
      <c r="L282" s="148">
        <v>0</v>
      </c>
      <c r="M282" s="148">
        <v>0</v>
      </c>
      <c r="N282" s="42"/>
      <c r="O282" s="42"/>
      <c r="P282" s="42"/>
      <c r="Q282" s="42"/>
      <c r="R282" s="42"/>
      <c r="S282" s="42"/>
      <c r="T282" s="42"/>
    </row>
    <row r="283" spans="1:20" ht="15" customHeight="1" x14ac:dyDescent="0.2">
      <c r="A283" s="148"/>
      <c r="B283" s="148"/>
      <c r="C283" s="48" t="s">
        <v>948</v>
      </c>
      <c r="D283" s="148" t="s">
        <v>193</v>
      </c>
      <c r="E283" s="154">
        <v>1</v>
      </c>
      <c r="F283" s="144" t="str">
        <f>IF(AND(ISNA(VLOOKUP(D283,A:A,1,FALSE())),ISNA(VLOOKUP(D283,BaseType!A:A,1,FALSE())),D283&lt;&gt;"Struct"),"N","Y")</f>
        <v>Y</v>
      </c>
      <c r="G283" s="150" t="s">
        <v>949</v>
      </c>
      <c r="H283" s="152"/>
      <c r="I283" s="152"/>
      <c r="J283" s="152"/>
      <c r="K283" s="152"/>
      <c r="L283" s="148"/>
      <c r="M283" s="148"/>
      <c r="N283" s="42"/>
      <c r="O283" s="42"/>
      <c r="P283" s="42"/>
      <c r="Q283" s="42"/>
      <c r="R283" s="42"/>
      <c r="S283" s="42"/>
      <c r="T283" s="42"/>
    </row>
    <row r="284" spans="1:20" ht="15" customHeight="1" x14ac:dyDescent="0.2">
      <c r="A284" s="143"/>
      <c r="B284" s="143"/>
      <c r="C284" s="91" t="s">
        <v>950</v>
      </c>
      <c r="D284" s="148" t="s">
        <v>193</v>
      </c>
      <c r="E284" s="154">
        <v>1</v>
      </c>
      <c r="F284" s="144" t="str">
        <f>IF(AND(ISNA(VLOOKUP(D284,A:A,1,FALSE())),ISNA(VLOOKUP(D284,BaseType!A:A,1,FALSE())),D284&lt;&gt;"Struct"),"N","Y")</f>
        <v>Y</v>
      </c>
      <c r="G284" s="146" t="s">
        <v>951</v>
      </c>
      <c r="H284" s="139"/>
      <c r="I284" s="139"/>
      <c r="J284" s="139"/>
      <c r="K284" s="139"/>
      <c r="L284" s="143"/>
      <c r="M284" s="143"/>
      <c r="N284" s="140"/>
      <c r="O284" s="140"/>
      <c r="P284" s="140"/>
      <c r="Q284" s="140"/>
      <c r="R284" s="140"/>
      <c r="S284" s="140"/>
      <c r="T284" s="140"/>
    </row>
    <row r="285" spans="1:20" ht="15" customHeight="1" x14ac:dyDescent="0.2">
      <c r="A285" s="143"/>
      <c r="B285" s="143"/>
      <c r="C285" s="75" t="s">
        <v>952</v>
      </c>
      <c r="D285" s="148" t="s">
        <v>193</v>
      </c>
      <c r="E285" s="154">
        <v>1</v>
      </c>
      <c r="F285" s="144" t="str">
        <f>IF(AND(ISNA(VLOOKUP(D285,A:A,1,FALSE())),ISNA(VLOOKUP(D285,BaseType!A:A,1,FALSE())),D285&lt;&gt;"Struct"),"N","Y")</f>
        <v>Y</v>
      </c>
      <c r="G285" s="146" t="s">
        <v>953</v>
      </c>
      <c r="H285" s="139"/>
      <c r="I285" s="139"/>
      <c r="J285" s="139"/>
      <c r="K285" s="139"/>
      <c r="L285" s="143"/>
      <c r="M285" s="143"/>
      <c r="N285" s="140"/>
      <c r="O285" s="140"/>
      <c r="P285" s="140"/>
      <c r="Q285" s="140"/>
      <c r="R285" s="140"/>
      <c r="S285" s="140"/>
      <c r="T285" s="140"/>
    </row>
    <row r="286" spans="1:20" ht="15" customHeight="1" x14ac:dyDescent="0.2">
      <c r="A286" s="143" t="s">
        <v>191</v>
      </c>
      <c r="B286" s="143" t="str">
        <f>IF(ISBLANK(A286),"",IF(AND(ISNA(VLOOKUP(A286,Interface_Platform!E:E,1,FALSE())),ISNA(VLOOKUP(A286,D:D,1,FALSE()))),"N","Y"))</f>
        <v>Y</v>
      </c>
      <c r="C286" s="75"/>
      <c r="D286" s="143" t="s">
        <v>484</v>
      </c>
      <c r="E286" s="40"/>
      <c r="F286" s="144" t="str">
        <f>IF(AND(ISNA(VLOOKUP(D286,A:A,1,FALSE())),ISNA(VLOOKUP(D286,BaseType!A:A,1,FALSE())),D286&lt;&gt;"Struct"),"N","Y")</f>
        <v>Y</v>
      </c>
      <c r="G286" s="146"/>
      <c r="H286" s="139"/>
      <c r="I286" s="139"/>
      <c r="J286" s="139"/>
      <c r="K286" s="139"/>
      <c r="L286" s="143"/>
      <c r="M286" s="143"/>
      <c r="N286" s="140"/>
      <c r="O286" s="140"/>
      <c r="P286" s="140"/>
      <c r="Q286" s="140"/>
      <c r="R286" s="140"/>
      <c r="S286" s="140"/>
      <c r="T286" s="140"/>
    </row>
    <row r="287" spans="1:20" ht="15" customHeight="1" x14ac:dyDescent="0.2">
      <c r="A287" s="143"/>
      <c r="B287" s="143"/>
      <c r="C287" s="91" t="s">
        <v>954</v>
      </c>
      <c r="D287" s="148" t="s">
        <v>193</v>
      </c>
      <c r="E287" s="154">
        <v>1</v>
      </c>
      <c r="F287" s="144" t="str">
        <f>IF(AND(ISNA(VLOOKUP(D287,A:A,1,FALSE())),ISNA(VLOOKUP(D287,BaseType!A:A,1,FALSE())),D287&lt;&gt;"Struct"),"N","Y")</f>
        <v>Y</v>
      </c>
      <c r="G287" s="146"/>
      <c r="H287" s="139"/>
      <c r="I287" s="139"/>
      <c r="J287" s="139"/>
      <c r="K287" s="139"/>
      <c r="L287" s="143"/>
      <c r="M287" s="143"/>
      <c r="N287" s="140"/>
      <c r="O287" s="140"/>
      <c r="P287" s="140"/>
      <c r="Q287" s="140"/>
      <c r="R287" s="140"/>
      <c r="S287" s="140"/>
      <c r="T287" s="140"/>
    </row>
    <row r="288" spans="1:20" ht="15" customHeight="1" x14ac:dyDescent="0.2">
      <c r="A288" s="143"/>
      <c r="B288" s="143"/>
      <c r="C288" s="149" t="s">
        <v>955</v>
      </c>
      <c r="D288" s="148" t="s">
        <v>193</v>
      </c>
      <c r="E288" s="154">
        <v>1</v>
      </c>
      <c r="F288" s="144" t="str">
        <f>IF(AND(ISNA(VLOOKUP(D288,A:A,1,FALSE())),ISNA(VLOOKUP(D288,BaseType!A:A,1,FALSE())),D288&lt;&gt;"Struct"),"N","Y")</f>
        <v>Y</v>
      </c>
      <c r="G288" s="146"/>
      <c r="H288" s="139"/>
      <c r="I288" s="139"/>
      <c r="J288" s="139"/>
      <c r="K288" s="139"/>
      <c r="L288" s="143"/>
      <c r="M288" s="143"/>
      <c r="N288" s="140"/>
      <c r="O288" s="140"/>
      <c r="P288" s="140"/>
      <c r="Q288" s="140"/>
      <c r="R288" s="140"/>
      <c r="S288" s="140"/>
      <c r="T288" s="140"/>
    </row>
    <row r="289" spans="1:20" ht="15" customHeight="1" x14ac:dyDescent="0.2">
      <c r="A289" s="143"/>
      <c r="B289" s="143"/>
      <c r="C289" s="149" t="s">
        <v>956</v>
      </c>
      <c r="D289" s="148" t="s">
        <v>193</v>
      </c>
      <c r="E289" s="154">
        <v>1</v>
      </c>
      <c r="F289" s="144" t="str">
        <f>IF(AND(ISNA(VLOOKUP(D289,A:A,1,FALSE())),ISNA(VLOOKUP(D289,BaseType!A:A,1,FALSE())),D289&lt;&gt;"Struct"),"N","Y")</f>
        <v>Y</v>
      </c>
      <c r="G289" s="146"/>
      <c r="H289" s="139"/>
      <c r="I289" s="139"/>
      <c r="J289" s="139"/>
      <c r="K289" s="139"/>
      <c r="L289" s="143"/>
      <c r="M289" s="143"/>
      <c r="N289" s="140"/>
      <c r="O289" s="140"/>
      <c r="P289" s="140"/>
      <c r="Q289" s="140"/>
      <c r="R289" s="140"/>
      <c r="S289" s="140"/>
      <c r="T289" s="140"/>
    </row>
    <row r="290" spans="1:20" ht="15" customHeight="1" x14ac:dyDescent="0.2">
      <c r="A290" s="143"/>
      <c r="B290" s="143"/>
      <c r="C290" s="91" t="s">
        <v>957</v>
      </c>
      <c r="D290" s="148" t="s">
        <v>193</v>
      </c>
      <c r="E290" s="154">
        <v>1</v>
      </c>
      <c r="F290" s="144" t="str">
        <f>IF(AND(ISNA(VLOOKUP(D290,A:A,1,FALSE())),ISNA(VLOOKUP(D290,BaseType!A:A,1,FALSE())),D290&lt;&gt;"Struct"),"N","Y")</f>
        <v>Y</v>
      </c>
      <c r="G290" s="146"/>
      <c r="H290" s="139"/>
      <c r="I290" s="139"/>
      <c r="J290" s="139"/>
      <c r="K290" s="139"/>
      <c r="L290" s="143"/>
      <c r="M290" s="143"/>
      <c r="N290" s="140"/>
      <c r="O290" s="140"/>
      <c r="P290" s="140"/>
      <c r="Q290" s="140"/>
      <c r="R290" s="140"/>
      <c r="S290" s="140"/>
      <c r="T290" s="140"/>
    </row>
    <row r="291" spans="1:20" ht="15" customHeight="1" x14ac:dyDescent="0.2">
      <c r="A291" s="143"/>
      <c r="B291" s="143"/>
      <c r="C291" s="91" t="s">
        <v>958</v>
      </c>
      <c r="D291" s="148" t="s">
        <v>193</v>
      </c>
      <c r="E291" s="154">
        <v>1</v>
      </c>
      <c r="F291" s="144" t="str">
        <f>IF(AND(ISNA(VLOOKUP(D291,A:A,1,FALSE())),ISNA(VLOOKUP(D291,BaseType!A:A,1,FALSE())),D291&lt;&gt;"Struct"),"N","Y")</f>
        <v>Y</v>
      </c>
      <c r="G291" s="146"/>
      <c r="H291" s="139"/>
      <c r="I291" s="139"/>
      <c r="J291" s="139"/>
      <c r="K291" s="139"/>
      <c r="L291" s="143"/>
      <c r="M291" s="143"/>
      <c r="N291" s="140"/>
      <c r="O291" s="140"/>
      <c r="P291" s="140"/>
      <c r="Q291" s="140"/>
      <c r="R291" s="140"/>
      <c r="S291" s="140"/>
      <c r="T291" s="140"/>
    </row>
    <row r="292" spans="1:20" ht="15" customHeight="1" x14ac:dyDescent="0.2">
      <c r="A292" s="143"/>
      <c r="B292" s="143"/>
      <c r="C292" s="91" t="s">
        <v>959</v>
      </c>
      <c r="D292" s="148" t="s">
        <v>193</v>
      </c>
      <c r="E292" s="154">
        <v>1</v>
      </c>
      <c r="F292" s="144" t="str">
        <f>IF(AND(ISNA(VLOOKUP(D292,A:A,1,FALSE())),ISNA(VLOOKUP(D292,BaseType!A:A,1,FALSE())),D292&lt;&gt;"Struct"),"N","Y")</f>
        <v>Y</v>
      </c>
      <c r="G292" s="146"/>
      <c r="H292" s="139"/>
      <c r="I292" s="139"/>
      <c r="J292" s="139"/>
      <c r="K292" s="139"/>
      <c r="L292" s="143"/>
      <c r="M292" s="143"/>
      <c r="N292" s="140"/>
      <c r="O292" s="140"/>
      <c r="P292" s="140"/>
      <c r="Q292" s="140"/>
      <c r="R292" s="140"/>
      <c r="S292" s="140"/>
      <c r="T292" s="140"/>
    </row>
    <row r="293" spans="1:20" ht="15" customHeight="1" x14ac:dyDescent="0.2">
      <c r="A293" s="143"/>
      <c r="B293" s="143"/>
      <c r="C293" s="91" t="s">
        <v>960</v>
      </c>
      <c r="D293" s="148" t="s">
        <v>193</v>
      </c>
      <c r="E293" s="154">
        <v>1</v>
      </c>
      <c r="F293" s="144" t="str">
        <f>IF(AND(ISNA(VLOOKUP(D293,A:A,1,FALSE())),ISNA(VLOOKUP(D293,BaseType!A:A,1,FALSE())),D293&lt;&gt;"Struct"),"N","Y")</f>
        <v>Y</v>
      </c>
      <c r="G293" s="146"/>
      <c r="H293" s="139"/>
      <c r="I293" s="139"/>
      <c r="J293" s="139"/>
      <c r="K293" s="139"/>
      <c r="L293" s="143"/>
      <c r="M293" s="143"/>
      <c r="N293" s="140"/>
      <c r="O293" s="140"/>
      <c r="P293" s="140"/>
      <c r="Q293" s="140"/>
      <c r="R293" s="140"/>
      <c r="S293" s="140"/>
      <c r="T293" s="140"/>
    </row>
    <row r="294" spans="1:20" ht="15" customHeight="1" x14ac:dyDescent="0.2">
      <c r="A294" s="143"/>
      <c r="B294" s="143" t="str">
        <f>IF(ISBLANK(A294),"",IF(AND(ISNA(VLOOKUP(A294,Interface_Platform!E:E,1,FALSE())),ISNA(VLOOKUP(A294,D:D,1,FALSE()))),"N","Y"))</f>
        <v/>
      </c>
      <c r="C294" s="91" t="s">
        <v>961</v>
      </c>
      <c r="D294" s="148" t="s">
        <v>193</v>
      </c>
      <c r="E294" s="154">
        <v>1</v>
      </c>
      <c r="F294" s="144" t="str">
        <f>IF(AND(ISNA(VLOOKUP(D294,A:A,1,FALSE())),ISNA(VLOOKUP(D294,BaseType!A:A,1,FALSE())),D294&lt;&gt;"Struct"),"N","Y")</f>
        <v>Y</v>
      </c>
      <c r="G294" s="146"/>
      <c r="H294" s="139"/>
      <c r="I294" s="139"/>
      <c r="J294" s="139"/>
      <c r="K294" s="139"/>
      <c r="L294" s="143"/>
      <c r="M294" s="143"/>
      <c r="N294" s="140"/>
      <c r="O294" s="140"/>
      <c r="P294" s="140"/>
      <c r="Q294" s="140"/>
      <c r="R294" s="140"/>
      <c r="S294" s="140"/>
      <c r="T294" s="140"/>
    </row>
    <row r="295" spans="1:20" ht="15" customHeight="1" x14ac:dyDescent="0.2">
      <c r="A295" s="143"/>
      <c r="B295" s="143"/>
      <c r="C295" s="91" t="s">
        <v>962</v>
      </c>
      <c r="D295" s="148" t="s">
        <v>193</v>
      </c>
      <c r="E295" s="154">
        <v>1</v>
      </c>
      <c r="F295" s="144" t="str">
        <f>IF(AND(ISNA(VLOOKUP(D295,A:A,1,FALSE())),ISNA(VLOOKUP(D295,BaseType!A:A,1,FALSE())),D295&lt;&gt;"Struct"),"N","Y")</f>
        <v>Y</v>
      </c>
      <c r="G295" s="146"/>
      <c r="H295" s="139"/>
      <c r="I295" s="139"/>
      <c r="J295" s="139"/>
      <c r="K295" s="139"/>
      <c r="L295" s="143"/>
      <c r="M295" s="143"/>
      <c r="N295" s="140"/>
      <c r="O295" s="140"/>
      <c r="P295" s="140"/>
      <c r="Q295" s="140"/>
      <c r="R295" s="140"/>
      <c r="S295" s="140"/>
      <c r="T295" s="140"/>
    </row>
    <row r="296" spans="1:20" ht="15" customHeight="1" x14ac:dyDescent="0.2">
      <c r="A296" s="143"/>
      <c r="B296" s="143"/>
      <c r="C296" s="91" t="s">
        <v>963</v>
      </c>
      <c r="D296" s="148" t="s">
        <v>193</v>
      </c>
      <c r="E296" s="154">
        <v>1</v>
      </c>
      <c r="F296" s="144" t="str">
        <f>IF(AND(ISNA(VLOOKUP(D296,A:A,1,FALSE())),ISNA(VLOOKUP(D296,BaseType!A:A,1,FALSE())),D296&lt;&gt;"Struct"),"N","Y")</f>
        <v>Y</v>
      </c>
      <c r="G296" s="146"/>
      <c r="H296" s="139"/>
      <c r="I296" s="139"/>
      <c r="J296" s="139"/>
      <c r="K296" s="139"/>
      <c r="L296" s="143"/>
      <c r="M296" s="143"/>
      <c r="N296" s="140"/>
      <c r="O296" s="140"/>
      <c r="P296" s="140"/>
      <c r="Q296" s="140"/>
      <c r="R296" s="140"/>
      <c r="S296" s="140"/>
      <c r="T296" s="140"/>
    </row>
    <row r="297" spans="1:20" ht="15" customHeight="1" x14ac:dyDescent="0.2">
      <c r="A297" s="143"/>
      <c r="B297" s="143"/>
      <c r="C297" s="91" t="s">
        <v>964</v>
      </c>
      <c r="D297" s="148" t="s">
        <v>193</v>
      </c>
      <c r="E297" s="154">
        <v>1</v>
      </c>
      <c r="F297" s="144" t="str">
        <f>IF(AND(ISNA(VLOOKUP(D297,A:A,1,FALSE())),ISNA(VLOOKUP(D297,BaseType!A:A,1,FALSE())),D297&lt;&gt;"Struct"),"N","Y")</f>
        <v>Y</v>
      </c>
      <c r="G297" s="146"/>
      <c r="H297" s="139"/>
      <c r="I297" s="139"/>
      <c r="J297" s="139"/>
      <c r="K297" s="139"/>
      <c r="L297" s="143"/>
      <c r="M297" s="143"/>
      <c r="N297" s="140"/>
      <c r="O297" s="140"/>
      <c r="P297" s="140"/>
      <c r="Q297" s="140"/>
      <c r="R297" s="140"/>
      <c r="S297" s="140"/>
      <c r="T297" s="140"/>
    </row>
    <row r="298" spans="1:20" ht="15" customHeight="1" x14ac:dyDescent="0.2">
      <c r="A298" s="143"/>
      <c r="B298" s="143"/>
      <c r="C298" s="91" t="s">
        <v>965</v>
      </c>
      <c r="D298" s="148" t="s">
        <v>193</v>
      </c>
      <c r="E298" s="154">
        <v>1</v>
      </c>
      <c r="F298" s="144" t="str">
        <f>IF(AND(ISNA(VLOOKUP(D298,A:A,1,FALSE())),ISNA(VLOOKUP(D298,BaseType!A:A,1,FALSE())),D298&lt;&gt;"Struct"),"N","Y")</f>
        <v>Y</v>
      </c>
      <c r="G298" s="146"/>
      <c r="H298" s="139"/>
      <c r="I298" s="139"/>
      <c r="J298" s="139"/>
      <c r="K298" s="139"/>
      <c r="L298" s="143"/>
      <c r="M298" s="143"/>
      <c r="N298" s="140"/>
      <c r="O298" s="140"/>
      <c r="P298" s="140"/>
      <c r="Q298" s="140"/>
      <c r="R298" s="140"/>
      <c r="S298" s="140"/>
      <c r="T298" s="140"/>
    </row>
    <row r="299" spans="1:20" ht="15" customHeight="1" x14ac:dyDescent="0.2">
      <c r="A299" s="143"/>
      <c r="B299" s="143"/>
      <c r="C299" s="91" t="s">
        <v>966</v>
      </c>
      <c r="D299" s="148" t="s">
        <v>193</v>
      </c>
      <c r="E299" s="154">
        <v>1</v>
      </c>
      <c r="F299" s="144" t="str">
        <f>IF(AND(ISNA(VLOOKUP(D299,A:A,1,FALSE())),ISNA(VLOOKUP(D299,BaseType!A:A,1,FALSE())),D299&lt;&gt;"Struct"),"N","Y")</f>
        <v>Y</v>
      </c>
      <c r="G299" s="146"/>
      <c r="H299" s="139"/>
      <c r="I299" s="139"/>
      <c r="J299" s="139"/>
      <c r="K299" s="139"/>
      <c r="L299" s="143"/>
      <c r="M299" s="143"/>
      <c r="N299" s="140"/>
      <c r="O299" s="140"/>
      <c r="P299" s="140"/>
      <c r="Q299" s="140"/>
      <c r="R299" s="140"/>
      <c r="S299" s="140"/>
      <c r="T299" s="140"/>
    </row>
    <row r="300" spans="1:20" ht="15" customHeight="1" x14ac:dyDescent="0.2">
      <c r="A300" s="143"/>
      <c r="B300" s="143"/>
      <c r="C300" s="91" t="s">
        <v>967</v>
      </c>
      <c r="D300" s="148" t="s">
        <v>193</v>
      </c>
      <c r="E300" s="154">
        <v>1</v>
      </c>
      <c r="F300" s="144" t="str">
        <f>IF(AND(ISNA(VLOOKUP(D300,A:A,1,FALSE())),ISNA(VLOOKUP(D300,BaseType!A:A,1,FALSE())),D300&lt;&gt;"Struct"),"N","Y")</f>
        <v>Y</v>
      </c>
      <c r="G300" s="146"/>
      <c r="H300" s="139"/>
      <c r="I300" s="139"/>
      <c r="J300" s="139"/>
      <c r="K300" s="139"/>
      <c r="L300" s="143"/>
      <c r="M300" s="143"/>
      <c r="N300" s="140"/>
      <c r="O300" s="140"/>
      <c r="P300" s="140"/>
      <c r="Q300" s="140"/>
      <c r="R300" s="140"/>
      <c r="S300" s="140"/>
      <c r="T300" s="140"/>
    </row>
    <row r="301" spans="1:20" ht="15" customHeight="1" x14ac:dyDescent="0.2">
      <c r="A301" s="143"/>
      <c r="B301" s="143"/>
      <c r="C301" s="91" t="s">
        <v>968</v>
      </c>
      <c r="D301" s="148" t="s">
        <v>193</v>
      </c>
      <c r="E301" s="154">
        <v>1</v>
      </c>
      <c r="F301" s="144" t="str">
        <f>IF(AND(ISNA(VLOOKUP(D301,A:A,1,FALSE())),ISNA(VLOOKUP(D301,BaseType!A:A,1,FALSE())),D301&lt;&gt;"Struct"),"N","Y")</f>
        <v>Y</v>
      </c>
      <c r="G301" s="146"/>
      <c r="H301" s="139"/>
      <c r="I301" s="139"/>
      <c r="J301" s="139"/>
      <c r="K301" s="139"/>
      <c r="L301" s="143"/>
      <c r="M301" s="143"/>
      <c r="N301" s="140"/>
      <c r="O301" s="140"/>
      <c r="P301" s="140"/>
      <c r="Q301" s="140"/>
      <c r="R301" s="140"/>
      <c r="S301" s="140"/>
      <c r="T301" s="140"/>
    </row>
    <row r="302" spans="1:20" ht="15" customHeight="1" x14ac:dyDescent="0.2">
      <c r="A302" s="143"/>
      <c r="B302" s="143"/>
      <c r="C302" s="91" t="s">
        <v>969</v>
      </c>
      <c r="D302" s="148" t="s">
        <v>193</v>
      </c>
      <c r="E302" s="154">
        <v>1</v>
      </c>
      <c r="F302" s="144" t="str">
        <f>IF(AND(ISNA(VLOOKUP(D302,A:A,1,FALSE())),ISNA(VLOOKUP(D302,BaseType!A:A,1,FALSE())),D302&lt;&gt;"Struct"),"N","Y")</f>
        <v>Y</v>
      </c>
      <c r="G302" s="146"/>
      <c r="H302" s="139"/>
      <c r="I302" s="139"/>
      <c r="J302" s="139"/>
      <c r="K302" s="139"/>
      <c r="L302" s="143"/>
      <c r="M302" s="143"/>
      <c r="N302" s="140"/>
      <c r="O302" s="140"/>
      <c r="P302" s="140"/>
      <c r="Q302" s="140"/>
      <c r="R302" s="140"/>
      <c r="S302" s="140"/>
      <c r="T302" s="140"/>
    </row>
    <row r="303" spans="1:20" ht="15" customHeight="1" x14ac:dyDescent="0.2">
      <c r="A303" s="143"/>
      <c r="B303" s="143"/>
      <c r="C303" s="91" t="s">
        <v>970</v>
      </c>
      <c r="D303" s="148" t="s">
        <v>193</v>
      </c>
      <c r="E303" s="154">
        <v>1</v>
      </c>
      <c r="F303" s="144" t="str">
        <f>IF(AND(ISNA(VLOOKUP(D303,A:A,1,FALSE())),ISNA(VLOOKUP(D303,BaseType!A:A,1,FALSE())),D303&lt;&gt;"Struct"),"N","Y")</f>
        <v>Y</v>
      </c>
      <c r="G303" s="146"/>
      <c r="H303" s="139"/>
      <c r="I303" s="139"/>
      <c r="J303" s="139"/>
      <c r="K303" s="139"/>
      <c r="L303" s="143"/>
      <c r="M303" s="143"/>
      <c r="N303" s="140"/>
      <c r="O303" s="140"/>
      <c r="P303" s="140"/>
      <c r="Q303" s="140"/>
      <c r="R303" s="140"/>
      <c r="S303" s="140"/>
      <c r="T303" s="140"/>
    </row>
    <row r="304" spans="1:20" ht="15" customHeight="1" x14ac:dyDescent="0.2">
      <c r="A304" s="143"/>
      <c r="B304" s="143"/>
      <c r="C304" s="91" t="s">
        <v>971</v>
      </c>
      <c r="D304" s="148" t="s">
        <v>193</v>
      </c>
      <c r="E304" s="154">
        <v>1</v>
      </c>
      <c r="F304" s="144" t="str">
        <f>IF(AND(ISNA(VLOOKUP(D304,A:A,1,FALSE())),ISNA(VLOOKUP(D304,BaseType!A:A,1,FALSE())),D304&lt;&gt;"Struct"),"N","Y")</f>
        <v>Y</v>
      </c>
      <c r="G304" s="146"/>
      <c r="H304" s="139"/>
      <c r="I304" s="139"/>
      <c r="J304" s="139"/>
      <c r="K304" s="139"/>
      <c r="L304" s="143"/>
      <c r="M304" s="143"/>
      <c r="N304" s="140"/>
      <c r="O304" s="140"/>
      <c r="P304" s="140"/>
      <c r="Q304" s="140"/>
      <c r="R304" s="140"/>
      <c r="S304" s="140"/>
      <c r="T304" s="140"/>
    </row>
    <row r="305" spans="1:20" ht="15" customHeight="1" x14ac:dyDescent="0.2">
      <c r="A305" s="143"/>
      <c r="B305" s="143"/>
      <c r="C305" s="91" t="s">
        <v>972</v>
      </c>
      <c r="D305" s="148" t="s">
        <v>193</v>
      </c>
      <c r="E305" s="154">
        <v>1</v>
      </c>
      <c r="F305" s="144" t="str">
        <f>IF(AND(ISNA(VLOOKUP(D305,A:A,1,FALSE())),ISNA(VLOOKUP(D305,BaseType!A:A,1,FALSE())),D305&lt;&gt;"Struct"),"N","Y")</f>
        <v>Y</v>
      </c>
      <c r="G305" s="146"/>
      <c r="H305" s="139"/>
      <c r="I305" s="139"/>
      <c r="J305" s="139"/>
      <c r="K305" s="139"/>
      <c r="L305" s="143"/>
      <c r="M305" s="143"/>
      <c r="N305" s="140"/>
      <c r="O305" s="140"/>
      <c r="P305" s="140"/>
      <c r="Q305" s="140"/>
      <c r="R305" s="140"/>
      <c r="S305" s="140"/>
      <c r="T305" s="140"/>
    </row>
    <row r="306" spans="1:20" ht="15" customHeight="1" x14ac:dyDescent="0.2">
      <c r="A306" s="143"/>
      <c r="B306" s="143"/>
      <c r="C306" s="91" t="s">
        <v>963</v>
      </c>
      <c r="D306" s="148" t="s">
        <v>193</v>
      </c>
      <c r="E306" s="154">
        <v>1</v>
      </c>
      <c r="F306" s="144" t="str">
        <f>IF(AND(ISNA(VLOOKUP(D306,A:A,1,FALSE())),ISNA(VLOOKUP(D306,BaseType!A:A,1,FALSE())),D306&lt;&gt;"Struct"),"N","Y")</f>
        <v>Y</v>
      </c>
      <c r="G306" s="146"/>
      <c r="H306" s="139"/>
      <c r="I306" s="139"/>
      <c r="J306" s="139"/>
      <c r="K306" s="139"/>
      <c r="L306" s="143"/>
      <c r="M306" s="143"/>
      <c r="N306" s="140"/>
      <c r="O306" s="140"/>
      <c r="P306" s="140"/>
      <c r="Q306" s="140"/>
      <c r="R306" s="140"/>
      <c r="S306" s="140"/>
      <c r="T306" s="140"/>
    </row>
    <row r="307" spans="1:20" ht="15" customHeight="1" x14ac:dyDescent="0.2">
      <c r="A307" s="143" t="s">
        <v>343</v>
      </c>
      <c r="B307" s="143" t="str">
        <f>IF(ISBLANK(A307),"",IF(AND(ISNA(VLOOKUP(A307,Interface_Platform!E:E,1,FALSE())),ISNA(VLOOKUP(A307,D:D,1,FALSE()))),"N","Y"))</f>
        <v>Y</v>
      </c>
      <c r="C307" s="75"/>
      <c r="D307" s="143" t="s">
        <v>484</v>
      </c>
      <c r="E307" s="154"/>
      <c r="F307" s="144" t="str">
        <f>IF(AND(ISNA(VLOOKUP(D307,A:A,1,FALSE())),ISNA(VLOOKUP(D307,BaseType!A:A,1,FALSE())),D307&lt;&gt;"Struct"),"N","Y")</f>
        <v>Y</v>
      </c>
      <c r="G307" s="146"/>
      <c r="H307" s="139">
        <v>0</v>
      </c>
      <c r="I307" s="139">
        <v>0</v>
      </c>
      <c r="J307" s="139">
        <v>0</v>
      </c>
      <c r="K307" s="139">
        <v>0</v>
      </c>
      <c r="L307" s="143">
        <v>0</v>
      </c>
      <c r="M307" s="143">
        <v>0</v>
      </c>
      <c r="N307" s="140"/>
      <c r="O307" s="140"/>
      <c r="P307" s="140"/>
      <c r="Q307" s="140"/>
      <c r="R307" s="140"/>
      <c r="S307" s="140"/>
      <c r="T307" s="140"/>
    </row>
    <row r="308" spans="1:20" ht="15" customHeight="1" x14ac:dyDescent="0.2">
      <c r="A308" s="141"/>
      <c r="B308" s="143" t="str">
        <f>IF(ISBLANK(A308),"",IF(AND(ISNA(VLOOKUP(A308,Interface_Platform!E:E,1,FALSE())),ISNA(VLOOKUP(A308,D:D,1,FALSE()))),"N","Y"))</f>
        <v/>
      </c>
      <c r="C308" s="143" t="s">
        <v>973</v>
      </c>
      <c r="D308" s="143" t="s">
        <v>298</v>
      </c>
      <c r="E308" s="142">
        <v>1</v>
      </c>
      <c r="F308" s="144" t="str">
        <f>IF(AND(ISNA(VLOOKUP(D308,A:A,1,FALSE())),ISNA(VLOOKUP(D308,BaseType!A:A,1,FALSE())),D308&lt;&gt;"Struct"),"N","Y")</f>
        <v>Y</v>
      </c>
      <c r="G308" s="146" t="s">
        <v>974</v>
      </c>
      <c r="H308" s="139">
        <v>0</v>
      </c>
      <c r="I308" s="139">
        <v>0</v>
      </c>
      <c r="J308" s="139">
        <v>0</v>
      </c>
      <c r="K308" s="139">
        <v>0</v>
      </c>
      <c r="L308" s="143">
        <v>0</v>
      </c>
      <c r="M308" s="143">
        <v>0</v>
      </c>
      <c r="N308" s="140"/>
      <c r="O308" s="140"/>
      <c r="P308" s="140"/>
      <c r="Q308" s="140"/>
      <c r="R308" s="140"/>
      <c r="S308" s="140"/>
      <c r="T308" s="140"/>
    </row>
    <row r="309" spans="1:20" ht="15" customHeight="1" x14ac:dyDescent="0.2">
      <c r="A309" s="141"/>
      <c r="B309" s="143" t="str">
        <f>IF(ISBLANK(A309),"",IF(AND(ISNA(VLOOKUP(A309,Interface_Platform!E:E,1,FALSE())),ISNA(VLOOKUP(A309,D:D,1,FALSE()))),"N","Y"))</f>
        <v/>
      </c>
      <c r="C309" s="143" t="s">
        <v>975</v>
      </c>
      <c r="D309" s="143" t="s">
        <v>225</v>
      </c>
      <c r="E309" s="142">
        <v>1</v>
      </c>
      <c r="F309" s="144" t="str">
        <f>IF(AND(ISNA(VLOOKUP(D309,A:A,1,FALSE())),ISNA(VLOOKUP(D309,BaseType!A:A,1,FALSE())),D309&lt;&gt;"Struct"),"N","Y")</f>
        <v>Y</v>
      </c>
      <c r="G309" s="146" t="s">
        <v>976</v>
      </c>
      <c r="H309" s="139">
        <v>0</v>
      </c>
      <c r="I309" s="139">
        <v>0</v>
      </c>
      <c r="J309" s="139">
        <v>0</v>
      </c>
      <c r="K309" s="139">
        <v>0</v>
      </c>
      <c r="L309" s="143">
        <v>0</v>
      </c>
      <c r="M309" s="143">
        <v>0</v>
      </c>
      <c r="N309" s="140"/>
      <c r="O309" s="140"/>
      <c r="P309" s="140"/>
      <c r="Q309" s="140"/>
      <c r="R309" s="140"/>
      <c r="S309" s="140"/>
      <c r="T309" s="140"/>
    </row>
    <row r="310" spans="1:20" ht="15" customHeight="1" x14ac:dyDescent="0.2">
      <c r="A310" s="141"/>
      <c r="B310" s="143"/>
      <c r="C310" s="143" t="s">
        <v>977</v>
      </c>
      <c r="D310" s="143" t="s">
        <v>225</v>
      </c>
      <c r="E310" s="142">
        <v>1</v>
      </c>
      <c r="F310" s="144" t="str">
        <f>IF(AND(ISNA(VLOOKUP(D310,A:A,1,FALSE())),ISNA(VLOOKUP(D310,BaseType!A:A,1,FALSE())),D310&lt;&gt;"Struct"),"N","Y")</f>
        <v>Y</v>
      </c>
      <c r="G310" s="146" t="s">
        <v>978</v>
      </c>
      <c r="H310" s="139"/>
      <c r="I310" s="139"/>
      <c r="J310" s="139"/>
      <c r="K310" s="139"/>
      <c r="L310" s="143"/>
      <c r="M310" s="143"/>
      <c r="N310" s="140"/>
      <c r="O310" s="140"/>
      <c r="P310" s="140"/>
      <c r="Q310" s="140"/>
      <c r="R310" s="140"/>
      <c r="S310" s="140"/>
      <c r="T310" s="140"/>
    </row>
    <row r="311" spans="1:20" ht="15" customHeight="1" x14ac:dyDescent="0.2">
      <c r="A311" s="141"/>
      <c r="B311" s="143" t="str">
        <f>IF(ISBLANK(A311),"",IF(AND(ISNA(VLOOKUP(A311,Interface_Platform!E:E,1,FALSE())),ISNA(VLOOKUP(A311,D:D,1,FALSE()))),"N","Y"))</f>
        <v/>
      </c>
      <c r="C311" s="143" t="s">
        <v>979</v>
      </c>
      <c r="D311" s="143" t="s">
        <v>225</v>
      </c>
      <c r="E311" s="142">
        <v>1</v>
      </c>
      <c r="F311" s="144" t="str">
        <f>IF(AND(ISNA(VLOOKUP(D311,A:A,1,FALSE())),ISNA(VLOOKUP(D311,BaseType!A:A,1,FALSE())),D311&lt;&gt;"Struct"),"N","Y")</f>
        <v>Y</v>
      </c>
      <c r="G311" s="146" t="s">
        <v>980</v>
      </c>
      <c r="H311" s="139">
        <v>0</v>
      </c>
      <c r="I311" s="139">
        <v>0</v>
      </c>
      <c r="J311" s="139">
        <v>0</v>
      </c>
      <c r="K311" s="139">
        <v>0</v>
      </c>
      <c r="L311" s="143">
        <v>0</v>
      </c>
      <c r="M311" s="143">
        <v>0</v>
      </c>
      <c r="N311" s="140"/>
      <c r="O311" s="140"/>
      <c r="P311" s="140"/>
      <c r="Q311" s="140"/>
      <c r="R311" s="140"/>
      <c r="S311" s="140"/>
      <c r="T311" s="140"/>
    </row>
    <row r="312" spans="1:20" ht="15" customHeight="1" x14ac:dyDescent="0.2">
      <c r="A312" s="141"/>
      <c r="B312" s="143"/>
      <c r="C312" s="143" t="s">
        <v>981</v>
      </c>
      <c r="D312" s="143" t="s">
        <v>225</v>
      </c>
      <c r="E312" s="142">
        <v>1</v>
      </c>
      <c r="F312" s="144" t="str">
        <f>IF(AND(ISNA(VLOOKUP(D312,A:A,1,FALSE())),ISNA(VLOOKUP(D312,BaseType!A:A,1,FALSE())),D312&lt;&gt;"Struct"),"N","Y")</f>
        <v>Y</v>
      </c>
      <c r="G312" s="146" t="s">
        <v>982</v>
      </c>
      <c r="H312" s="139"/>
      <c r="I312" s="139"/>
      <c r="J312" s="139"/>
      <c r="K312" s="139"/>
      <c r="L312" s="143"/>
      <c r="M312" s="143"/>
      <c r="N312" s="140"/>
      <c r="O312" s="140"/>
      <c r="P312" s="140"/>
      <c r="Q312" s="140"/>
      <c r="R312" s="140"/>
      <c r="S312" s="140"/>
      <c r="T312" s="140"/>
    </row>
    <row r="313" spans="1:20" ht="15" customHeight="1" x14ac:dyDescent="0.2">
      <c r="A313" s="141"/>
      <c r="B313" s="143" t="str">
        <f>IF(ISBLANK(A313),"",IF(AND(ISNA(VLOOKUP(A313,Interface_Platform!E:E,1,FALSE())),ISNA(VLOOKUP(A313,D:D,1,FALSE()))),"N","Y"))</f>
        <v/>
      </c>
      <c r="C313" s="143" t="s">
        <v>983</v>
      </c>
      <c r="D313" s="143" t="s">
        <v>225</v>
      </c>
      <c r="E313" s="142">
        <v>1</v>
      </c>
      <c r="F313" s="144" t="str">
        <f>IF(AND(ISNA(VLOOKUP(D313,A:A,1,FALSE())),ISNA(VLOOKUP(D313,BaseType!A:A,1,FALSE())),D313&lt;&gt;"Struct"),"N","Y")</f>
        <v>Y</v>
      </c>
      <c r="G313" s="147" t="s">
        <v>984</v>
      </c>
      <c r="H313" s="139">
        <v>0</v>
      </c>
      <c r="I313" s="139">
        <v>0</v>
      </c>
      <c r="J313" s="139">
        <v>0</v>
      </c>
      <c r="K313" s="139">
        <v>0</v>
      </c>
      <c r="L313" s="143">
        <v>0</v>
      </c>
      <c r="M313" s="143">
        <v>0</v>
      </c>
      <c r="N313" s="140"/>
      <c r="O313" s="140"/>
      <c r="P313" s="140"/>
      <c r="Q313" s="140"/>
      <c r="R313" s="140"/>
      <c r="S313" s="140"/>
      <c r="T313" s="140"/>
    </row>
    <row r="314" spans="1:20" ht="15" customHeight="1" x14ac:dyDescent="0.2">
      <c r="A314" s="141"/>
      <c r="B314" s="143"/>
      <c r="C314" s="143" t="s">
        <v>985</v>
      </c>
      <c r="D314" s="143" t="s">
        <v>225</v>
      </c>
      <c r="E314" s="142">
        <v>1</v>
      </c>
      <c r="F314" s="144" t="str">
        <f>IF(AND(ISNA(VLOOKUP(D314,A:A,1,FALSE())),ISNA(VLOOKUP(D314,BaseType!A:A,1,FALSE())),D314&lt;&gt;"Struct"),"N","Y")</f>
        <v>Y</v>
      </c>
      <c r="G314" s="146" t="s">
        <v>986</v>
      </c>
      <c r="H314" s="139"/>
      <c r="I314" s="139"/>
      <c r="J314" s="139"/>
      <c r="K314" s="139"/>
      <c r="L314" s="143"/>
      <c r="M314" s="143"/>
      <c r="N314" s="140"/>
      <c r="O314" s="140"/>
      <c r="P314" s="140"/>
      <c r="Q314" s="140"/>
      <c r="R314" s="140"/>
      <c r="S314" s="140"/>
      <c r="T314" s="140"/>
    </row>
    <row r="315" spans="1:20" ht="15" customHeight="1" x14ac:dyDescent="0.2">
      <c r="A315" s="141"/>
      <c r="B315" s="143"/>
      <c r="C315" s="143" t="s">
        <v>987</v>
      </c>
      <c r="D315" s="143" t="s">
        <v>225</v>
      </c>
      <c r="E315" s="142">
        <v>1</v>
      </c>
      <c r="F315" s="144" t="str">
        <f>IF(AND(ISNA(VLOOKUP(D315,A:A,1,FALSE())),ISNA(VLOOKUP(D315,BaseType!A:A,1,FALSE())),D315&lt;&gt;"Struct"),"N","Y")</f>
        <v>Y</v>
      </c>
      <c r="G315" s="146" t="s">
        <v>988</v>
      </c>
      <c r="H315" s="139"/>
      <c r="I315" s="139"/>
      <c r="J315" s="139"/>
      <c r="K315" s="139"/>
      <c r="L315" s="143"/>
      <c r="M315" s="143"/>
      <c r="N315" s="140"/>
      <c r="O315" s="140"/>
      <c r="P315" s="140"/>
      <c r="Q315" s="140"/>
      <c r="R315" s="140"/>
      <c r="S315" s="140"/>
      <c r="T315" s="140"/>
    </row>
    <row r="316" spans="1:20" ht="15" customHeight="1" x14ac:dyDescent="0.2">
      <c r="A316" s="141"/>
      <c r="B316" s="143"/>
      <c r="C316" s="143" t="s">
        <v>989</v>
      </c>
      <c r="D316" s="143" t="s">
        <v>225</v>
      </c>
      <c r="E316" s="142">
        <v>1</v>
      </c>
      <c r="F316" s="144" t="str">
        <f>IF(AND(ISNA(VLOOKUP(D316,A:A,1,FALSE())),ISNA(VLOOKUP(D316,BaseType!A:A,1,FALSE())),D316&lt;&gt;"Struct"),"N","Y")</f>
        <v>Y</v>
      </c>
      <c r="G316" s="146" t="s">
        <v>990</v>
      </c>
      <c r="H316" s="139"/>
      <c r="I316" s="139"/>
      <c r="J316" s="139"/>
      <c r="K316" s="139"/>
      <c r="L316" s="143"/>
      <c r="M316" s="143"/>
      <c r="N316" s="140"/>
      <c r="O316" s="140"/>
      <c r="P316" s="140"/>
      <c r="Q316" s="140"/>
      <c r="R316" s="140"/>
      <c r="S316" s="140"/>
      <c r="T316" s="140"/>
    </row>
    <row r="317" spans="1:20" ht="15" customHeight="1" x14ac:dyDescent="0.2">
      <c r="A317" s="141"/>
      <c r="B317" s="143" t="str">
        <f>IF(ISBLANK(A317),"",IF(AND(ISNA(VLOOKUP(A317,Interface_Platform!E:E,1,FALSE())),ISNA(VLOOKUP(A317,D:D,1,FALSE()))),"N","Y"))</f>
        <v/>
      </c>
      <c r="C317" s="143" t="s">
        <v>991</v>
      </c>
      <c r="D317" s="143" t="s">
        <v>225</v>
      </c>
      <c r="E317" s="142">
        <v>1</v>
      </c>
      <c r="F317" s="144" t="str">
        <f>IF(AND(ISNA(VLOOKUP(D317,A:A,1,FALSE())),ISNA(VLOOKUP(D317,BaseType!A:A,1,FALSE())),D317&lt;&gt;"Struct"),"N","Y")</f>
        <v>Y</v>
      </c>
      <c r="G317" s="146" t="s">
        <v>992</v>
      </c>
      <c r="H317" s="139">
        <v>0</v>
      </c>
      <c r="I317" s="139">
        <v>0</v>
      </c>
      <c r="J317" s="139">
        <v>0</v>
      </c>
      <c r="K317" s="139">
        <v>0</v>
      </c>
      <c r="L317" s="143">
        <v>0</v>
      </c>
      <c r="M317" s="143">
        <v>0</v>
      </c>
      <c r="N317" s="140"/>
      <c r="O317" s="140"/>
      <c r="P317" s="140"/>
      <c r="Q317" s="140"/>
      <c r="R317" s="140"/>
      <c r="S317" s="140"/>
      <c r="T317" s="140"/>
    </row>
    <row r="318" spans="1:20" ht="15" customHeight="1" x14ac:dyDescent="0.2">
      <c r="A318" s="141"/>
      <c r="B318" s="143" t="str">
        <f>IF(ISBLANK(A318),"",IF(AND(ISNA(VLOOKUP(A318,Interface_Platform!E:E,1,FALSE())),ISNA(VLOOKUP(A318,D:D,1,FALSE()))),"N","Y"))</f>
        <v/>
      </c>
      <c r="C318" s="143" t="s">
        <v>993</v>
      </c>
      <c r="D318" s="143" t="s">
        <v>293</v>
      </c>
      <c r="E318" s="142">
        <v>1</v>
      </c>
      <c r="F318" s="144" t="str">
        <f>IF(AND(ISNA(VLOOKUP(D318,A:A,1,FALSE())),ISNA(VLOOKUP(D318,BaseType!A:A,1,FALSE())),D318&lt;&gt;"Struct"),"N","Y")</f>
        <v>Y</v>
      </c>
      <c r="G318" s="146" t="s">
        <v>994</v>
      </c>
      <c r="H318" s="139">
        <v>0</v>
      </c>
      <c r="I318" s="139">
        <v>0</v>
      </c>
      <c r="J318" s="139">
        <v>0</v>
      </c>
      <c r="K318" s="139">
        <v>0</v>
      </c>
      <c r="L318" s="143">
        <v>0</v>
      </c>
      <c r="M318" s="143">
        <v>0</v>
      </c>
      <c r="N318" s="140"/>
      <c r="O318" s="140"/>
      <c r="P318" s="140"/>
      <c r="Q318" s="140"/>
      <c r="R318" s="140"/>
      <c r="S318" s="140"/>
      <c r="T318" s="140"/>
    </row>
    <row r="319" spans="1:20" ht="15" customHeight="1" x14ac:dyDescent="0.2">
      <c r="A319" s="141"/>
      <c r="B319" s="143" t="str">
        <f>IF(ISBLANK(A319),"",IF(AND(ISNA(VLOOKUP(A319,Interface_Platform!E:E,1,FALSE())),ISNA(VLOOKUP(A319,D:D,1,FALSE()))),"N","Y"))</f>
        <v/>
      </c>
      <c r="C319" s="143" t="s">
        <v>995</v>
      </c>
      <c r="D319" s="143" t="s">
        <v>764</v>
      </c>
      <c r="E319" s="142">
        <v>1</v>
      </c>
      <c r="F319" s="144" t="str">
        <f>IF(AND(ISNA(VLOOKUP(D319,A:A,1,FALSE())),ISNA(VLOOKUP(D319,BaseType!A:A,1,FALSE())),D319&lt;&gt;"Struct"),"N","Y")</f>
        <v>Y</v>
      </c>
      <c r="G319" s="146" t="s">
        <v>996</v>
      </c>
      <c r="H319" s="139">
        <v>0</v>
      </c>
      <c r="I319" s="139">
        <v>0</v>
      </c>
      <c r="J319" s="139">
        <v>0</v>
      </c>
      <c r="K319" s="139">
        <v>0</v>
      </c>
      <c r="L319" s="143">
        <v>0</v>
      </c>
      <c r="M319" s="143">
        <v>0</v>
      </c>
      <c r="N319" s="140"/>
      <c r="O319" s="140"/>
      <c r="P319" s="140"/>
      <c r="Q319" s="140"/>
      <c r="R319" s="140"/>
      <c r="S319" s="140"/>
      <c r="T319" s="140"/>
    </row>
    <row r="320" spans="1:20" ht="15" customHeight="1" x14ac:dyDescent="0.2">
      <c r="A320" s="141"/>
      <c r="B320" s="143" t="str">
        <f>IF(ISBLANK(A320),"",IF(AND(ISNA(VLOOKUP(A320,Interface_Platform!E:E,1,FALSE())),ISNA(VLOOKUP(A320,D:D,1,FALSE()))),"N","Y"))</f>
        <v/>
      </c>
      <c r="C320" s="143" t="s">
        <v>997</v>
      </c>
      <c r="D320" s="143" t="s">
        <v>193</v>
      </c>
      <c r="E320" s="142">
        <v>1</v>
      </c>
      <c r="F320" s="144" t="str">
        <f>IF(AND(ISNA(VLOOKUP(D320,A:A,1,FALSE())),ISNA(VLOOKUP(D320,BaseType!A:A,1,FALSE())),D320&lt;&gt;"Struct"),"N","Y")</f>
        <v>Y</v>
      </c>
      <c r="G320" s="146" t="s">
        <v>998</v>
      </c>
      <c r="H320" s="139">
        <v>0</v>
      </c>
      <c r="I320" s="139">
        <v>0</v>
      </c>
      <c r="J320" s="139">
        <v>0</v>
      </c>
      <c r="K320" s="139">
        <v>0</v>
      </c>
      <c r="L320" s="143">
        <v>0</v>
      </c>
      <c r="M320" s="143">
        <v>0</v>
      </c>
      <c r="N320" s="140"/>
      <c r="O320" s="140"/>
      <c r="P320" s="140"/>
      <c r="Q320" s="140"/>
      <c r="R320" s="140"/>
      <c r="S320" s="140"/>
      <c r="T320" s="140"/>
    </row>
    <row r="321" spans="1:20" ht="15" customHeight="1" x14ac:dyDescent="0.2">
      <c r="A321" s="141"/>
      <c r="B321" s="143" t="str">
        <f>IF(ISBLANK(A321),"",IF(AND(ISNA(VLOOKUP(A321,Interface_Platform!E:E,1,FALSE())),ISNA(VLOOKUP(A321,D:D,1,FALSE()))),"N","Y"))</f>
        <v/>
      </c>
      <c r="C321" s="143" t="s">
        <v>999</v>
      </c>
      <c r="D321" s="143" t="s">
        <v>193</v>
      </c>
      <c r="E321" s="142">
        <v>1</v>
      </c>
      <c r="F321" s="144" t="str">
        <f>IF(AND(ISNA(VLOOKUP(D321,A:A,1,FALSE())),ISNA(VLOOKUP(D321,BaseType!A:A,1,FALSE())),D321&lt;&gt;"Struct"),"N","Y")</f>
        <v>Y</v>
      </c>
      <c r="G321" s="146" t="s">
        <v>1000</v>
      </c>
      <c r="H321" s="139">
        <v>0</v>
      </c>
      <c r="I321" s="139">
        <v>0</v>
      </c>
      <c r="J321" s="139">
        <v>0</v>
      </c>
      <c r="K321" s="139">
        <v>0</v>
      </c>
      <c r="L321" s="143">
        <v>0</v>
      </c>
      <c r="M321" s="143">
        <v>0</v>
      </c>
      <c r="N321" s="140"/>
      <c r="O321" s="140"/>
      <c r="P321" s="140"/>
      <c r="Q321" s="140"/>
      <c r="R321" s="140"/>
      <c r="S321" s="140"/>
      <c r="T321" s="140"/>
    </row>
    <row r="322" spans="1:20" ht="15" customHeight="1" x14ac:dyDescent="0.2">
      <c r="A322" s="141"/>
      <c r="B322" s="143" t="str">
        <f>IF(ISBLANK(A322),"",IF(AND(ISNA(VLOOKUP(A322,Interface_Platform!E:E,1,FALSE())),ISNA(VLOOKUP(A322,D:D,1,FALSE()))),"N","Y"))</f>
        <v/>
      </c>
      <c r="C322" s="143" t="s">
        <v>1001</v>
      </c>
      <c r="D322" s="143" t="s">
        <v>193</v>
      </c>
      <c r="E322" s="142">
        <v>1</v>
      </c>
      <c r="F322" s="144" t="str">
        <f>IF(AND(ISNA(VLOOKUP(D322,A:A,1,FALSE())),ISNA(VLOOKUP(D322,BaseType!A:A,1,FALSE())),D322&lt;&gt;"Struct"),"N","Y")</f>
        <v>Y</v>
      </c>
      <c r="G322" s="146" t="s">
        <v>1002</v>
      </c>
      <c r="H322" s="139">
        <v>0</v>
      </c>
      <c r="I322" s="139">
        <v>0</v>
      </c>
      <c r="J322" s="139">
        <v>0</v>
      </c>
      <c r="K322" s="139">
        <v>0</v>
      </c>
      <c r="L322" s="143">
        <v>0</v>
      </c>
      <c r="M322" s="143">
        <v>0</v>
      </c>
      <c r="N322" s="140"/>
      <c r="O322" s="140"/>
      <c r="P322" s="140"/>
      <c r="Q322" s="140"/>
      <c r="R322" s="140"/>
      <c r="S322" s="140"/>
      <c r="T322" s="140"/>
    </row>
    <row r="323" spans="1:20" ht="15" customHeight="1" x14ac:dyDescent="0.2">
      <c r="A323" s="141"/>
      <c r="B323" s="143" t="str">
        <f>IF(ISBLANK(A323),"",IF(AND(ISNA(VLOOKUP(A323,Interface_Platform!E:E,1,FALSE())),ISNA(VLOOKUP(A323,D:D,1,FALSE()))),"N","Y"))</f>
        <v/>
      </c>
      <c r="C323" s="143" t="s">
        <v>1003</v>
      </c>
      <c r="D323" s="143" t="s">
        <v>631</v>
      </c>
      <c r="E323" s="142">
        <v>1</v>
      </c>
      <c r="F323" s="144" t="str">
        <f>IF(AND(ISNA(VLOOKUP(D323,A:A,1,FALSE())),ISNA(VLOOKUP(D323,BaseType!A:A,1,FALSE())),D323&lt;&gt;"Struct"),"N","Y")</f>
        <v>Y</v>
      </c>
      <c r="G323" s="146" t="s">
        <v>1004</v>
      </c>
      <c r="H323" s="139">
        <v>0</v>
      </c>
      <c r="I323" s="139">
        <v>0</v>
      </c>
      <c r="J323" s="139">
        <v>0</v>
      </c>
      <c r="K323" s="139">
        <v>0</v>
      </c>
      <c r="L323" s="143">
        <v>0</v>
      </c>
      <c r="M323" s="143">
        <v>0</v>
      </c>
      <c r="N323" s="140"/>
      <c r="O323" s="140"/>
      <c r="P323" s="140"/>
      <c r="Q323" s="140"/>
      <c r="R323" s="140"/>
      <c r="S323" s="140"/>
      <c r="T323" s="140"/>
    </row>
    <row r="324" spans="1:20" ht="15" customHeight="1" x14ac:dyDescent="0.2">
      <c r="A324" s="141"/>
      <c r="B324" s="143" t="str">
        <f>IF(ISBLANK(A324),"",IF(AND(ISNA(VLOOKUP(A324,Interface_Platform!E:E,1,FALSE())),ISNA(VLOOKUP(A324,D:D,1,FALSE()))),"N","Y"))</f>
        <v/>
      </c>
      <c r="C324" s="143" t="s">
        <v>1005</v>
      </c>
      <c r="D324" s="143" t="s">
        <v>225</v>
      </c>
      <c r="E324" s="142">
        <v>1</v>
      </c>
      <c r="F324" s="144" t="str">
        <f>IF(AND(ISNA(VLOOKUP(D324,A:A,1,FALSE())),ISNA(VLOOKUP(D324,BaseType!A:A,1,FALSE())),D324&lt;&gt;"Struct"),"N","Y")</f>
        <v>Y</v>
      </c>
      <c r="G324" s="146" t="s">
        <v>1006</v>
      </c>
      <c r="H324" s="139">
        <v>0</v>
      </c>
      <c r="I324" s="139">
        <v>0</v>
      </c>
      <c r="J324" s="139">
        <v>0</v>
      </c>
      <c r="K324" s="139">
        <v>0</v>
      </c>
      <c r="L324" s="143">
        <v>0</v>
      </c>
      <c r="M324" s="143">
        <v>0</v>
      </c>
      <c r="N324" s="140"/>
      <c r="O324" s="140"/>
      <c r="P324" s="140"/>
      <c r="Q324" s="140"/>
      <c r="R324" s="140"/>
      <c r="S324" s="140"/>
      <c r="T324" s="140"/>
    </row>
    <row r="325" spans="1:20" ht="15" customHeight="1" x14ac:dyDescent="0.2">
      <c r="A325" s="141"/>
      <c r="B325" s="143" t="str">
        <f>IF(ISBLANK(A325),"",IF(AND(ISNA(VLOOKUP(A325,Interface_Platform!E:E,1,FALSE())),ISNA(VLOOKUP(A325,D:D,1,FALSE()))),"N","Y"))</f>
        <v/>
      </c>
      <c r="C325" s="143" t="s">
        <v>1007</v>
      </c>
      <c r="D325" s="143" t="s">
        <v>225</v>
      </c>
      <c r="E325" s="142">
        <v>1</v>
      </c>
      <c r="F325" s="144" t="str">
        <f>IF(AND(ISNA(VLOOKUP(D325,A:A,1,FALSE())),ISNA(VLOOKUP(D325,BaseType!A:A,1,FALSE())),D325&lt;&gt;"Struct"),"N","Y")</f>
        <v>Y</v>
      </c>
      <c r="G325" s="146" t="s">
        <v>1008</v>
      </c>
      <c r="H325" s="139">
        <v>0</v>
      </c>
      <c r="I325" s="139">
        <v>0</v>
      </c>
      <c r="J325" s="139">
        <v>0</v>
      </c>
      <c r="K325" s="139">
        <v>0</v>
      </c>
      <c r="L325" s="143">
        <v>0</v>
      </c>
      <c r="M325" s="143">
        <v>0</v>
      </c>
      <c r="N325" s="140"/>
      <c r="O325" s="140"/>
      <c r="P325" s="140"/>
      <c r="Q325" s="140"/>
      <c r="R325" s="140"/>
      <c r="S325" s="140"/>
      <c r="T325" s="140"/>
    </row>
    <row r="326" spans="1:20" ht="15" customHeight="1" x14ac:dyDescent="0.2">
      <c r="A326" s="141"/>
      <c r="B326" s="143" t="str">
        <f>IF(ISBLANK(A326),"",IF(AND(ISNA(VLOOKUP(A326,Interface_Platform!E:E,1,FALSE())),ISNA(VLOOKUP(A326,D:D,1,FALSE()))),"N","Y"))</f>
        <v/>
      </c>
      <c r="C326" s="143" t="s">
        <v>1009</v>
      </c>
      <c r="D326" s="143" t="s">
        <v>293</v>
      </c>
      <c r="E326" s="142">
        <v>1</v>
      </c>
      <c r="F326" s="144" t="str">
        <f>IF(AND(ISNA(VLOOKUP(D326,A:A,1,FALSE())),ISNA(VLOOKUP(D326,BaseType!A:A,1,FALSE())),D326&lt;&gt;"Struct"),"N","Y")</f>
        <v>Y</v>
      </c>
      <c r="G326" s="146" t="s">
        <v>1010</v>
      </c>
      <c r="H326" s="139">
        <v>0</v>
      </c>
      <c r="I326" s="139">
        <v>0</v>
      </c>
      <c r="J326" s="139">
        <v>0</v>
      </c>
      <c r="K326" s="139">
        <v>0</v>
      </c>
      <c r="L326" s="143">
        <v>0</v>
      </c>
      <c r="M326" s="143">
        <v>0</v>
      </c>
      <c r="N326" s="140"/>
      <c r="O326" s="140"/>
      <c r="P326" s="140"/>
      <c r="Q326" s="140"/>
      <c r="R326" s="140"/>
      <c r="S326" s="140"/>
      <c r="T326" s="140"/>
    </row>
    <row r="327" spans="1:20" ht="15" customHeight="1" x14ac:dyDescent="0.2">
      <c r="A327" s="141"/>
      <c r="B327" s="143" t="str">
        <f>IF(ISBLANK(A327),"",IF(AND(ISNA(VLOOKUP(A327,Interface_Platform!E:E,1,FALSE())),ISNA(VLOOKUP(A327,D:D,1,FALSE()))),"N","Y"))</f>
        <v/>
      </c>
      <c r="C327" s="143" t="s">
        <v>1011</v>
      </c>
      <c r="D327" s="143" t="s">
        <v>293</v>
      </c>
      <c r="E327" s="142">
        <v>1</v>
      </c>
      <c r="F327" s="144" t="str">
        <f>IF(AND(ISNA(VLOOKUP(D327,A:A,1,FALSE())),ISNA(VLOOKUP(D327,BaseType!A:A,1,FALSE())),D327&lt;&gt;"Struct"),"N","Y")</f>
        <v>Y</v>
      </c>
      <c r="G327" s="146" t="s">
        <v>1012</v>
      </c>
      <c r="H327" s="139">
        <v>0</v>
      </c>
      <c r="I327" s="139">
        <v>0</v>
      </c>
      <c r="J327" s="139">
        <v>0</v>
      </c>
      <c r="K327" s="139">
        <v>0</v>
      </c>
      <c r="L327" s="143">
        <v>0</v>
      </c>
      <c r="M327" s="143">
        <v>0</v>
      </c>
      <c r="N327" s="140"/>
      <c r="O327" s="140"/>
      <c r="P327" s="140"/>
      <c r="Q327" s="140"/>
      <c r="R327" s="140"/>
      <c r="S327" s="140"/>
      <c r="T327" s="140"/>
    </row>
    <row r="328" spans="1:20" ht="15" customHeight="1" x14ac:dyDescent="0.2">
      <c r="A328" s="141"/>
      <c r="B328" s="143" t="str">
        <f>IF(ISBLANK(A328),"",IF(AND(ISNA(VLOOKUP(A328,Interface_Platform!E:E,1,FALSE())),ISNA(VLOOKUP(A328,D:D,1,FALSE()))),"N","Y"))</f>
        <v/>
      </c>
      <c r="C328" s="143" t="s">
        <v>1013</v>
      </c>
      <c r="D328" s="143" t="s">
        <v>225</v>
      </c>
      <c r="E328" s="142">
        <v>1</v>
      </c>
      <c r="F328" s="144" t="str">
        <f>IF(AND(ISNA(VLOOKUP(D328,A:A,1,FALSE())),ISNA(VLOOKUP(D328,BaseType!A:A,1,FALSE())),D328&lt;&gt;"Struct"),"N","Y")</f>
        <v>Y</v>
      </c>
      <c r="G328" s="146" t="s">
        <v>1014</v>
      </c>
      <c r="H328" s="139">
        <v>0</v>
      </c>
      <c r="I328" s="139">
        <v>0</v>
      </c>
      <c r="J328" s="139">
        <v>0</v>
      </c>
      <c r="K328" s="139">
        <v>0</v>
      </c>
      <c r="L328" s="143">
        <v>0</v>
      </c>
      <c r="M328" s="143">
        <v>0</v>
      </c>
      <c r="N328" s="140"/>
      <c r="O328" s="140"/>
      <c r="P328" s="140"/>
      <c r="Q328" s="140"/>
      <c r="R328" s="140"/>
      <c r="S328" s="140"/>
      <c r="T328" s="140"/>
    </row>
    <row r="329" spans="1:20" ht="15" customHeight="1" x14ac:dyDescent="0.2">
      <c r="A329" s="141"/>
      <c r="B329" s="143" t="str">
        <f>IF(ISBLANK(A329),"",IF(AND(ISNA(VLOOKUP(A329,Interface_Platform!E:E,1,FALSE())),ISNA(VLOOKUP(A329,D:D,1,FALSE()))),"N","Y"))</f>
        <v/>
      </c>
      <c r="C329" s="143" t="s">
        <v>1015</v>
      </c>
      <c r="D329" s="143" t="s">
        <v>225</v>
      </c>
      <c r="E329" s="142">
        <v>1</v>
      </c>
      <c r="F329" s="144" t="str">
        <f>IF(AND(ISNA(VLOOKUP(D329,A:A,1,FALSE())),ISNA(VLOOKUP(D329,BaseType!A:A,1,FALSE())),D329&lt;&gt;"Struct"),"N","Y")</f>
        <v>Y</v>
      </c>
      <c r="G329" s="146" t="s">
        <v>1016</v>
      </c>
      <c r="H329" s="139">
        <v>0</v>
      </c>
      <c r="I329" s="139">
        <v>0</v>
      </c>
      <c r="J329" s="139">
        <v>0</v>
      </c>
      <c r="K329" s="139">
        <v>0</v>
      </c>
      <c r="L329" s="143">
        <v>0</v>
      </c>
      <c r="M329" s="143">
        <v>0</v>
      </c>
      <c r="N329" s="140"/>
      <c r="O329" s="140"/>
      <c r="P329" s="140"/>
      <c r="Q329" s="140"/>
      <c r="R329" s="140"/>
      <c r="S329" s="140"/>
      <c r="T329" s="140"/>
    </row>
    <row r="330" spans="1:20" ht="15" customHeight="1" x14ac:dyDescent="0.2">
      <c r="A330" s="141"/>
      <c r="B330" s="143" t="str">
        <f>IF(ISBLANK(A330),"",IF(AND(ISNA(VLOOKUP(A330,Interface_Platform!E:E,1,FALSE())),ISNA(VLOOKUP(A330,D:D,1,FALSE()))),"N","Y"))</f>
        <v/>
      </c>
      <c r="C330" s="143" t="s">
        <v>1017</v>
      </c>
      <c r="D330" s="143" t="s">
        <v>225</v>
      </c>
      <c r="E330" s="142">
        <v>1</v>
      </c>
      <c r="F330" s="144" t="str">
        <f>IF(AND(ISNA(VLOOKUP(D330,A:A,1,FALSE())),ISNA(VLOOKUP(D330,BaseType!A:A,1,FALSE())),D330&lt;&gt;"Struct"),"N","Y")</f>
        <v>Y</v>
      </c>
      <c r="G330" s="146" t="s">
        <v>1018</v>
      </c>
      <c r="H330" s="139">
        <v>0</v>
      </c>
      <c r="I330" s="139">
        <v>0</v>
      </c>
      <c r="J330" s="139">
        <v>0</v>
      </c>
      <c r="K330" s="139">
        <v>0</v>
      </c>
      <c r="L330" s="143">
        <v>0</v>
      </c>
      <c r="M330" s="143">
        <v>0</v>
      </c>
      <c r="N330" s="140"/>
      <c r="O330" s="140"/>
      <c r="P330" s="140"/>
      <c r="Q330" s="140"/>
      <c r="R330" s="140"/>
      <c r="S330" s="140"/>
      <c r="T330" s="140"/>
    </row>
    <row r="331" spans="1:20" ht="15" customHeight="1" x14ac:dyDescent="0.2">
      <c r="A331" s="143" t="s">
        <v>337</v>
      </c>
      <c r="B331" s="143" t="str">
        <f>IF(ISBLANK(A331),"",IF(AND(ISNA(VLOOKUP(A331,Interface_Platform!E:E,1,FALSE())),ISNA(VLOOKUP(A331,D:D,1,FALSE()))),"N","Y"))</f>
        <v>Y</v>
      </c>
      <c r="C331" s="75"/>
      <c r="D331" s="143" t="s">
        <v>484</v>
      </c>
      <c r="E331" s="40"/>
      <c r="F331" s="144" t="str">
        <f>IF(AND(ISNA(VLOOKUP(D331,A:A,1,FALSE())),ISNA(VLOOKUP(D331,BaseType!A:A,1,FALSE())),D331&lt;&gt;"Struct"),"N","Y")</f>
        <v>Y</v>
      </c>
      <c r="G331" s="146"/>
      <c r="H331" s="139">
        <v>0</v>
      </c>
      <c r="I331" s="139">
        <v>0</v>
      </c>
      <c r="J331" s="139">
        <v>0</v>
      </c>
      <c r="K331" s="139">
        <v>0</v>
      </c>
      <c r="L331" s="143">
        <v>0</v>
      </c>
      <c r="M331" s="143">
        <v>0</v>
      </c>
      <c r="N331" s="140"/>
      <c r="O331" s="140"/>
      <c r="P331" s="140"/>
      <c r="Q331" s="140"/>
      <c r="R331" s="140"/>
      <c r="S331" s="140"/>
      <c r="T331" s="140"/>
    </row>
    <row r="332" spans="1:20" ht="15" customHeight="1" x14ac:dyDescent="0.2">
      <c r="A332" s="141"/>
      <c r="B332" s="143" t="str">
        <f>IF(ISBLANK(A332),"",IF(AND(ISNA(VLOOKUP(A332,Interface_Platform!E:E,1,FALSE())),ISNA(VLOOKUP(A332,D:D,1,FALSE()))),"N","Y"))</f>
        <v/>
      </c>
      <c r="C332" s="143" t="s">
        <v>1019</v>
      </c>
      <c r="D332" s="143" t="s">
        <v>764</v>
      </c>
      <c r="E332" s="142">
        <v>4</v>
      </c>
      <c r="F332" s="144" t="str">
        <f>IF(AND(ISNA(VLOOKUP(D332,A:A,1,FALSE())),ISNA(VLOOKUP(D332,BaseType!A:A,1,FALSE())),D332&lt;&gt;"Struct"),"N","Y")</f>
        <v>Y</v>
      </c>
      <c r="G332" s="146" t="s">
        <v>996</v>
      </c>
      <c r="H332" s="139">
        <v>0</v>
      </c>
      <c r="I332" s="139">
        <v>0</v>
      </c>
      <c r="J332" s="139">
        <v>0</v>
      </c>
      <c r="K332" s="139">
        <v>0</v>
      </c>
      <c r="L332" s="143">
        <v>0</v>
      </c>
      <c r="M332" s="143">
        <v>0</v>
      </c>
      <c r="N332" s="140"/>
      <c r="O332" s="140"/>
      <c r="P332" s="140"/>
      <c r="Q332" s="140"/>
      <c r="R332" s="140"/>
      <c r="S332" s="140"/>
      <c r="T332" s="140"/>
    </row>
    <row r="333" spans="1:20" ht="15" customHeight="1" x14ac:dyDescent="0.2">
      <c r="A333" s="141"/>
      <c r="B333" s="143" t="str">
        <f>IF(ISBLANK(A333),"",IF(AND(ISNA(VLOOKUP(A333,Interface_Platform!E:E,1,FALSE())),ISNA(VLOOKUP(A333,D:D,1,FALSE()))),"N","Y"))</f>
        <v/>
      </c>
      <c r="C333" s="143" t="s">
        <v>1020</v>
      </c>
      <c r="D333" s="143" t="s">
        <v>298</v>
      </c>
      <c r="E333" s="142">
        <v>4</v>
      </c>
      <c r="F333" s="144" t="str">
        <f>IF(AND(ISNA(VLOOKUP(D333,A:A,1,FALSE())),ISNA(VLOOKUP(D333,BaseType!A:A,1,FALSE())),D333&lt;&gt;"Struct"),"N","Y")</f>
        <v>Y</v>
      </c>
      <c r="G333" s="146" t="s">
        <v>974</v>
      </c>
      <c r="H333" s="139">
        <v>0</v>
      </c>
      <c r="I333" s="139">
        <v>0</v>
      </c>
      <c r="J333" s="139">
        <v>0</v>
      </c>
      <c r="K333" s="139">
        <v>0</v>
      </c>
      <c r="L333" s="143">
        <v>0</v>
      </c>
      <c r="M333" s="143">
        <v>0</v>
      </c>
      <c r="N333" s="140"/>
      <c r="O333" s="140"/>
      <c r="P333" s="140"/>
      <c r="Q333" s="140"/>
      <c r="R333" s="140"/>
      <c r="S333" s="140"/>
      <c r="T333" s="140"/>
    </row>
    <row r="334" spans="1:20" ht="15" customHeight="1" x14ac:dyDescent="0.2">
      <c r="A334" s="141"/>
      <c r="B334" s="143" t="str">
        <f>IF(ISBLANK(A334),"",IF(AND(ISNA(VLOOKUP(A334,Interface_Platform!E:E,1,FALSE())),ISNA(VLOOKUP(A334,D:D,1,FALSE()))),"N","Y"))</f>
        <v/>
      </c>
      <c r="C334" s="143" t="s">
        <v>1021</v>
      </c>
      <c r="D334" s="143" t="s">
        <v>193</v>
      </c>
      <c r="E334" s="142">
        <v>4</v>
      </c>
      <c r="F334" s="144" t="str">
        <f>IF(AND(ISNA(VLOOKUP(D334,A:A,1,FALSE())),ISNA(VLOOKUP(D334,BaseType!A:A,1,FALSE())),D334&lt;&gt;"Struct"),"N","Y")</f>
        <v>Y</v>
      </c>
      <c r="G334" s="146" t="s">
        <v>1022</v>
      </c>
      <c r="H334" s="139">
        <v>0</v>
      </c>
      <c r="I334" s="139">
        <v>0</v>
      </c>
      <c r="J334" s="139">
        <v>0</v>
      </c>
      <c r="K334" s="139">
        <v>0</v>
      </c>
      <c r="L334" s="143">
        <v>0</v>
      </c>
      <c r="M334" s="143">
        <v>0</v>
      </c>
      <c r="N334" s="140"/>
      <c r="O334" s="140"/>
      <c r="P334" s="140"/>
      <c r="Q334" s="140"/>
      <c r="R334" s="140"/>
      <c r="S334" s="140"/>
      <c r="T334" s="140"/>
    </row>
    <row r="335" spans="1:20" ht="15" customHeight="1" x14ac:dyDescent="0.2">
      <c r="A335" s="141"/>
      <c r="B335" s="143" t="str">
        <f>IF(ISBLANK(A335),"",IF(AND(ISNA(VLOOKUP(A335,Interface_Platform!E:E,1,FALSE())),ISNA(VLOOKUP(A335,D:D,1,FALSE()))),"N","Y"))</f>
        <v/>
      </c>
      <c r="C335" s="143" t="s">
        <v>1013</v>
      </c>
      <c r="D335" s="143" t="s">
        <v>225</v>
      </c>
      <c r="E335" s="142">
        <v>4</v>
      </c>
      <c r="F335" s="144" t="str">
        <f>IF(AND(ISNA(VLOOKUP(D335,A:A,1,FALSE())),ISNA(VLOOKUP(D335,BaseType!A:A,1,FALSE())),D335&lt;&gt;"Struct"),"N","Y")</f>
        <v>Y</v>
      </c>
      <c r="G335" s="146" t="s">
        <v>1014</v>
      </c>
      <c r="H335" s="139">
        <v>0</v>
      </c>
      <c r="I335" s="139">
        <v>0</v>
      </c>
      <c r="J335" s="139">
        <v>0</v>
      </c>
      <c r="K335" s="139">
        <v>0</v>
      </c>
      <c r="L335" s="143">
        <v>0</v>
      </c>
      <c r="M335" s="143">
        <v>0</v>
      </c>
      <c r="N335" s="140"/>
      <c r="O335" s="140"/>
      <c r="P335" s="140"/>
      <c r="Q335" s="140"/>
      <c r="R335" s="140"/>
      <c r="S335" s="140"/>
      <c r="T335" s="140"/>
    </row>
    <row r="336" spans="1:20" ht="15" customHeight="1" x14ac:dyDescent="0.2">
      <c r="A336" s="141"/>
      <c r="B336" s="143" t="str">
        <f>IF(ISBLANK(A336),"",IF(AND(ISNA(VLOOKUP(A336,Interface_Platform!E:E,1,FALSE())),ISNA(VLOOKUP(A336,D:D,1,FALSE()))),"N","Y"))</f>
        <v/>
      </c>
      <c r="C336" s="143" t="s">
        <v>1015</v>
      </c>
      <c r="D336" s="143" t="s">
        <v>225</v>
      </c>
      <c r="E336" s="142">
        <v>4</v>
      </c>
      <c r="F336" s="144" t="str">
        <f>IF(AND(ISNA(VLOOKUP(D336,A:A,1,FALSE())),ISNA(VLOOKUP(D336,BaseType!A:A,1,FALSE())),D336&lt;&gt;"Struct"),"N","Y")</f>
        <v>Y</v>
      </c>
      <c r="G336" s="146" t="s">
        <v>1016</v>
      </c>
      <c r="H336" s="139">
        <v>0</v>
      </c>
      <c r="I336" s="139">
        <v>0</v>
      </c>
      <c r="J336" s="139">
        <v>0</v>
      </c>
      <c r="K336" s="139">
        <v>0</v>
      </c>
      <c r="L336" s="143">
        <v>0</v>
      </c>
      <c r="M336" s="143">
        <v>0</v>
      </c>
      <c r="N336" s="140"/>
      <c r="O336" s="140"/>
      <c r="P336" s="140"/>
      <c r="Q336" s="140"/>
      <c r="R336" s="140"/>
      <c r="S336" s="140"/>
      <c r="T336" s="140"/>
    </row>
    <row r="337" spans="1:20" ht="15" customHeight="1" x14ac:dyDescent="0.2">
      <c r="A337" s="141"/>
      <c r="B337" s="143" t="str">
        <f>IF(ISBLANK(A337),"",IF(AND(ISNA(VLOOKUP(A337,Interface_Platform!E:E,1,FALSE())),ISNA(VLOOKUP(A337,D:D,1,FALSE()))),"N","Y"))</f>
        <v/>
      </c>
      <c r="C337" s="143" t="s">
        <v>1017</v>
      </c>
      <c r="D337" s="143" t="s">
        <v>225</v>
      </c>
      <c r="E337" s="142">
        <v>4</v>
      </c>
      <c r="F337" s="144" t="str">
        <f>IF(AND(ISNA(VLOOKUP(D337,A:A,1,FALSE())),ISNA(VLOOKUP(D337,BaseType!A:A,1,FALSE())),D337&lt;&gt;"Struct"),"N","Y")</f>
        <v>Y</v>
      </c>
      <c r="G337" s="146" t="s">
        <v>1018</v>
      </c>
      <c r="H337" s="139">
        <v>0</v>
      </c>
      <c r="I337" s="139">
        <v>0</v>
      </c>
      <c r="J337" s="139">
        <v>0</v>
      </c>
      <c r="K337" s="139">
        <v>0</v>
      </c>
      <c r="L337" s="143">
        <v>0</v>
      </c>
      <c r="M337" s="143">
        <v>0</v>
      </c>
      <c r="N337" s="140"/>
      <c r="O337" s="140"/>
      <c r="P337" s="140"/>
      <c r="Q337" s="140"/>
      <c r="R337" s="140"/>
      <c r="S337" s="140"/>
      <c r="T337" s="140"/>
    </row>
    <row r="338" spans="1:20" ht="15" customHeight="1" x14ac:dyDescent="0.2">
      <c r="A338" s="141"/>
      <c r="B338" s="143" t="str">
        <f>IF(ISBLANK(A338),"",IF(AND(ISNA(VLOOKUP(A338,Interface_Platform!E:E,1,FALSE())),ISNA(VLOOKUP(A338,D:D,1,FALSE()))),"N","Y"))</f>
        <v/>
      </c>
      <c r="C338" s="143" t="s">
        <v>1023</v>
      </c>
      <c r="D338" s="143" t="s">
        <v>225</v>
      </c>
      <c r="E338" s="142">
        <v>4</v>
      </c>
      <c r="F338" s="144" t="str">
        <f>IF(AND(ISNA(VLOOKUP(D338,A:A,1,FALSE())),ISNA(VLOOKUP(D338,BaseType!A:A,1,FALSE())),D338&lt;&gt;"Struct"),"N","Y")</f>
        <v>Y</v>
      </c>
      <c r="G338" s="146" t="s">
        <v>1008</v>
      </c>
      <c r="H338" s="139">
        <v>0</v>
      </c>
      <c r="I338" s="139">
        <v>0</v>
      </c>
      <c r="J338" s="139">
        <v>0</v>
      </c>
      <c r="K338" s="139">
        <v>0</v>
      </c>
      <c r="L338" s="143">
        <v>0</v>
      </c>
      <c r="M338" s="143">
        <v>0</v>
      </c>
      <c r="N338" s="140"/>
      <c r="O338" s="140"/>
      <c r="P338" s="140"/>
      <c r="Q338" s="140"/>
      <c r="R338" s="140"/>
      <c r="S338" s="140"/>
      <c r="T338" s="140"/>
    </row>
    <row r="339" spans="1:20" ht="15" customHeight="1" x14ac:dyDescent="0.2">
      <c r="A339" s="141"/>
      <c r="B339" s="143" t="str">
        <f>IF(ISBLANK(A339),"",IF(AND(ISNA(VLOOKUP(A339,Interface_Platform!E:E,1,FALSE())),ISNA(VLOOKUP(A339,D:D,1,FALSE()))),"N","Y"))</f>
        <v/>
      </c>
      <c r="C339" s="143" t="s">
        <v>1024</v>
      </c>
      <c r="D339" s="143" t="s">
        <v>225</v>
      </c>
      <c r="E339" s="142">
        <v>4</v>
      </c>
      <c r="F339" s="144" t="str">
        <f>IF(AND(ISNA(VLOOKUP(D339,A:A,1,FALSE())),ISNA(VLOOKUP(D339,BaseType!A:A,1,FALSE())),D339&lt;&gt;"Struct"),"N","Y")</f>
        <v>Y</v>
      </c>
      <c r="G339" s="146" t="s">
        <v>1025</v>
      </c>
      <c r="H339" s="139">
        <v>0</v>
      </c>
      <c r="I339" s="139">
        <v>0</v>
      </c>
      <c r="J339" s="139">
        <v>0</v>
      </c>
      <c r="K339" s="139">
        <v>0</v>
      </c>
      <c r="L339" s="143">
        <v>0</v>
      </c>
      <c r="M339" s="143">
        <v>0</v>
      </c>
      <c r="N339" s="140"/>
      <c r="O339" s="140"/>
      <c r="P339" s="140"/>
      <c r="Q339" s="140"/>
      <c r="R339" s="140"/>
      <c r="S339" s="140"/>
      <c r="T339" s="140"/>
    </row>
    <row r="340" spans="1:20" ht="15" customHeight="1" x14ac:dyDescent="0.2">
      <c r="A340" s="141"/>
      <c r="B340" s="143" t="str">
        <f>IF(ISBLANK(A340),"",IF(AND(ISNA(VLOOKUP(A340,Interface_Platform!E:E,1,FALSE())),ISNA(VLOOKUP(A340,D:D,1,FALSE()))),"N","Y"))</f>
        <v/>
      </c>
      <c r="C340" s="143" t="s">
        <v>1026</v>
      </c>
      <c r="D340" s="143" t="s">
        <v>193</v>
      </c>
      <c r="E340" s="142">
        <v>4</v>
      </c>
      <c r="F340" s="144" t="str">
        <f>IF(AND(ISNA(VLOOKUP(D340,A:A,1,FALSE())),ISNA(VLOOKUP(D340,BaseType!A:A,1,FALSE())),D340&lt;&gt;"Struct"),"N","Y")</f>
        <v>Y</v>
      </c>
      <c r="G340" s="146" t="s">
        <v>1027</v>
      </c>
      <c r="H340" s="139">
        <v>0</v>
      </c>
      <c r="I340" s="139">
        <v>0</v>
      </c>
      <c r="J340" s="139">
        <v>0</v>
      </c>
      <c r="K340" s="139">
        <v>0</v>
      </c>
      <c r="L340" s="143">
        <v>0</v>
      </c>
      <c r="M340" s="143">
        <v>0</v>
      </c>
      <c r="N340" s="140"/>
      <c r="O340" s="140"/>
      <c r="P340" s="140"/>
      <c r="Q340" s="140"/>
      <c r="R340" s="140"/>
      <c r="S340" s="140"/>
      <c r="T340" s="140"/>
    </row>
    <row r="341" spans="1:20" ht="15" customHeight="1" x14ac:dyDescent="0.2">
      <c r="A341" s="141"/>
      <c r="B341" s="143" t="str">
        <f>IF(ISBLANK(A341),"",IF(AND(ISNA(VLOOKUP(A341,Interface_Platform!E:E,1,FALSE())),ISNA(VLOOKUP(A341,D:D,1,FALSE()))),"N","Y"))</f>
        <v/>
      </c>
      <c r="C341" s="143" t="s">
        <v>1028</v>
      </c>
      <c r="D341" s="143" t="s">
        <v>193</v>
      </c>
      <c r="E341" s="142">
        <v>4</v>
      </c>
      <c r="F341" s="144" t="str">
        <f>IF(AND(ISNA(VLOOKUP(D341,A:A,1,FALSE())),ISNA(VLOOKUP(D341,BaseType!A:A,1,FALSE())),D341&lt;&gt;"Struct"),"N","Y")</f>
        <v>Y</v>
      </c>
      <c r="G341" s="146" t="s">
        <v>1000</v>
      </c>
      <c r="H341" s="139">
        <v>0</v>
      </c>
      <c r="I341" s="139">
        <v>0</v>
      </c>
      <c r="J341" s="139">
        <v>0</v>
      </c>
      <c r="K341" s="139">
        <v>0</v>
      </c>
      <c r="L341" s="143">
        <v>0</v>
      </c>
      <c r="M341" s="143">
        <v>0</v>
      </c>
      <c r="N341" s="140"/>
      <c r="O341" s="140"/>
      <c r="P341" s="140"/>
      <c r="Q341" s="140"/>
      <c r="R341" s="140"/>
      <c r="S341" s="140"/>
      <c r="T341" s="140"/>
    </row>
    <row r="342" spans="1:20" ht="15" customHeight="1" x14ac:dyDescent="0.2">
      <c r="A342" s="141"/>
      <c r="B342" s="143" t="str">
        <f>IF(ISBLANK(A342),"",IF(AND(ISNA(VLOOKUP(A342,Interface_Platform!E:E,1,FALSE())),ISNA(VLOOKUP(A342,D:D,1,FALSE()))),"N","Y"))</f>
        <v/>
      </c>
      <c r="C342" s="143" t="s">
        <v>1029</v>
      </c>
      <c r="D342" s="143" t="s">
        <v>225</v>
      </c>
      <c r="E342" s="142">
        <v>4</v>
      </c>
      <c r="F342" s="144" t="str">
        <f>IF(AND(ISNA(VLOOKUP(D342,A:A,1,FALSE())),ISNA(VLOOKUP(D342,BaseType!A:A,1,FALSE())),D342&lt;&gt;"Struct"),"N","Y")</f>
        <v>Y</v>
      </c>
      <c r="G342" s="146" t="s">
        <v>976</v>
      </c>
      <c r="H342" s="139">
        <v>0</v>
      </c>
      <c r="I342" s="139">
        <v>0</v>
      </c>
      <c r="J342" s="139">
        <v>0</v>
      </c>
      <c r="K342" s="139">
        <v>0</v>
      </c>
      <c r="L342" s="143">
        <v>0</v>
      </c>
      <c r="M342" s="143">
        <v>0</v>
      </c>
      <c r="N342" s="140"/>
      <c r="O342" s="140"/>
      <c r="P342" s="140"/>
      <c r="Q342" s="140"/>
      <c r="R342" s="140"/>
      <c r="S342" s="140"/>
      <c r="T342" s="140"/>
    </row>
    <row r="343" spans="1:20" ht="15" customHeight="1" x14ac:dyDescent="0.2">
      <c r="A343" s="141"/>
      <c r="B343" s="143" t="str">
        <f>IF(ISBLANK(A343),"",IF(AND(ISNA(VLOOKUP(A343,Interface_Platform!E:E,1,FALSE())),ISNA(VLOOKUP(A343,D:D,1,FALSE()))),"N","Y"))</f>
        <v/>
      </c>
      <c r="C343" s="143" t="s">
        <v>1030</v>
      </c>
      <c r="D343" s="143" t="s">
        <v>225</v>
      </c>
      <c r="E343" s="142">
        <v>4</v>
      </c>
      <c r="F343" s="144" t="str">
        <f>IF(AND(ISNA(VLOOKUP(D343,A:A,1,FALSE())),ISNA(VLOOKUP(D343,BaseType!A:A,1,FALSE())),D343&lt;&gt;"Struct"),"N","Y")</f>
        <v>Y</v>
      </c>
      <c r="G343" s="146" t="s">
        <v>1031</v>
      </c>
      <c r="H343" s="139">
        <v>0</v>
      </c>
      <c r="I343" s="139">
        <v>0</v>
      </c>
      <c r="J343" s="139">
        <v>0</v>
      </c>
      <c r="K343" s="139">
        <v>0</v>
      </c>
      <c r="L343" s="143">
        <v>0</v>
      </c>
      <c r="M343" s="143">
        <v>0</v>
      </c>
      <c r="N343" s="140"/>
      <c r="O343" s="140"/>
      <c r="P343" s="140"/>
      <c r="Q343" s="140"/>
      <c r="R343" s="140"/>
      <c r="S343" s="140"/>
      <c r="T343" s="140"/>
    </row>
    <row r="344" spans="1:20" ht="15" customHeight="1" x14ac:dyDescent="0.2">
      <c r="A344" s="141"/>
      <c r="B344" s="143" t="str">
        <f>IF(ISBLANK(A344),"",IF(AND(ISNA(VLOOKUP(A344,Interface_Platform!E:E,1,FALSE())),ISNA(VLOOKUP(A344,D:D,1,FALSE()))),"N","Y"))</f>
        <v/>
      </c>
      <c r="C344" s="143" t="s">
        <v>1032</v>
      </c>
      <c r="D344" s="143" t="s">
        <v>225</v>
      </c>
      <c r="E344" s="142">
        <v>4</v>
      </c>
      <c r="F344" s="144" t="str">
        <f>IF(AND(ISNA(VLOOKUP(D344,A:A,1,FALSE())),ISNA(VLOOKUP(D344,BaseType!A:A,1,FALSE())),D344&lt;&gt;"Struct"),"N","Y")</f>
        <v>Y</v>
      </c>
      <c r="G344" s="146" t="s">
        <v>980</v>
      </c>
      <c r="H344" s="139">
        <v>0</v>
      </c>
      <c r="I344" s="139">
        <v>0</v>
      </c>
      <c r="J344" s="139">
        <v>0</v>
      </c>
      <c r="K344" s="139">
        <v>0</v>
      </c>
      <c r="L344" s="143">
        <v>0</v>
      </c>
      <c r="M344" s="143">
        <v>0</v>
      </c>
      <c r="N344" s="140"/>
      <c r="O344" s="140"/>
      <c r="P344" s="140"/>
      <c r="Q344" s="140"/>
      <c r="R344" s="140"/>
      <c r="S344" s="140"/>
      <c r="T344" s="140"/>
    </row>
    <row r="345" spans="1:20" ht="15" customHeight="1" x14ac:dyDescent="0.2">
      <c r="A345" s="141"/>
      <c r="B345" s="143"/>
      <c r="C345" s="148" t="s">
        <v>1033</v>
      </c>
      <c r="D345" s="143" t="s">
        <v>225</v>
      </c>
      <c r="E345" s="142">
        <v>4</v>
      </c>
      <c r="F345" s="144" t="str">
        <f>IF(AND(ISNA(VLOOKUP(D345,A:A,1,FALSE())),ISNA(VLOOKUP(D345,BaseType!A:A,1,FALSE())),D345&lt;&gt;"Struct"),"N","Y")</f>
        <v>Y</v>
      </c>
      <c r="G345" s="146" t="s">
        <v>982</v>
      </c>
      <c r="H345" s="139"/>
      <c r="I345" s="139"/>
      <c r="J345" s="139"/>
      <c r="K345" s="139"/>
      <c r="L345" s="143"/>
      <c r="M345" s="143"/>
      <c r="N345" s="140"/>
      <c r="O345" s="140"/>
      <c r="P345" s="140"/>
      <c r="Q345" s="140"/>
      <c r="R345" s="140"/>
      <c r="S345" s="140"/>
      <c r="T345" s="140"/>
    </row>
    <row r="346" spans="1:20" ht="15" customHeight="1" x14ac:dyDescent="0.2">
      <c r="A346" s="141"/>
      <c r="B346" s="143"/>
      <c r="C346" s="148" t="s">
        <v>1034</v>
      </c>
      <c r="D346" s="148" t="s">
        <v>225</v>
      </c>
      <c r="E346" s="142">
        <v>4</v>
      </c>
      <c r="F346" s="144" t="str">
        <f>IF(AND(ISNA(VLOOKUP(D346,A:A,1,FALSE())),ISNA(VLOOKUP(D346,BaseType!A:A,1,FALSE())),D346&lt;&gt;"Struct"),"N","Y")</f>
        <v>Y</v>
      </c>
      <c r="G346" s="147" t="s">
        <v>1035</v>
      </c>
      <c r="H346" s="139"/>
      <c r="I346" s="139"/>
      <c r="J346" s="139"/>
      <c r="K346" s="139"/>
      <c r="L346" s="143"/>
      <c r="M346" s="143"/>
      <c r="N346" s="140"/>
      <c r="O346" s="140"/>
      <c r="P346" s="140"/>
      <c r="Q346" s="140"/>
      <c r="R346" s="140"/>
      <c r="S346" s="140"/>
      <c r="T346" s="140"/>
    </row>
    <row r="347" spans="1:20" ht="15" customHeight="1" x14ac:dyDescent="0.2">
      <c r="A347" s="141"/>
      <c r="B347" s="143" t="str">
        <f>IF(ISBLANK(A347),"",IF(AND(ISNA(VLOOKUP(A347,Interface_Platform!E:E,1,FALSE())),ISNA(VLOOKUP(A347,D:D,1,FALSE()))),"N","Y"))</f>
        <v/>
      </c>
      <c r="C347" s="143" t="s">
        <v>1036</v>
      </c>
      <c r="D347" s="143" t="s">
        <v>225</v>
      </c>
      <c r="E347" s="142">
        <v>4</v>
      </c>
      <c r="F347" s="144" t="str">
        <f>IF(AND(ISNA(VLOOKUP(D347,A:A,1,FALSE())),ISNA(VLOOKUP(D347,BaseType!A:A,1,FALSE())),D347&lt;&gt;"Struct"),"N","Y")</f>
        <v>Y</v>
      </c>
      <c r="G347" s="146" t="s">
        <v>1037</v>
      </c>
      <c r="H347" s="139">
        <v>0</v>
      </c>
      <c r="I347" s="139">
        <v>0</v>
      </c>
      <c r="J347" s="139">
        <v>0</v>
      </c>
      <c r="K347" s="139">
        <v>0</v>
      </c>
      <c r="L347" s="143">
        <v>0</v>
      </c>
      <c r="M347" s="143">
        <v>0</v>
      </c>
      <c r="N347" s="140"/>
      <c r="O347" s="140"/>
      <c r="P347" s="140"/>
      <c r="Q347" s="140"/>
      <c r="R347" s="140"/>
      <c r="S347" s="140"/>
      <c r="T347" s="140"/>
    </row>
    <row r="348" spans="1:20" ht="15" customHeight="1" x14ac:dyDescent="0.2">
      <c r="A348" s="141"/>
      <c r="B348" s="143"/>
      <c r="C348" s="149" t="s">
        <v>1038</v>
      </c>
      <c r="D348" s="143" t="s">
        <v>225</v>
      </c>
      <c r="E348" s="142">
        <v>4</v>
      </c>
      <c r="F348" s="144" t="str">
        <f>IF(AND(ISNA(VLOOKUP(D348,A:A,1,FALSE())),ISNA(VLOOKUP(D348,BaseType!A:A,1,FALSE())),D348&lt;&gt;"Struct"),"N","Y")</f>
        <v>Y</v>
      </c>
      <c r="G348" s="146" t="s">
        <v>988</v>
      </c>
      <c r="H348" s="139"/>
      <c r="I348" s="139"/>
      <c r="J348" s="139"/>
      <c r="K348" s="139"/>
      <c r="L348" s="143"/>
      <c r="M348" s="143"/>
      <c r="N348" s="140"/>
      <c r="O348" s="140"/>
      <c r="P348" s="140"/>
      <c r="Q348" s="140"/>
      <c r="R348" s="140"/>
      <c r="S348" s="140"/>
      <c r="T348" s="140"/>
    </row>
    <row r="349" spans="1:20" ht="15" customHeight="1" x14ac:dyDescent="0.2">
      <c r="A349" s="141"/>
      <c r="B349" s="143"/>
      <c r="C349" s="143" t="s">
        <v>1039</v>
      </c>
      <c r="D349" s="143" t="s">
        <v>225</v>
      </c>
      <c r="E349" s="142">
        <v>4</v>
      </c>
      <c r="F349" s="144" t="str">
        <f>IF(AND(ISNA(VLOOKUP(D349,A:A,1,FALSE())),ISNA(VLOOKUP(D349,BaseType!A:A,1,FALSE())),D349&lt;&gt;"Struct"),"N","Y")</f>
        <v>Y</v>
      </c>
      <c r="G349" s="146" t="s">
        <v>990</v>
      </c>
      <c r="H349" s="139"/>
      <c r="I349" s="139"/>
      <c r="J349" s="139"/>
      <c r="K349" s="139"/>
      <c r="L349" s="143"/>
      <c r="M349" s="143"/>
      <c r="N349" s="140"/>
      <c r="O349" s="140"/>
      <c r="P349" s="140"/>
      <c r="Q349" s="140"/>
      <c r="R349" s="140"/>
      <c r="S349" s="140"/>
      <c r="T349" s="140"/>
    </row>
    <row r="350" spans="1:20" ht="15" customHeight="1" x14ac:dyDescent="0.2">
      <c r="A350" s="141"/>
      <c r="B350" s="143" t="str">
        <f>IF(ISBLANK(A350),"",IF(AND(ISNA(VLOOKUP(A350,Interface_Platform!E:E,1,FALSE())),ISNA(VLOOKUP(A350,D:D,1,FALSE()))),"N","Y"))</f>
        <v/>
      </c>
      <c r="C350" s="143" t="s">
        <v>1040</v>
      </c>
      <c r="D350" s="143" t="s">
        <v>631</v>
      </c>
      <c r="E350" s="142">
        <v>4</v>
      </c>
      <c r="F350" s="144" t="str">
        <f>IF(AND(ISNA(VLOOKUP(D350,A:A,1,FALSE())),ISNA(VLOOKUP(D350,BaseType!A:A,1,FALSE())),D350&lt;&gt;"Struct"),"N","Y")</f>
        <v>Y</v>
      </c>
      <c r="G350" s="146" t="s">
        <v>1041</v>
      </c>
      <c r="H350" s="139">
        <v>0</v>
      </c>
      <c r="I350" s="139">
        <v>0</v>
      </c>
      <c r="J350" s="139">
        <v>0</v>
      </c>
      <c r="K350" s="139">
        <v>0</v>
      </c>
      <c r="L350" s="143">
        <v>0</v>
      </c>
      <c r="M350" s="143">
        <v>0</v>
      </c>
      <c r="N350" s="140"/>
      <c r="O350" s="140"/>
      <c r="P350" s="140"/>
      <c r="Q350" s="140"/>
      <c r="R350" s="140"/>
      <c r="S350" s="140"/>
      <c r="T350" s="140"/>
    </row>
    <row r="351" spans="1:20" ht="15" customHeight="1" x14ac:dyDescent="0.2">
      <c r="A351" s="91"/>
      <c r="B351" s="149"/>
      <c r="C351" s="148" t="s">
        <v>1042</v>
      </c>
      <c r="D351" s="148" t="s">
        <v>225</v>
      </c>
      <c r="E351" s="142">
        <v>4</v>
      </c>
      <c r="F351" s="144" t="str">
        <f>IF(AND(ISNA(VLOOKUP(D351,A:A,1,FALSE())),ISNA(VLOOKUP(D351,BaseType!A:A,1,FALSE())),D351&lt;&gt;"Struct"),"N","Y")</f>
        <v>Y</v>
      </c>
      <c r="G351" s="150" t="s">
        <v>1043</v>
      </c>
      <c r="H351" s="91"/>
      <c r="I351" s="91"/>
      <c r="J351" s="91"/>
      <c r="K351" s="91"/>
      <c r="L351" s="149"/>
      <c r="M351" s="149"/>
      <c r="N351" s="42"/>
      <c r="O351" s="42"/>
      <c r="P351" s="42"/>
      <c r="Q351" s="42"/>
      <c r="R351" s="42"/>
      <c r="S351" s="42"/>
      <c r="T351" s="42"/>
    </row>
    <row r="352" spans="1:20" ht="15" customHeight="1" x14ac:dyDescent="0.2">
      <c r="A352" s="91"/>
      <c r="B352" s="149"/>
      <c r="C352" s="148" t="s">
        <v>1044</v>
      </c>
      <c r="D352" s="148" t="s">
        <v>225</v>
      </c>
      <c r="E352" s="142">
        <v>4</v>
      </c>
      <c r="F352" s="144" t="str">
        <f>IF(AND(ISNA(VLOOKUP(D352,A:A,1,FALSE())),ISNA(VLOOKUP(D352,BaseType!A:A,1,FALSE())),D352&lt;&gt;"Struct"),"N","Y")</f>
        <v>Y</v>
      </c>
      <c r="G352" s="150"/>
      <c r="H352" s="91"/>
      <c r="I352" s="91"/>
      <c r="J352" s="91"/>
      <c r="K352" s="91"/>
      <c r="L352" s="149"/>
      <c r="M352" s="149"/>
      <c r="N352" s="42"/>
      <c r="O352" s="42"/>
      <c r="P352" s="42"/>
      <c r="Q352" s="42"/>
      <c r="R352" s="42"/>
      <c r="S352" s="42"/>
      <c r="T352" s="42"/>
    </row>
    <row r="353" spans="1:20" ht="15" customHeight="1" x14ac:dyDescent="0.2">
      <c r="A353" s="91"/>
      <c r="B353" s="149"/>
      <c r="C353" s="148" t="s">
        <v>1045</v>
      </c>
      <c r="D353" s="148" t="s">
        <v>225</v>
      </c>
      <c r="E353" s="142">
        <v>4</v>
      </c>
      <c r="F353" s="144" t="str">
        <f>IF(AND(ISNA(VLOOKUP(D353,A:A,1,FALSE())),ISNA(VLOOKUP(D353,BaseType!A:A,1,FALSE())),D353&lt;&gt;"Struct"),"N","Y")</f>
        <v>Y</v>
      </c>
      <c r="G353" s="150" t="s">
        <v>1046</v>
      </c>
      <c r="H353" s="91"/>
      <c r="I353" s="91"/>
      <c r="J353" s="91"/>
      <c r="K353" s="91"/>
      <c r="L353" s="149"/>
      <c r="M353" s="149"/>
      <c r="N353" s="42"/>
      <c r="O353" s="42"/>
      <c r="P353" s="42"/>
      <c r="Q353" s="42"/>
      <c r="R353" s="42"/>
      <c r="S353" s="42"/>
      <c r="T353" s="42"/>
    </row>
    <row r="354" spans="1:20" ht="15" customHeight="1" x14ac:dyDescent="0.2">
      <c r="A354" s="91"/>
      <c r="B354" s="149"/>
      <c r="C354" s="148" t="s">
        <v>1047</v>
      </c>
      <c r="D354" s="148" t="s">
        <v>225</v>
      </c>
      <c r="E354" s="142">
        <v>4</v>
      </c>
      <c r="F354" s="144" t="str">
        <f>IF(AND(ISNA(VLOOKUP(D354,A:A,1,FALSE())),ISNA(VLOOKUP(D354,BaseType!A:A,1,FALSE())),D354&lt;&gt;"Struct"),"N","Y")</f>
        <v>Y</v>
      </c>
      <c r="G354" s="150"/>
      <c r="H354" s="91"/>
      <c r="I354" s="91"/>
      <c r="J354" s="91"/>
      <c r="K354" s="91"/>
      <c r="L354" s="149"/>
      <c r="M354" s="149"/>
      <c r="N354" s="42"/>
      <c r="O354" s="42"/>
      <c r="P354" s="42"/>
      <c r="Q354" s="42"/>
      <c r="R354" s="42"/>
      <c r="S354" s="42"/>
      <c r="T354" s="42"/>
    </row>
    <row r="355" spans="1:20" ht="15" customHeight="1" x14ac:dyDescent="0.2">
      <c r="A355" s="91"/>
      <c r="B355" s="149"/>
      <c r="C355" s="148" t="s">
        <v>1048</v>
      </c>
      <c r="D355" s="148" t="s">
        <v>225</v>
      </c>
      <c r="E355" s="142">
        <v>4</v>
      </c>
      <c r="F355" s="144" t="str">
        <f>IF(AND(ISNA(VLOOKUP(D355,A:A,1,FALSE())),ISNA(VLOOKUP(D355,BaseType!A:A,1,FALSE())),D355&lt;&gt;"Struct"),"N","Y")</f>
        <v>Y</v>
      </c>
      <c r="G355" s="150" t="s">
        <v>1049</v>
      </c>
      <c r="H355" s="91"/>
      <c r="I355" s="91"/>
      <c r="J355" s="91"/>
      <c r="K355" s="91"/>
      <c r="L355" s="149"/>
      <c r="M355" s="149"/>
      <c r="N355" s="42"/>
      <c r="O355" s="42"/>
      <c r="P355" s="42"/>
      <c r="Q355" s="42"/>
      <c r="R355" s="42"/>
      <c r="S355" s="42"/>
      <c r="T355" s="42"/>
    </row>
    <row r="356" spans="1:20" ht="15" customHeight="1" x14ac:dyDescent="0.2">
      <c r="A356" s="91"/>
      <c r="B356" s="149"/>
      <c r="C356" s="148" t="s">
        <v>1050</v>
      </c>
      <c r="D356" s="148" t="s">
        <v>225</v>
      </c>
      <c r="E356" s="142">
        <v>4</v>
      </c>
      <c r="F356" s="144" t="str">
        <f>IF(AND(ISNA(VLOOKUP(D356,A:A,1,FALSE())),ISNA(VLOOKUP(D356,BaseType!A:A,1,FALSE())),D356&lt;&gt;"Struct"),"N","Y")</f>
        <v>Y</v>
      </c>
      <c r="G356" s="150"/>
      <c r="H356" s="91"/>
      <c r="I356" s="91"/>
      <c r="J356" s="91"/>
      <c r="K356" s="91"/>
      <c r="L356" s="149"/>
      <c r="M356" s="149"/>
      <c r="N356" s="42"/>
      <c r="O356" s="42"/>
      <c r="P356" s="42"/>
      <c r="Q356" s="42"/>
      <c r="R356" s="42"/>
      <c r="S356" s="42"/>
      <c r="T356" s="42"/>
    </row>
    <row r="357" spans="1:20" ht="15" customHeight="1" x14ac:dyDescent="0.2">
      <c r="A357" s="91"/>
      <c r="B357" s="149"/>
      <c r="C357" s="148" t="s">
        <v>1051</v>
      </c>
      <c r="D357" s="148" t="s">
        <v>225</v>
      </c>
      <c r="E357" s="142">
        <v>4</v>
      </c>
      <c r="F357" s="144" t="str">
        <f>IF(AND(ISNA(VLOOKUP(D357,A:A,1,FALSE())),ISNA(VLOOKUP(D357,BaseType!A:A,1,FALSE())),D357&lt;&gt;"Struct"),"N","Y")</f>
        <v>Y</v>
      </c>
      <c r="G357" s="150" t="s">
        <v>1052</v>
      </c>
      <c r="H357" s="91"/>
      <c r="I357" s="91"/>
      <c r="J357" s="91"/>
      <c r="K357" s="91"/>
      <c r="L357" s="149"/>
      <c r="M357" s="149"/>
      <c r="N357" s="42"/>
      <c r="O357" s="42"/>
      <c r="P357" s="42"/>
      <c r="Q357" s="42"/>
      <c r="R357" s="42"/>
      <c r="S357" s="42"/>
      <c r="T357" s="42"/>
    </row>
    <row r="358" spans="1:20" ht="15" customHeight="1" x14ac:dyDescent="0.2">
      <c r="A358" s="141"/>
      <c r="B358" s="143"/>
      <c r="C358" s="148" t="s">
        <v>1053</v>
      </c>
      <c r="D358" s="148" t="s">
        <v>225</v>
      </c>
      <c r="E358" s="142">
        <v>4</v>
      </c>
      <c r="F358" s="144" t="str">
        <f>IF(AND(ISNA(VLOOKUP(D358,A:A,1,FALSE())),ISNA(VLOOKUP(D358,BaseType!A:A,1,FALSE())),D358&lt;&gt;"Struct"),"N","Y")</f>
        <v>Y</v>
      </c>
      <c r="G358" s="146"/>
      <c r="H358" s="139"/>
      <c r="I358" s="139"/>
      <c r="J358" s="139"/>
      <c r="K358" s="139"/>
      <c r="L358" s="143"/>
      <c r="M358" s="143"/>
      <c r="N358" s="140"/>
      <c r="O358" s="140"/>
      <c r="P358" s="140"/>
      <c r="Q358" s="140"/>
      <c r="R358" s="140"/>
      <c r="S358" s="140"/>
      <c r="T358" s="140"/>
    </row>
    <row r="359" spans="1:20" ht="15" customHeight="1" x14ac:dyDescent="0.2">
      <c r="A359" s="141"/>
      <c r="B359" s="143" t="str">
        <f>IF(ISBLANK(A359),"",IF(AND(ISNA(VLOOKUP(A359,Interface_Platform!E:E,1,FALSE())),ISNA(VLOOKUP(A359,D:D,1,FALSE()))),"N","Y"))</f>
        <v/>
      </c>
      <c r="C359" s="143" t="s">
        <v>1054</v>
      </c>
      <c r="D359" s="143" t="s">
        <v>293</v>
      </c>
      <c r="E359" s="142">
        <v>4</v>
      </c>
      <c r="F359" s="144" t="str">
        <f>IF(AND(ISNA(VLOOKUP(D359,A:A,1,FALSE())),ISNA(VLOOKUP(D359,BaseType!A:A,1,FALSE())),D359&lt;&gt;"Struct"),"N","Y")</f>
        <v>Y</v>
      </c>
      <c r="G359" s="146" t="s">
        <v>1055</v>
      </c>
      <c r="H359" s="139">
        <v>0</v>
      </c>
      <c r="I359" s="139">
        <v>0</v>
      </c>
      <c r="J359" s="139">
        <v>0</v>
      </c>
      <c r="K359" s="139">
        <v>0</v>
      </c>
      <c r="L359" s="143">
        <v>0</v>
      </c>
      <c r="M359" s="143">
        <v>0</v>
      </c>
      <c r="N359" s="140"/>
      <c r="O359" s="140"/>
      <c r="P359" s="140"/>
      <c r="Q359" s="140"/>
      <c r="R359" s="140"/>
      <c r="S359" s="140"/>
      <c r="T359" s="140"/>
    </row>
    <row r="360" spans="1:20" ht="15" customHeight="1" x14ac:dyDescent="0.2">
      <c r="A360" s="141"/>
      <c r="B360" s="143" t="str">
        <f>IF(ISBLANK(A360),"",IF(AND(ISNA(VLOOKUP(A360,Interface_Platform!E:E,1,FALSE())),ISNA(VLOOKUP(A360,D:D,1,FALSE()))),"N","Y"))</f>
        <v/>
      </c>
      <c r="C360" s="143" t="s">
        <v>1056</v>
      </c>
      <c r="D360" s="143" t="s">
        <v>293</v>
      </c>
      <c r="E360" s="142">
        <v>4</v>
      </c>
      <c r="F360" s="144" t="str">
        <f>IF(AND(ISNA(VLOOKUP(D360,A:A,1,FALSE())),ISNA(VLOOKUP(D360,BaseType!A:A,1,FALSE())),D360&lt;&gt;"Struct"),"N","Y")</f>
        <v>Y</v>
      </c>
      <c r="G360" s="146" t="s">
        <v>1057</v>
      </c>
      <c r="H360" s="139">
        <v>0</v>
      </c>
      <c r="I360" s="139">
        <v>0</v>
      </c>
      <c r="J360" s="139">
        <v>0</v>
      </c>
      <c r="K360" s="139">
        <v>0</v>
      </c>
      <c r="L360" s="143">
        <v>0</v>
      </c>
      <c r="M360" s="143">
        <v>0</v>
      </c>
      <c r="N360" s="140"/>
      <c r="O360" s="140"/>
      <c r="P360" s="140"/>
      <c r="Q360" s="140"/>
      <c r="R360" s="140"/>
      <c r="S360" s="140"/>
      <c r="T360" s="140"/>
    </row>
    <row r="361" spans="1:20" ht="15" customHeight="1" x14ac:dyDescent="0.2">
      <c r="A361" s="141"/>
      <c r="B361" s="143" t="str">
        <f>IF(ISBLANK(A361),"",IF(AND(ISNA(VLOOKUP(A361,Interface_Platform!E:E,1,FALSE())),ISNA(VLOOKUP(A361,D:D,1,FALSE()))),"N","Y"))</f>
        <v/>
      </c>
      <c r="C361" s="143" t="s">
        <v>1058</v>
      </c>
      <c r="D361" s="143" t="s">
        <v>293</v>
      </c>
      <c r="E361" s="142">
        <v>4</v>
      </c>
      <c r="F361" s="144" t="str">
        <f>IF(AND(ISNA(VLOOKUP(D361,A:A,1,FALSE())),ISNA(VLOOKUP(D361,BaseType!A:A,1,FALSE())),D361&lt;&gt;"Struct"),"N","Y")</f>
        <v>Y</v>
      </c>
      <c r="G361" s="146" t="s">
        <v>1059</v>
      </c>
      <c r="H361" s="139">
        <v>0</v>
      </c>
      <c r="I361" s="139">
        <v>0</v>
      </c>
      <c r="J361" s="139">
        <v>0</v>
      </c>
      <c r="K361" s="139">
        <v>0</v>
      </c>
      <c r="L361" s="143">
        <v>0</v>
      </c>
      <c r="M361" s="143">
        <v>0</v>
      </c>
      <c r="N361" s="140"/>
      <c r="O361" s="140"/>
      <c r="P361" s="140"/>
      <c r="Q361" s="140"/>
      <c r="R361" s="140"/>
      <c r="S361" s="140"/>
      <c r="T361" s="140"/>
    </row>
    <row r="362" spans="1:20" ht="15" customHeight="1" x14ac:dyDescent="0.2">
      <c r="A362" s="141"/>
      <c r="B362" s="143" t="str">
        <f>IF(ISBLANK(A362),"",IF(AND(ISNA(VLOOKUP(A362,Interface_Platform!E:E,1,FALSE())),ISNA(VLOOKUP(A362,D:D,1,FALSE()))),"N","Y"))</f>
        <v/>
      </c>
      <c r="C362" s="143" t="s">
        <v>1060</v>
      </c>
      <c r="D362" s="143" t="s">
        <v>193</v>
      </c>
      <c r="E362" s="142">
        <v>4</v>
      </c>
      <c r="F362" s="144" t="str">
        <f>IF(AND(ISNA(VLOOKUP(D362,A:A,1,FALSE())),ISNA(VLOOKUP(D362,BaseType!A:A,1,FALSE())),D362&lt;&gt;"Struct"),"N","Y")</f>
        <v>Y</v>
      </c>
      <c r="G362" s="146" t="s">
        <v>1061</v>
      </c>
      <c r="H362" s="139">
        <v>0</v>
      </c>
      <c r="I362" s="139">
        <v>0</v>
      </c>
      <c r="J362" s="139">
        <v>0</v>
      </c>
      <c r="K362" s="139">
        <v>0</v>
      </c>
      <c r="L362" s="143">
        <v>0</v>
      </c>
      <c r="M362" s="143">
        <v>0</v>
      </c>
      <c r="N362" s="140"/>
      <c r="O362" s="140"/>
      <c r="P362" s="140"/>
      <c r="Q362" s="140"/>
      <c r="R362" s="140"/>
      <c r="S362" s="140"/>
      <c r="T362" s="140"/>
    </row>
    <row r="363" spans="1:20" ht="15" customHeight="1" x14ac:dyDescent="0.2">
      <c r="A363" s="143" t="s">
        <v>227</v>
      </c>
      <c r="B363" s="143" t="str">
        <f>IF(ISBLANK(A363),"",IF(AND(ISNA(VLOOKUP(A363,Interface_Platform!E:E,1,FALSE())),ISNA(VLOOKUP(A363,D:D,1,FALSE()))),"N","Y"))</f>
        <v>Y</v>
      </c>
      <c r="C363" s="75"/>
      <c r="D363" s="143" t="s">
        <v>484</v>
      </c>
      <c r="E363" s="40"/>
      <c r="F363" s="144" t="str">
        <f>IF(AND(ISNA(VLOOKUP(D363,A:A,1,FALSE())),ISNA(VLOOKUP(D363,BaseType!A:A,1,FALSE())),D363&lt;&gt;"Struct"),"N","Y")</f>
        <v>Y</v>
      </c>
      <c r="G363" s="146"/>
      <c r="H363" s="139">
        <v>0</v>
      </c>
      <c r="I363" s="139">
        <v>0</v>
      </c>
      <c r="J363" s="139">
        <v>0</v>
      </c>
      <c r="K363" s="139">
        <v>0</v>
      </c>
      <c r="L363" s="143">
        <v>0</v>
      </c>
      <c r="M363" s="143">
        <v>0</v>
      </c>
      <c r="N363" s="140"/>
      <c r="O363" s="140"/>
      <c r="P363" s="140"/>
      <c r="Q363" s="140"/>
      <c r="R363" s="140"/>
      <c r="S363" s="140"/>
      <c r="T363" s="140"/>
    </row>
    <row r="364" spans="1:20" ht="15" customHeight="1" x14ac:dyDescent="0.2">
      <c r="A364" s="141"/>
      <c r="B364" s="143" t="str">
        <f>IF(ISBLANK(A364),"",IF(AND(ISNA(VLOOKUP(A364,Interface_Platform!E:E,1,FALSE())),ISNA(VLOOKUP(A364,D:D,1,FALSE()))),"N","Y"))</f>
        <v/>
      </c>
      <c r="C364" s="143" t="s">
        <v>1062</v>
      </c>
      <c r="D364" s="143" t="s">
        <v>193</v>
      </c>
      <c r="E364" s="142">
        <v>1</v>
      </c>
      <c r="F364" s="144" t="str">
        <f>IF(AND(ISNA(VLOOKUP(D364,A:A,1,FALSE())),ISNA(VLOOKUP(D364,BaseType!A:A,1,FALSE())),D364&lt;&gt;"Struct"),"N","Y")</f>
        <v>Y</v>
      </c>
      <c r="G364" s="146" t="s">
        <v>1063</v>
      </c>
      <c r="H364" s="139">
        <v>0</v>
      </c>
      <c r="I364" s="139">
        <v>0</v>
      </c>
      <c r="J364" s="139">
        <v>0</v>
      </c>
      <c r="K364" s="139">
        <v>0</v>
      </c>
      <c r="L364" s="143">
        <v>0</v>
      </c>
      <c r="M364" s="143">
        <v>0</v>
      </c>
      <c r="N364" s="140"/>
      <c r="O364" s="140"/>
      <c r="P364" s="140"/>
      <c r="Q364" s="140"/>
      <c r="R364" s="140"/>
      <c r="S364" s="140"/>
      <c r="T364" s="140"/>
    </row>
    <row r="365" spans="1:20" ht="15" customHeight="1" x14ac:dyDescent="0.2">
      <c r="A365" s="141"/>
      <c r="B365" s="143" t="str">
        <f>IF(ISBLANK(A365),"",IF(AND(ISNA(VLOOKUP(A365,Interface_Platform!E:E,1,FALSE())),ISNA(VLOOKUP(A365,D:D,1,FALSE()))),"N","Y"))</f>
        <v/>
      </c>
      <c r="C365" s="143" t="s">
        <v>1064</v>
      </c>
      <c r="D365" s="143" t="s">
        <v>193</v>
      </c>
      <c r="E365" s="142">
        <v>1</v>
      </c>
      <c r="F365" s="144" t="str">
        <f>IF(AND(ISNA(VLOOKUP(D365,A:A,1,FALSE())),ISNA(VLOOKUP(D365,BaseType!A:A,1,FALSE())),D365&lt;&gt;"Struct"),"N","Y")</f>
        <v>Y</v>
      </c>
      <c r="G365" s="146" t="s">
        <v>1065</v>
      </c>
      <c r="H365" s="139">
        <v>0</v>
      </c>
      <c r="I365" s="139">
        <v>0</v>
      </c>
      <c r="J365" s="139">
        <v>0</v>
      </c>
      <c r="K365" s="139">
        <v>0</v>
      </c>
      <c r="L365" s="143">
        <v>0</v>
      </c>
      <c r="M365" s="143">
        <v>0</v>
      </c>
      <c r="N365" s="140"/>
      <c r="O365" s="140"/>
      <c r="P365" s="140"/>
      <c r="Q365" s="140"/>
      <c r="R365" s="140"/>
      <c r="S365" s="140"/>
      <c r="T365" s="140"/>
    </row>
    <row r="366" spans="1:20" ht="15" customHeight="1" x14ac:dyDescent="0.2">
      <c r="A366" s="141"/>
      <c r="B366" s="143" t="str">
        <f>IF(ISBLANK(A366),"",IF(AND(ISNA(VLOOKUP(A366,Interface_Platform!E:E,1,FALSE())),ISNA(VLOOKUP(A366,D:D,1,FALSE()))),"N","Y"))</f>
        <v/>
      </c>
      <c r="C366" s="143" t="s">
        <v>1066</v>
      </c>
      <c r="D366" s="143" t="s">
        <v>193</v>
      </c>
      <c r="E366" s="142">
        <v>1</v>
      </c>
      <c r="F366" s="144" t="str">
        <f>IF(AND(ISNA(VLOOKUP(D366,A:A,1,FALSE())),ISNA(VLOOKUP(D366,BaseType!A:A,1,FALSE())),D366&lt;&gt;"Struct"),"N","Y")</f>
        <v>Y</v>
      </c>
      <c r="G366" s="146"/>
      <c r="H366" s="139">
        <v>0</v>
      </c>
      <c r="I366" s="139">
        <v>0</v>
      </c>
      <c r="J366" s="139">
        <v>0</v>
      </c>
      <c r="K366" s="139">
        <v>0</v>
      </c>
      <c r="L366" s="143">
        <v>0</v>
      </c>
      <c r="M366" s="143">
        <v>0</v>
      </c>
      <c r="N366" s="140"/>
      <c r="O366" s="140"/>
      <c r="P366" s="140"/>
      <c r="Q366" s="140"/>
      <c r="R366" s="140"/>
      <c r="S366" s="140"/>
      <c r="T366" s="140"/>
    </row>
    <row r="367" spans="1:20" ht="15" customHeight="1" x14ac:dyDescent="0.2">
      <c r="A367" s="141"/>
      <c r="B367" s="143" t="str">
        <f>IF(ISBLANK(A367),"",IF(AND(ISNA(VLOOKUP(A367,Interface_Platform!E:E,1,FALSE())),ISNA(VLOOKUP(A367,D:D,1,FALSE()))),"N","Y"))</f>
        <v/>
      </c>
      <c r="C367" s="143" t="s">
        <v>1067</v>
      </c>
      <c r="D367" s="143" t="s">
        <v>193</v>
      </c>
      <c r="E367" s="142">
        <v>1</v>
      </c>
      <c r="F367" s="144" t="str">
        <f>IF(AND(ISNA(VLOOKUP(D367,A:A,1,FALSE())),ISNA(VLOOKUP(D367,BaseType!A:A,1,FALSE())),D367&lt;&gt;"Struct"),"N","Y")</f>
        <v>Y</v>
      </c>
      <c r="G367" s="146"/>
      <c r="H367" s="139">
        <v>0</v>
      </c>
      <c r="I367" s="139">
        <v>0</v>
      </c>
      <c r="J367" s="139">
        <v>0</v>
      </c>
      <c r="K367" s="139">
        <v>0</v>
      </c>
      <c r="L367" s="143">
        <v>0</v>
      </c>
      <c r="M367" s="143">
        <v>0</v>
      </c>
      <c r="N367" s="140"/>
      <c r="O367" s="140"/>
      <c r="P367" s="140"/>
      <c r="Q367" s="140"/>
      <c r="R367" s="140"/>
      <c r="S367" s="140"/>
      <c r="T367" s="140"/>
    </row>
    <row r="368" spans="1:20" ht="15" customHeight="1" x14ac:dyDescent="0.2">
      <c r="A368" s="141"/>
      <c r="B368" s="143" t="str">
        <f>IF(ISBLANK(A368),"",IF(AND(ISNA(VLOOKUP(A368,Interface_Platform!E:E,1,FALSE())),ISNA(VLOOKUP(A368,D:D,1,FALSE()))),"N","Y"))</f>
        <v/>
      </c>
      <c r="C368" s="143" t="s">
        <v>1068</v>
      </c>
      <c r="D368" s="143" t="s">
        <v>225</v>
      </c>
      <c r="E368" s="142">
        <v>1</v>
      </c>
      <c r="F368" s="144" t="str">
        <f>IF(AND(ISNA(VLOOKUP(D368,A:A,1,FALSE())),ISNA(VLOOKUP(D368,BaseType!A:A,1,FALSE())),D368&lt;&gt;"Struct"),"N","Y")</f>
        <v>Y</v>
      </c>
      <c r="G368" s="146" t="s">
        <v>1069</v>
      </c>
      <c r="H368" s="139">
        <v>0</v>
      </c>
      <c r="I368" s="139">
        <v>0</v>
      </c>
      <c r="J368" s="139">
        <v>0</v>
      </c>
      <c r="K368" s="139">
        <v>0</v>
      </c>
      <c r="L368" s="143">
        <v>0</v>
      </c>
      <c r="M368" s="143">
        <v>0</v>
      </c>
      <c r="N368" s="140"/>
      <c r="O368" s="140"/>
      <c r="P368" s="140"/>
      <c r="Q368" s="140"/>
      <c r="R368" s="140"/>
      <c r="S368" s="140"/>
      <c r="T368" s="140"/>
    </row>
    <row r="369" spans="1:20" ht="15" customHeight="1" x14ac:dyDescent="0.2">
      <c r="A369" s="141"/>
      <c r="B369" s="143" t="str">
        <f>IF(ISBLANK(A369),"",IF(AND(ISNA(VLOOKUP(A369,Interface_Platform!E:E,1,FALSE())),ISNA(VLOOKUP(A369,D:D,1,FALSE()))),"N","Y"))</f>
        <v/>
      </c>
      <c r="C369" s="143" t="s">
        <v>1070</v>
      </c>
      <c r="D369" s="143" t="s">
        <v>225</v>
      </c>
      <c r="E369" s="142">
        <v>1</v>
      </c>
      <c r="F369" s="144" t="str">
        <f>IF(AND(ISNA(VLOOKUP(D369,A:A,1,FALSE())),ISNA(VLOOKUP(D369,BaseType!A:A,1,FALSE())),D369&lt;&gt;"Struct"),"N","Y")</f>
        <v>Y</v>
      </c>
      <c r="G369" s="146" t="s">
        <v>1071</v>
      </c>
      <c r="H369" s="139">
        <v>0</v>
      </c>
      <c r="I369" s="139">
        <v>0</v>
      </c>
      <c r="J369" s="139">
        <v>0</v>
      </c>
      <c r="K369" s="139">
        <v>0</v>
      </c>
      <c r="L369" s="143">
        <v>0</v>
      </c>
      <c r="M369" s="143">
        <v>0</v>
      </c>
      <c r="N369" s="140"/>
      <c r="O369" s="140"/>
      <c r="P369" s="140"/>
      <c r="Q369" s="140"/>
      <c r="R369" s="140"/>
      <c r="S369" s="140"/>
      <c r="T369" s="140"/>
    </row>
    <row r="370" spans="1:20" ht="15" customHeight="1" x14ac:dyDescent="0.2">
      <c r="A370" s="141"/>
      <c r="B370" s="143" t="str">
        <f>IF(ISBLANK(A370),"",IF(AND(ISNA(VLOOKUP(A370,Interface_Platform!E:E,1,FALSE())),ISNA(VLOOKUP(A370,D:D,1,FALSE()))),"N","Y"))</f>
        <v/>
      </c>
      <c r="C370" s="143" t="s">
        <v>1072</v>
      </c>
      <c r="D370" s="143" t="s">
        <v>225</v>
      </c>
      <c r="E370" s="142">
        <v>1</v>
      </c>
      <c r="F370" s="144" t="str">
        <f>IF(AND(ISNA(VLOOKUP(D370,A:A,1,FALSE())),ISNA(VLOOKUP(D370,BaseType!A:A,1,FALSE())),D370&lt;&gt;"Struct"),"N","Y")</f>
        <v>Y</v>
      </c>
      <c r="G370" s="146"/>
      <c r="H370" s="139">
        <v>0</v>
      </c>
      <c r="I370" s="139">
        <v>0</v>
      </c>
      <c r="J370" s="139">
        <v>0</v>
      </c>
      <c r="K370" s="139">
        <v>0</v>
      </c>
      <c r="L370" s="143">
        <v>0</v>
      </c>
      <c r="M370" s="143">
        <v>0</v>
      </c>
      <c r="N370" s="140"/>
      <c r="O370" s="140"/>
      <c r="P370" s="140"/>
      <c r="Q370" s="140"/>
      <c r="R370" s="140"/>
      <c r="S370" s="140"/>
      <c r="T370" s="140"/>
    </row>
    <row r="371" spans="1:20" ht="15" customHeight="1" x14ac:dyDescent="0.2">
      <c r="A371" s="143" t="s">
        <v>205</v>
      </c>
      <c r="B371" s="143" t="str">
        <f>IF(ISBLANK(A371),"",IF(AND(ISNA(VLOOKUP(A371,Interface_Platform!E:E,1,FALSE())),ISNA(VLOOKUP(A371,D:D,1,FALSE()))),"N","Y"))</f>
        <v>Y</v>
      </c>
      <c r="C371" s="75"/>
      <c r="D371" s="143" t="s">
        <v>484</v>
      </c>
      <c r="E371" s="40"/>
      <c r="F371" s="144" t="str">
        <f>IF(AND(ISNA(VLOOKUP(D371,A:A,1,FALSE())),ISNA(VLOOKUP(D371,BaseType!A:A,1,FALSE())),D371&lt;&gt;"Struct"),"N","Y")</f>
        <v>Y</v>
      </c>
      <c r="G371" s="146"/>
      <c r="H371" s="139">
        <v>0</v>
      </c>
      <c r="I371" s="139">
        <v>0</v>
      </c>
      <c r="J371" s="139">
        <v>0</v>
      </c>
      <c r="K371" s="139">
        <v>0</v>
      </c>
      <c r="L371" s="143">
        <v>0</v>
      </c>
      <c r="M371" s="143">
        <v>0</v>
      </c>
      <c r="N371" s="140"/>
      <c r="O371" s="140"/>
      <c r="P371" s="140"/>
      <c r="Q371" s="140"/>
      <c r="R371" s="140"/>
      <c r="S371" s="140"/>
      <c r="T371" s="140"/>
    </row>
    <row r="372" spans="1:20" ht="15" customHeight="1" x14ac:dyDescent="0.2">
      <c r="A372" s="141"/>
      <c r="B372" s="143" t="str">
        <f>IF(ISBLANK(A372),"",IF(AND(ISNA(VLOOKUP(A372,Interface_Platform!E:E,1,FALSE())),ISNA(VLOOKUP(A372,D:D,1,FALSE()))),"N","Y"))</f>
        <v/>
      </c>
      <c r="C372" s="143" t="s">
        <v>1073</v>
      </c>
      <c r="D372" s="143" t="s">
        <v>193</v>
      </c>
      <c r="E372" s="142">
        <v>1</v>
      </c>
      <c r="F372" s="144" t="str">
        <f>IF(AND(ISNA(VLOOKUP(D372,A:A,1,FALSE())),ISNA(VLOOKUP(D372,BaseType!A:A,1,FALSE())),D372&lt;&gt;"Struct"),"N","Y")</f>
        <v>Y</v>
      </c>
      <c r="G372" s="146" t="s">
        <v>1074</v>
      </c>
      <c r="H372" s="139">
        <v>0</v>
      </c>
      <c r="I372" s="139">
        <v>0</v>
      </c>
      <c r="J372" s="139">
        <v>0</v>
      </c>
      <c r="K372" s="139">
        <v>0</v>
      </c>
      <c r="L372" s="143">
        <v>0</v>
      </c>
      <c r="M372" s="143">
        <v>0</v>
      </c>
      <c r="N372" s="140"/>
      <c r="O372" s="140"/>
      <c r="P372" s="140"/>
      <c r="Q372" s="140"/>
      <c r="R372" s="140"/>
      <c r="S372" s="140"/>
      <c r="T372" s="140"/>
    </row>
    <row r="373" spans="1:20" ht="15" customHeight="1" x14ac:dyDescent="0.2">
      <c r="A373" s="141"/>
      <c r="B373" s="143" t="str">
        <f>IF(ISBLANK(A373),"",IF(AND(ISNA(VLOOKUP(A373,Interface_Platform!E:E,1,FALSE())),ISNA(VLOOKUP(A373,D:D,1,FALSE()))),"N","Y"))</f>
        <v/>
      </c>
      <c r="C373" s="143" t="s">
        <v>1075</v>
      </c>
      <c r="D373" s="143" t="s">
        <v>193</v>
      </c>
      <c r="E373" s="142">
        <v>1</v>
      </c>
      <c r="F373" s="144" t="str">
        <f>IF(AND(ISNA(VLOOKUP(D373,A:A,1,FALSE())),ISNA(VLOOKUP(D373,BaseType!A:A,1,FALSE())),D373&lt;&gt;"Struct"),"N","Y")</f>
        <v>Y</v>
      </c>
      <c r="G373" s="146" t="s">
        <v>1076</v>
      </c>
      <c r="H373" s="139">
        <v>0</v>
      </c>
      <c r="I373" s="139">
        <v>0</v>
      </c>
      <c r="J373" s="139">
        <v>0</v>
      </c>
      <c r="K373" s="139">
        <v>0</v>
      </c>
      <c r="L373" s="143">
        <v>0</v>
      </c>
      <c r="M373" s="143">
        <v>0</v>
      </c>
      <c r="N373" s="140"/>
      <c r="O373" s="140"/>
      <c r="P373" s="140"/>
      <c r="Q373" s="140"/>
      <c r="R373" s="140"/>
      <c r="S373" s="140"/>
      <c r="T373" s="140"/>
    </row>
    <row r="374" spans="1:20" ht="15" customHeight="1" x14ac:dyDescent="0.2">
      <c r="A374" s="141"/>
      <c r="B374" s="143" t="str">
        <f>IF(ISBLANK(A374),"",IF(AND(ISNA(VLOOKUP(A374,Interface_Platform!E:E,1,FALSE())),ISNA(VLOOKUP(A374,D:D,1,FALSE()))),"N","Y"))</f>
        <v/>
      </c>
      <c r="C374" s="143" t="s">
        <v>1077</v>
      </c>
      <c r="D374" s="143" t="s">
        <v>225</v>
      </c>
      <c r="E374" s="142">
        <v>1</v>
      </c>
      <c r="F374" s="144" t="str">
        <f>IF(AND(ISNA(VLOOKUP(D374,A:A,1,FALSE())),ISNA(VLOOKUP(D374,BaseType!A:A,1,FALSE())),D374&lt;&gt;"Struct"),"N","Y")</f>
        <v>Y</v>
      </c>
      <c r="G374" s="146" t="s">
        <v>1078</v>
      </c>
      <c r="H374" s="139">
        <v>0</v>
      </c>
      <c r="I374" s="139">
        <v>0</v>
      </c>
      <c r="J374" s="139">
        <v>0</v>
      </c>
      <c r="K374" s="139">
        <v>0</v>
      </c>
      <c r="L374" s="143">
        <v>0</v>
      </c>
      <c r="M374" s="143">
        <v>0</v>
      </c>
      <c r="N374" s="140"/>
      <c r="O374" s="140"/>
      <c r="P374" s="140"/>
      <c r="Q374" s="140"/>
      <c r="R374" s="140"/>
      <c r="S374" s="140"/>
      <c r="T374" s="140"/>
    </row>
    <row r="375" spans="1:20" ht="15" customHeight="1" x14ac:dyDescent="0.2">
      <c r="A375" s="141"/>
      <c r="B375" s="143" t="str">
        <f>IF(ISBLANK(A375),"",IF(AND(ISNA(VLOOKUP(A375,Interface_Platform!E:E,1,FALSE())),ISNA(VLOOKUP(A375,D:D,1,FALSE()))),"N","Y"))</f>
        <v/>
      </c>
      <c r="C375" s="143" t="s">
        <v>1079</v>
      </c>
      <c r="D375" s="143" t="s">
        <v>225</v>
      </c>
      <c r="E375" s="142">
        <v>1</v>
      </c>
      <c r="F375" s="144" t="str">
        <f>IF(AND(ISNA(VLOOKUP(D375,A:A,1,FALSE())),ISNA(VLOOKUP(D375,BaseType!A:A,1,FALSE())),D375&lt;&gt;"Struct"),"N","Y")</f>
        <v>Y</v>
      </c>
      <c r="G375" s="146" t="s">
        <v>1078</v>
      </c>
      <c r="H375" s="139">
        <v>0</v>
      </c>
      <c r="I375" s="139">
        <v>0</v>
      </c>
      <c r="J375" s="139">
        <v>0</v>
      </c>
      <c r="K375" s="139">
        <v>0</v>
      </c>
      <c r="L375" s="143">
        <v>0</v>
      </c>
      <c r="M375" s="143">
        <v>0</v>
      </c>
      <c r="N375" s="140"/>
      <c r="O375" s="140"/>
      <c r="P375" s="140"/>
      <c r="Q375" s="140"/>
      <c r="R375" s="140"/>
      <c r="S375" s="140"/>
      <c r="T375" s="140"/>
    </row>
    <row r="376" spans="1:20" ht="15" customHeight="1" x14ac:dyDescent="0.2">
      <c r="A376" s="141"/>
      <c r="B376" s="143" t="str">
        <f>IF(ISBLANK(A376),"",IF(AND(ISNA(VLOOKUP(A376,Interface_Platform!E:E,1,FALSE())),ISNA(VLOOKUP(A376,D:D,1,FALSE()))),"N","Y"))</f>
        <v/>
      </c>
      <c r="C376" s="143" t="s">
        <v>1080</v>
      </c>
      <c r="D376" s="143" t="s">
        <v>225</v>
      </c>
      <c r="E376" s="142">
        <v>1</v>
      </c>
      <c r="F376" s="144" t="str">
        <f>IF(AND(ISNA(VLOOKUP(D376,A:A,1,FALSE())),ISNA(VLOOKUP(D376,BaseType!A:A,1,FALSE())),D376&lt;&gt;"Struct"),"N","Y")</f>
        <v>Y</v>
      </c>
      <c r="G376" s="146" t="s">
        <v>1081</v>
      </c>
      <c r="H376" s="139">
        <v>0</v>
      </c>
      <c r="I376" s="139">
        <v>-80</v>
      </c>
      <c r="J376" s="139">
        <v>80</v>
      </c>
      <c r="K376" s="139">
        <v>0</v>
      </c>
      <c r="L376" s="143">
        <v>0</v>
      </c>
      <c r="M376" s="143">
        <v>0</v>
      </c>
      <c r="N376" s="140"/>
      <c r="O376" s="140"/>
      <c r="P376" s="140"/>
      <c r="Q376" s="140"/>
      <c r="R376" s="140"/>
      <c r="S376" s="140"/>
      <c r="T376" s="140"/>
    </row>
    <row r="377" spans="1:20" ht="15" customHeight="1" x14ac:dyDescent="0.2">
      <c r="A377" s="141"/>
      <c r="B377" s="143" t="str">
        <f>IF(ISBLANK(A377),"",IF(AND(ISNA(VLOOKUP(A377,Interface_Platform!E:E,1,FALSE())),ISNA(VLOOKUP(A377,D:D,1,FALSE()))),"N","Y"))</f>
        <v/>
      </c>
      <c r="C377" s="143" t="s">
        <v>1082</v>
      </c>
      <c r="D377" s="143" t="s">
        <v>225</v>
      </c>
      <c r="E377" s="142">
        <v>1</v>
      </c>
      <c r="F377" s="144" t="str">
        <f>IF(AND(ISNA(VLOOKUP(D377,A:A,1,FALSE())),ISNA(VLOOKUP(D377,BaseType!A:A,1,FALSE())),D377&lt;&gt;"Struct"),"N","Y")</f>
        <v>Y</v>
      </c>
      <c r="G377" s="146" t="s">
        <v>1083</v>
      </c>
      <c r="H377" s="139">
        <v>0</v>
      </c>
      <c r="I377" s="139">
        <v>-80</v>
      </c>
      <c r="J377" s="139">
        <v>80</v>
      </c>
      <c r="K377" s="139">
        <v>0</v>
      </c>
      <c r="L377" s="143">
        <v>0</v>
      </c>
      <c r="M377" s="143">
        <v>0</v>
      </c>
      <c r="N377" s="140"/>
      <c r="O377" s="140"/>
      <c r="P377" s="140"/>
      <c r="Q377" s="140"/>
      <c r="R377" s="140"/>
      <c r="S377" s="140"/>
      <c r="T377" s="140"/>
    </row>
    <row r="378" spans="1:20" ht="15" customHeight="1" x14ac:dyDescent="0.2">
      <c r="A378" s="143"/>
      <c r="B378" s="143"/>
      <c r="C378" s="75" t="s">
        <v>1084</v>
      </c>
      <c r="D378" s="143" t="s">
        <v>225</v>
      </c>
      <c r="E378" s="40">
        <v>1</v>
      </c>
      <c r="F378" s="144" t="str">
        <f>IF(AND(ISNA(VLOOKUP(D378,A:A,1,FALSE())),ISNA(VLOOKUP(D378,BaseType!A:A,1,FALSE())),D378&lt;&gt;"Struct"),"N","Y")</f>
        <v>Y</v>
      </c>
      <c r="G378" s="146"/>
      <c r="H378" s="139"/>
      <c r="I378" s="139"/>
      <c r="J378" s="139"/>
      <c r="K378" s="139"/>
      <c r="L378" s="143"/>
      <c r="M378" s="143"/>
      <c r="N378" s="140"/>
      <c r="O378" s="140"/>
      <c r="P378" s="140"/>
      <c r="Q378" s="140"/>
      <c r="R378" s="140"/>
      <c r="S378" s="140"/>
      <c r="T378" s="140"/>
    </row>
    <row r="379" spans="1:20" ht="15" customHeight="1" x14ac:dyDescent="0.2">
      <c r="A379" s="143"/>
      <c r="B379" s="143"/>
      <c r="C379" s="75" t="s">
        <v>1085</v>
      </c>
      <c r="D379" s="143" t="s">
        <v>225</v>
      </c>
      <c r="E379" s="40">
        <v>2</v>
      </c>
      <c r="F379" s="144" t="str">
        <f>IF(AND(ISNA(VLOOKUP(D379,A:A,1,FALSE())),ISNA(VLOOKUP(D379,BaseType!A:A,1,FALSE())),D379&lt;&gt;"Struct"),"N","Y")</f>
        <v>Y</v>
      </c>
      <c r="G379" s="146"/>
      <c r="H379" s="139"/>
      <c r="I379" s="139"/>
      <c r="J379" s="139"/>
      <c r="K379" s="139"/>
      <c r="L379" s="143"/>
      <c r="M379" s="143"/>
      <c r="N379" s="140"/>
      <c r="O379" s="140"/>
      <c r="P379" s="140"/>
      <c r="Q379" s="140"/>
      <c r="R379" s="140"/>
      <c r="S379" s="140"/>
      <c r="T379" s="140"/>
    </row>
    <row r="380" spans="1:20" ht="15" customHeight="1" x14ac:dyDescent="0.2">
      <c r="A380" s="143" t="s">
        <v>215</v>
      </c>
      <c r="B380" s="143" t="str">
        <f>IF(ISBLANK(A380),"",IF(AND(ISNA(VLOOKUP(A380,Interface_Platform!E:E,1,FALSE())),ISNA(VLOOKUP(A380,D:D,1,FALSE()))),"N","Y"))</f>
        <v>Y</v>
      </c>
      <c r="C380" s="75"/>
      <c r="D380" s="143" t="s">
        <v>484</v>
      </c>
      <c r="E380" s="40"/>
      <c r="F380" s="144" t="str">
        <f>IF(AND(ISNA(VLOOKUP(D380,A:A,1,FALSE())),ISNA(VLOOKUP(D380,BaseType!A:A,1,FALSE())),D380&lt;&gt;"Struct"),"N","Y")</f>
        <v>Y</v>
      </c>
      <c r="G380" s="146"/>
      <c r="H380" s="139">
        <v>0</v>
      </c>
      <c r="I380" s="139">
        <v>0</v>
      </c>
      <c r="J380" s="139">
        <v>0</v>
      </c>
      <c r="K380" s="139">
        <v>0</v>
      </c>
      <c r="L380" s="143">
        <v>0</v>
      </c>
      <c r="M380" s="143">
        <v>0</v>
      </c>
      <c r="N380" s="140"/>
      <c r="O380" s="140"/>
      <c r="P380" s="140"/>
      <c r="Q380" s="140"/>
      <c r="R380" s="140"/>
      <c r="S380" s="140"/>
      <c r="T380" s="140"/>
    </row>
    <row r="381" spans="1:20" ht="15" customHeight="1" x14ac:dyDescent="0.2">
      <c r="A381" s="141"/>
      <c r="B381" s="143" t="str">
        <f>IF(ISBLANK(A381),"",IF(AND(ISNA(VLOOKUP(A381,Interface_Platform!E:E,1,FALSE())),ISNA(VLOOKUP(A381,D:D,1,FALSE()))),"N","Y"))</f>
        <v/>
      </c>
      <c r="C381" s="143" t="s">
        <v>1086</v>
      </c>
      <c r="D381" s="143" t="s">
        <v>293</v>
      </c>
      <c r="E381" s="142">
        <v>1</v>
      </c>
      <c r="F381" s="144" t="str">
        <f>IF(AND(ISNA(VLOOKUP(D381,A:A,1,FALSE())),ISNA(VLOOKUP(D381,BaseType!A:A,1,FALSE())),D381&lt;&gt;"Struct"),"N","Y")</f>
        <v>Y</v>
      </c>
      <c r="G381" s="146" t="s">
        <v>1087</v>
      </c>
      <c r="H381" s="139">
        <v>0</v>
      </c>
      <c r="I381" s="139">
        <v>0</v>
      </c>
      <c r="J381" s="139">
        <v>0</v>
      </c>
      <c r="K381" s="139">
        <v>0</v>
      </c>
      <c r="L381" s="143">
        <v>0</v>
      </c>
      <c r="M381" s="143">
        <v>0</v>
      </c>
      <c r="N381" s="140"/>
      <c r="O381" s="140"/>
      <c r="P381" s="140"/>
      <c r="Q381" s="140"/>
      <c r="R381" s="140"/>
      <c r="S381" s="140"/>
      <c r="T381" s="140"/>
    </row>
    <row r="382" spans="1:20" ht="15" customHeight="1" x14ac:dyDescent="0.2">
      <c r="A382" s="141"/>
      <c r="B382" s="143" t="str">
        <f>IF(ISBLANK(A382),"",IF(AND(ISNA(VLOOKUP(A382,Interface_Platform!E:E,1,FALSE())),ISNA(VLOOKUP(A382,D:D,1,FALSE()))),"N","Y"))</f>
        <v/>
      </c>
      <c r="C382" s="143" t="s">
        <v>1088</v>
      </c>
      <c r="D382" s="143" t="s">
        <v>293</v>
      </c>
      <c r="E382" s="142">
        <v>1</v>
      </c>
      <c r="F382" s="144" t="str">
        <f>IF(AND(ISNA(VLOOKUP(D382,A:A,1,FALSE())),ISNA(VLOOKUP(D382,BaseType!A:A,1,FALSE())),D382&lt;&gt;"Struct"),"N","Y")</f>
        <v>Y</v>
      </c>
      <c r="G382" s="146"/>
      <c r="H382" s="139">
        <v>0</v>
      </c>
      <c r="I382" s="139">
        <v>0</v>
      </c>
      <c r="J382" s="139">
        <v>0</v>
      </c>
      <c r="K382" s="139">
        <v>0</v>
      </c>
      <c r="L382" s="143">
        <v>0</v>
      </c>
      <c r="M382" s="143">
        <v>0</v>
      </c>
      <c r="N382" s="140"/>
      <c r="O382" s="140"/>
      <c r="P382" s="140"/>
      <c r="Q382" s="140"/>
      <c r="R382" s="140"/>
      <c r="S382" s="140"/>
      <c r="T382" s="140"/>
    </row>
    <row r="383" spans="1:20" ht="15" customHeight="1" x14ac:dyDescent="0.2">
      <c r="A383" s="141"/>
      <c r="B383" s="143" t="str">
        <f>IF(ISBLANK(A383),"",IF(AND(ISNA(VLOOKUP(A383,Interface_Platform!E:E,1,FALSE())),ISNA(VLOOKUP(A383,D:D,1,FALSE()))),"N","Y"))</f>
        <v/>
      </c>
      <c r="C383" s="143" t="s">
        <v>1089</v>
      </c>
      <c r="D383" s="143" t="s">
        <v>918</v>
      </c>
      <c r="E383" s="142">
        <v>1</v>
      </c>
      <c r="F383" s="144" t="str">
        <f>IF(AND(ISNA(VLOOKUP(D383,A:A,1,FALSE())),ISNA(VLOOKUP(D383,BaseType!A:A,1,FALSE())),D383&lt;&gt;"Struct"),"N","Y")</f>
        <v>Y</v>
      </c>
      <c r="G383" s="146"/>
      <c r="H383" s="139">
        <v>0</v>
      </c>
      <c r="I383" s="139">
        <v>0</v>
      </c>
      <c r="J383" s="139">
        <v>0</v>
      </c>
      <c r="K383" s="139">
        <v>0</v>
      </c>
      <c r="L383" s="143">
        <v>0</v>
      </c>
      <c r="M383" s="143">
        <v>0</v>
      </c>
      <c r="N383" s="140"/>
      <c r="O383" s="140"/>
      <c r="P383" s="140"/>
      <c r="Q383" s="140"/>
      <c r="R383" s="140"/>
      <c r="S383" s="140"/>
      <c r="T383" s="140"/>
    </row>
    <row r="384" spans="1:20" ht="15" customHeight="1" x14ac:dyDescent="0.2">
      <c r="A384" s="141"/>
      <c r="B384" s="143" t="str">
        <f>IF(ISBLANK(A384),"",IF(AND(ISNA(VLOOKUP(A384,Interface_Platform!E:E,1,FALSE())),ISNA(VLOOKUP(A384,D:D,1,FALSE()))),"N","Y"))</f>
        <v/>
      </c>
      <c r="C384" s="143" t="s">
        <v>1090</v>
      </c>
      <c r="D384" s="143" t="s">
        <v>193</v>
      </c>
      <c r="E384" s="142">
        <v>1</v>
      </c>
      <c r="F384" s="144" t="str">
        <f>IF(AND(ISNA(VLOOKUP(D384,A:A,1,FALSE())),ISNA(VLOOKUP(D384,BaseType!A:A,1,FALSE())),D384&lt;&gt;"Struct"),"N","Y")</f>
        <v>Y</v>
      </c>
      <c r="G384" s="146" t="s">
        <v>1091</v>
      </c>
      <c r="H384" s="139">
        <v>0</v>
      </c>
      <c r="I384" s="139">
        <v>0</v>
      </c>
      <c r="J384" s="139">
        <v>0</v>
      </c>
      <c r="K384" s="139">
        <v>0</v>
      </c>
      <c r="L384" s="143">
        <v>0</v>
      </c>
      <c r="M384" s="143">
        <v>0</v>
      </c>
      <c r="N384" s="140"/>
      <c r="O384" s="140"/>
      <c r="P384" s="140"/>
      <c r="Q384" s="140"/>
      <c r="R384" s="140"/>
      <c r="S384" s="140"/>
      <c r="T384" s="140"/>
    </row>
    <row r="385" spans="1:20" ht="15" customHeight="1" x14ac:dyDescent="0.2">
      <c r="A385" s="141"/>
      <c r="B385" s="143" t="str">
        <f>IF(ISBLANK(A385),"",IF(AND(ISNA(VLOOKUP(A385,Interface_Platform!E:E,1,FALSE())),ISNA(VLOOKUP(A385,D:D,1,FALSE()))),"N","Y"))</f>
        <v/>
      </c>
      <c r="C385" s="143" t="s">
        <v>1092</v>
      </c>
      <c r="D385" s="143" t="s">
        <v>193</v>
      </c>
      <c r="E385" s="142">
        <v>1</v>
      </c>
      <c r="F385" s="144" t="str">
        <f>IF(AND(ISNA(VLOOKUP(D385,A:A,1,FALSE())),ISNA(VLOOKUP(D385,BaseType!A:A,1,FALSE())),D385&lt;&gt;"Struct"),"N","Y")</f>
        <v>Y</v>
      </c>
      <c r="G385" s="146" t="s">
        <v>1093</v>
      </c>
      <c r="H385" s="139">
        <v>0</v>
      </c>
      <c r="I385" s="139">
        <v>0</v>
      </c>
      <c r="J385" s="139">
        <v>0</v>
      </c>
      <c r="K385" s="139">
        <v>0</v>
      </c>
      <c r="L385" s="143">
        <v>0</v>
      </c>
      <c r="M385" s="143">
        <v>0</v>
      </c>
      <c r="N385" s="140"/>
      <c r="O385" s="140"/>
      <c r="P385" s="140"/>
      <c r="Q385" s="140"/>
      <c r="R385" s="140"/>
      <c r="S385" s="140"/>
      <c r="T385" s="140"/>
    </row>
    <row r="386" spans="1:20" ht="15" customHeight="1" x14ac:dyDescent="0.2">
      <c r="A386" s="141"/>
      <c r="B386" s="143" t="str">
        <f>IF(ISBLANK(A386),"",IF(AND(ISNA(VLOOKUP(A386,Interface_Platform!E:E,1,FALSE())),ISNA(VLOOKUP(A386,D:D,1,FALSE()))),"N","Y"))</f>
        <v/>
      </c>
      <c r="C386" s="143" t="s">
        <v>1094</v>
      </c>
      <c r="D386" s="143" t="s">
        <v>193</v>
      </c>
      <c r="E386" s="142">
        <v>1</v>
      </c>
      <c r="F386" s="144" t="str">
        <f>IF(AND(ISNA(VLOOKUP(D386,A:A,1,FALSE())),ISNA(VLOOKUP(D386,BaseType!A:A,1,FALSE())),D386&lt;&gt;"Struct"),"N","Y")</f>
        <v>Y</v>
      </c>
      <c r="G386" s="146" t="s">
        <v>1095</v>
      </c>
      <c r="H386" s="139">
        <v>0</v>
      </c>
      <c r="I386" s="139">
        <v>0</v>
      </c>
      <c r="J386" s="139">
        <v>0</v>
      </c>
      <c r="K386" s="139">
        <v>0</v>
      </c>
      <c r="L386" s="143">
        <v>0</v>
      </c>
      <c r="M386" s="143">
        <v>0</v>
      </c>
      <c r="N386" s="140"/>
      <c r="O386" s="140"/>
      <c r="P386" s="140"/>
      <c r="Q386" s="140"/>
      <c r="R386" s="140"/>
      <c r="S386" s="140"/>
      <c r="T386" s="140"/>
    </row>
    <row r="387" spans="1:20" ht="15" customHeight="1" x14ac:dyDescent="0.2">
      <c r="A387" s="141"/>
      <c r="B387" s="143" t="str">
        <f>IF(ISBLANK(A387),"",IF(AND(ISNA(VLOOKUP(A387,Interface_Platform!E:E,1,FALSE())),ISNA(VLOOKUP(A387,D:D,1,FALSE()))),"N","Y"))</f>
        <v/>
      </c>
      <c r="C387" s="143" t="s">
        <v>1096</v>
      </c>
      <c r="D387" s="143" t="s">
        <v>193</v>
      </c>
      <c r="E387" s="142">
        <v>1</v>
      </c>
      <c r="F387" s="144" t="str">
        <f>IF(AND(ISNA(VLOOKUP(D387,A:A,1,FALSE())),ISNA(VLOOKUP(D387,BaseType!A:A,1,FALSE())),D387&lt;&gt;"Struct"),"N","Y")</f>
        <v>Y</v>
      </c>
      <c r="G387" s="146" t="s">
        <v>1097</v>
      </c>
      <c r="H387" s="139">
        <v>0</v>
      </c>
      <c r="I387" s="139">
        <v>0</v>
      </c>
      <c r="J387" s="139">
        <v>0</v>
      </c>
      <c r="K387" s="139">
        <v>0</v>
      </c>
      <c r="L387" s="143">
        <v>0</v>
      </c>
      <c r="M387" s="143">
        <v>0</v>
      </c>
      <c r="N387" s="140"/>
      <c r="O387" s="140"/>
      <c r="P387" s="140"/>
      <c r="Q387" s="140"/>
      <c r="R387" s="140"/>
      <c r="S387" s="140"/>
      <c r="T387" s="140"/>
    </row>
    <row r="388" spans="1:20" ht="15" customHeight="1" x14ac:dyDescent="0.2">
      <c r="A388" s="141"/>
      <c r="B388" s="143" t="str">
        <f>IF(ISBLANK(A388),"",IF(AND(ISNA(VLOOKUP(A388,Interface_Platform!E:E,1,FALSE())),ISNA(VLOOKUP(A388,D:D,1,FALSE()))),"N","Y"))</f>
        <v/>
      </c>
      <c r="C388" s="143" t="s">
        <v>1098</v>
      </c>
      <c r="D388" s="143" t="s">
        <v>193</v>
      </c>
      <c r="E388" s="142">
        <v>1</v>
      </c>
      <c r="F388" s="144" t="str">
        <f>IF(AND(ISNA(VLOOKUP(D388,A:A,1,FALSE())),ISNA(VLOOKUP(D388,BaseType!A:A,1,FALSE())),D388&lt;&gt;"Struct"),"N","Y")</f>
        <v>Y</v>
      </c>
      <c r="G388" s="146"/>
      <c r="H388" s="139">
        <v>0</v>
      </c>
      <c r="I388" s="139">
        <v>0</v>
      </c>
      <c r="J388" s="139">
        <v>0</v>
      </c>
      <c r="K388" s="139">
        <v>0</v>
      </c>
      <c r="L388" s="143">
        <v>0</v>
      </c>
      <c r="M388" s="143">
        <v>0</v>
      </c>
      <c r="N388" s="140"/>
      <c r="O388" s="140"/>
      <c r="P388" s="140"/>
      <c r="Q388" s="140"/>
      <c r="R388" s="140"/>
      <c r="S388" s="140"/>
      <c r="T388" s="140"/>
    </row>
    <row r="389" spans="1:20" ht="15" customHeight="1" x14ac:dyDescent="0.2">
      <c r="A389" s="141"/>
      <c r="B389" s="143" t="str">
        <f>IF(ISBLANK(A389),"",IF(AND(ISNA(VLOOKUP(A389,Interface_Platform!E:E,1,FALSE())),ISNA(VLOOKUP(A389,D:D,1,FALSE()))),"N","Y"))</f>
        <v/>
      </c>
      <c r="C389" s="143" t="s">
        <v>1099</v>
      </c>
      <c r="D389" s="143" t="s">
        <v>193</v>
      </c>
      <c r="E389" s="142">
        <v>1</v>
      </c>
      <c r="F389" s="144" t="str">
        <f>IF(AND(ISNA(VLOOKUP(D389,A:A,1,FALSE())),ISNA(VLOOKUP(D389,BaseType!A:A,1,FALSE())),D389&lt;&gt;"Struct"),"N","Y")</f>
        <v>Y</v>
      </c>
      <c r="G389" s="146" t="s">
        <v>1100</v>
      </c>
      <c r="H389" s="139">
        <v>0</v>
      </c>
      <c r="I389" s="139">
        <v>0</v>
      </c>
      <c r="J389" s="139">
        <v>0</v>
      </c>
      <c r="K389" s="139">
        <v>0</v>
      </c>
      <c r="L389" s="143">
        <v>0</v>
      </c>
      <c r="M389" s="143">
        <v>0</v>
      </c>
      <c r="N389" s="140"/>
      <c r="O389" s="140"/>
      <c r="P389" s="140"/>
      <c r="Q389" s="140"/>
      <c r="R389" s="140"/>
      <c r="S389" s="140"/>
      <c r="T389" s="140"/>
    </row>
    <row r="390" spans="1:20" ht="24" customHeight="1" x14ac:dyDescent="0.2">
      <c r="A390" s="141"/>
      <c r="B390" s="143" t="str">
        <f>IF(ISBLANK(A390),"",IF(AND(ISNA(VLOOKUP(A390,Interface_Platform!E:E,1,FALSE())),ISNA(VLOOKUP(A390,D:D,1,FALSE()))),"N","Y"))</f>
        <v/>
      </c>
      <c r="C390" s="143" t="s">
        <v>1101</v>
      </c>
      <c r="D390" s="143" t="s">
        <v>193</v>
      </c>
      <c r="E390" s="142">
        <v>1</v>
      </c>
      <c r="F390" s="144" t="str">
        <f>IF(AND(ISNA(VLOOKUP(D390,A:A,1,FALSE())),ISNA(VLOOKUP(D390,BaseType!A:A,1,FALSE())),D390&lt;&gt;"Struct"),"N","Y")</f>
        <v>Y</v>
      </c>
      <c r="G390" s="146" t="s">
        <v>1102</v>
      </c>
      <c r="H390" s="139">
        <v>0</v>
      </c>
      <c r="I390" s="139">
        <v>0</v>
      </c>
      <c r="J390" s="139">
        <v>0</v>
      </c>
      <c r="K390" s="139">
        <v>0</v>
      </c>
      <c r="L390" s="143">
        <v>0</v>
      </c>
      <c r="M390" s="143">
        <v>0</v>
      </c>
      <c r="N390" s="140"/>
      <c r="O390" s="140"/>
      <c r="P390" s="140"/>
      <c r="Q390" s="140"/>
      <c r="R390" s="140"/>
      <c r="S390" s="140"/>
      <c r="T390" s="140"/>
    </row>
    <row r="391" spans="1:20" ht="15" customHeight="1" x14ac:dyDescent="0.2">
      <c r="A391" s="141"/>
      <c r="B391" s="143"/>
      <c r="C391" s="143" t="s">
        <v>1103</v>
      </c>
      <c r="D391" s="143" t="s">
        <v>193</v>
      </c>
      <c r="E391" s="142">
        <v>1</v>
      </c>
      <c r="F391" s="144" t="str">
        <f>IF(AND(ISNA(VLOOKUP(D391,A:A,1,FALSE())),ISNA(VLOOKUP(D391,BaseType!A:A,1,FALSE())),D391&lt;&gt;"Struct"),"N","Y")</f>
        <v>Y</v>
      </c>
      <c r="G391" s="146" t="s">
        <v>1104</v>
      </c>
      <c r="H391" s="139"/>
      <c r="I391" s="139"/>
      <c r="J391" s="139"/>
      <c r="K391" s="139"/>
      <c r="L391" s="143"/>
      <c r="M391" s="143"/>
      <c r="N391" s="140"/>
      <c r="O391" s="140"/>
      <c r="P391" s="140"/>
      <c r="Q391" s="140"/>
      <c r="R391" s="140"/>
      <c r="S391" s="140"/>
      <c r="T391" s="140"/>
    </row>
    <row r="392" spans="1:20" ht="15" customHeight="1" x14ac:dyDescent="0.2">
      <c r="A392" s="141"/>
      <c r="B392" s="143"/>
      <c r="C392" s="143" t="s">
        <v>1105</v>
      </c>
      <c r="D392" s="143" t="s">
        <v>193</v>
      </c>
      <c r="E392" s="142">
        <v>1</v>
      </c>
      <c r="F392" s="144" t="str">
        <f>IF(AND(ISNA(VLOOKUP(D392,A:A,1,FALSE())),ISNA(VLOOKUP(D392,BaseType!A:A,1,FALSE())),D392&lt;&gt;"Struct"),"N","Y")</f>
        <v>Y</v>
      </c>
      <c r="G392" s="146" t="s">
        <v>1106</v>
      </c>
      <c r="H392" s="139"/>
      <c r="I392" s="139"/>
      <c r="J392" s="139"/>
      <c r="K392" s="139"/>
      <c r="L392" s="143"/>
      <c r="M392" s="143"/>
      <c r="N392" s="140"/>
      <c r="O392" s="140"/>
      <c r="P392" s="140"/>
      <c r="Q392" s="140"/>
      <c r="R392" s="140"/>
      <c r="S392" s="140"/>
      <c r="T392" s="140"/>
    </row>
    <row r="393" spans="1:20" ht="15" customHeight="1" x14ac:dyDescent="0.2">
      <c r="A393" s="141"/>
      <c r="B393" s="143" t="str">
        <f>IF(ISBLANK(A393),"",IF(AND(ISNA(VLOOKUP(A393,Interface_Platform!E:E,1,FALSE())),ISNA(VLOOKUP(A393,D:D,1,FALSE()))),"N","Y"))</f>
        <v/>
      </c>
      <c r="C393" s="143" t="s">
        <v>1107</v>
      </c>
      <c r="D393" s="143" t="s">
        <v>193</v>
      </c>
      <c r="E393" s="142">
        <v>1</v>
      </c>
      <c r="F393" s="144" t="str">
        <f>IF(AND(ISNA(VLOOKUP(D393,A:A,1,FALSE())),ISNA(VLOOKUP(D393,BaseType!A:A,1,FALSE())),D393&lt;&gt;"Struct"),"N","Y")</f>
        <v>Y</v>
      </c>
      <c r="G393" s="146"/>
      <c r="H393" s="139">
        <v>0</v>
      </c>
      <c r="I393" s="139">
        <v>0</v>
      </c>
      <c r="J393" s="139">
        <v>0</v>
      </c>
      <c r="K393" s="139">
        <v>0</v>
      </c>
      <c r="L393" s="143">
        <v>0</v>
      </c>
      <c r="M393" s="143">
        <v>0</v>
      </c>
      <c r="N393" s="140"/>
      <c r="O393" s="140"/>
      <c r="P393" s="140"/>
      <c r="Q393" s="140"/>
      <c r="R393" s="140"/>
      <c r="S393" s="140"/>
      <c r="T393" s="140"/>
    </row>
    <row r="394" spans="1:20" ht="15" customHeight="1" x14ac:dyDescent="0.2">
      <c r="A394" s="148" t="s">
        <v>223</v>
      </c>
      <c r="B394" s="143" t="str">
        <f>IF(ISBLANK(A394),"",IF(AND(ISNA(VLOOKUP(A394,Interface_Platform!E:E,1,FALSE())),ISNA(VLOOKUP(A394,D:D,1,FALSE()))),"N","Y"))</f>
        <v>Y</v>
      </c>
      <c r="C394" s="91"/>
      <c r="D394" s="169" t="s">
        <v>484</v>
      </c>
      <c r="E394" s="142"/>
      <c r="F394" s="144" t="str">
        <f>IF(AND(ISNA(VLOOKUP(D394,A:A,1,FALSE())),ISNA(VLOOKUP(D394,BaseType!A:A,1,FALSE())),D394&lt;&gt;"Struct"),"N","Y")</f>
        <v>Y</v>
      </c>
      <c r="G394" s="146"/>
      <c r="H394" s="139"/>
      <c r="I394" s="139"/>
      <c r="J394" s="139"/>
      <c r="K394" s="139"/>
      <c r="L394" s="143"/>
      <c r="M394" s="143"/>
      <c r="N394" s="140"/>
      <c r="O394" s="140"/>
      <c r="P394" s="140"/>
      <c r="Q394" s="140"/>
      <c r="R394" s="140"/>
      <c r="S394" s="140"/>
      <c r="T394" s="140"/>
    </row>
    <row r="395" spans="1:20" ht="15" customHeight="1" x14ac:dyDescent="0.2">
      <c r="A395" s="149"/>
      <c r="B395" s="148"/>
      <c r="C395" s="48" t="s">
        <v>1108</v>
      </c>
      <c r="D395" s="148" t="s">
        <v>193</v>
      </c>
      <c r="E395" s="142">
        <v>1</v>
      </c>
      <c r="F395" s="144" t="str">
        <f>IF(AND(ISNA(VLOOKUP(D395,A:A,1,FALSE())),ISNA(VLOOKUP(D395,BaseType!A:A,1,FALSE())),D395&lt;&gt;"Struct"),"N","Y")</f>
        <v>Y</v>
      </c>
      <c r="G395" s="146"/>
      <c r="H395" s="139"/>
      <c r="I395" s="139"/>
      <c r="J395" s="139"/>
      <c r="K395" s="139"/>
      <c r="L395" s="143"/>
      <c r="M395" s="143"/>
      <c r="N395" s="140"/>
      <c r="O395" s="140"/>
      <c r="P395" s="140"/>
      <c r="Q395" s="140"/>
      <c r="R395" s="140"/>
      <c r="S395" s="140"/>
      <c r="T395" s="140"/>
    </row>
    <row r="396" spans="1:20" ht="15" customHeight="1" x14ac:dyDescent="0.2">
      <c r="A396" s="149"/>
      <c r="B396" s="148"/>
      <c r="C396" s="48" t="s">
        <v>1109</v>
      </c>
      <c r="D396" s="148" t="s">
        <v>193</v>
      </c>
      <c r="E396" s="142">
        <v>1</v>
      </c>
      <c r="F396" s="144" t="str">
        <f>IF(AND(ISNA(VLOOKUP(D396,A:A,1,FALSE())),ISNA(VLOOKUP(D396,BaseType!A:A,1,FALSE())),D396&lt;&gt;"Struct"),"N","Y")</f>
        <v>Y</v>
      </c>
      <c r="G396" s="146"/>
      <c r="H396" s="139"/>
      <c r="I396" s="139"/>
      <c r="J396" s="139"/>
      <c r="K396" s="139"/>
      <c r="L396" s="143"/>
      <c r="M396" s="143"/>
      <c r="N396" s="140"/>
      <c r="O396" s="140"/>
      <c r="P396" s="140"/>
      <c r="Q396" s="140"/>
      <c r="R396" s="140"/>
      <c r="S396" s="140"/>
      <c r="T396" s="140"/>
    </row>
    <row r="397" spans="1:20" ht="15" customHeight="1" x14ac:dyDescent="0.2">
      <c r="A397" s="149"/>
      <c r="B397" s="148"/>
      <c r="C397" s="48" t="s">
        <v>1110</v>
      </c>
      <c r="D397" s="148" t="s">
        <v>193</v>
      </c>
      <c r="E397" s="142">
        <v>1</v>
      </c>
      <c r="F397" s="144" t="str">
        <f>IF(AND(ISNA(VLOOKUP(D397,A:A,1,FALSE())),ISNA(VLOOKUP(D397,BaseType!A:A,1,FALSE())),D397&lt;&gt;"Struct"),"N","Y")</f>
        <v>Y</v>
      </c>
      <c r="G397" s="146" t="s">
        <v>1111</v>
      </c>
      <c r="H397" s="139"/>
      <c r="I397" s="139"/>
      <c r="J397" s="139"/>
      <c r="K397" s="139"/>
      <c r="L397" s="143"/>
      <c r="M397" s="143"/>
      <c r="N397" s="140"/>
      <c r="O397" s="140"/>
      <c r="P397" s="140"/>
      <c r="Q397" s="140"/>
      <c r="R397" s="140"/>
      <c r="S397" s="140"/>
      <c r="T397" s="140"/>
    </row>
    <row r="398" spans="1:20" ht="15" customHeight="1" x14ac:dyDescent="0.2">
      <c r="A398" s="149"/>
      <c r="B398" s="148"/>
      <c r="C398" s="48" t="s">
        <v>1112</v>
      </c>
      <c r="D398" s="148" t="s">
        <v>193</v>
      </c>
      <c r="E398" s="142">
        <v>1</v>
      </c>
      <c r="F398" s="144" t="str">
        <f>IF(AND(ISNA(VLOOKUP(D398,A:A,1,FALSE())),ISNA(VLOOKUP(D398,BaseType!A:A,1,FALSE())),D398&lt;&gt;"Struct"),"N","Y")</f>
        <v>Y</v>
      </c>
      <c r="G398" s="146"/>
      <c r="H398" s="139"/>
      <c r="I398" s="139"/>
      <c r="J398" s="139"/>
      <c r="K398" s="139"/>
      <c r="L398" s="143"/>
      <c r="M398" s="143"/>
      <c r="N398" s="140"/>
      <c r="O398" s="140"/>
      <c r="P398" s="140"/>
      <c r="Q398" s="140"/>
      <c r="R398" s="140"/>
      <c r="S398" s="140"/>
      <c r="T398" s="140"/>
    </row>
    <row r="399" spans="1:20" ht="15" customHeight="1" x14ac:dyDescent="0.2">
      <c r="A399" s="149"/>
      <c r="B399" s="148"/>
      <c r="C399" s="48" t="s">
        <v>1113</v>
      </c>
      <c r="D399" s="148" t="s">
        <v>193</v>
      </c>
      <c r="E399" s="142">
        <v>1</v>
      </c>
      <c r="F399" s="144" t="str">
        <f>IF(AND(ISNA(VLOOKUP(D399,A:A,1,FALSE())),ISNA(VLOOKUP(D399,BaseType!A:A,1,FALSE())),D399&lt;&gt;"Struct"),"N","Y")</f>
        <v>Y</v>
      </c>
      <c r="G399" s="146"/>
      <c r="H399" s="139"/>
      <c r="I399" s="139"/>
      <c r="J399" s="139"/>
      <c r="K399" s="139"/>
      <c r="L399" s="143"/>
      <c r="M399" s="143"/>
      <c r="N399" s="140"/>
      <c r="O399" s="140"/>
      <c r="P399" s="140"/>
      <c r="Q399" s="140"/>
      <c r="R399" s="140"/>
      <c r="S399" s="140"/>
      <c r="T399" s="140"/>
    </row>
    <row r="400" spans="1:20" ht="15" customHeight="1" x14ac:dyDescent="0.2">
      <c r="A400" s="149"/>
      <c r="B400" s="148"/>
      <c r="C400" s="48" t="s">
        <v>1114</v>
      </c>
      <c r="D400" s="148" t="s">
        <v>193</v>
      </c>
      <c r="E400" s="142">
        <v>1</v>
      </c>
      <c r="F400" s="144" t="str">
        <f>IF(AND(ISNA(VLOOKUP(D400,A:A,1,FALSE())),ISNA(VLOOKUP(D400,BaseType!A:A,1,FALSE())),D400&lt;&gt;"Struct"),"N","Y")</f>
        <v>Y</v>
      </c>
      <c r="G400" s="146" t="s">
        <v>1115</v>
      </c>
      <c r="H400" s="139"/>
      <c r="I400" s="139"/>
      <c r="J400" s="139"/>
      <c r="K400" s="139"/>
      <c r="L400" s="143"/>
      <c r="M400" s="143"/>
      <c r="N400" s="140"/>
      <c r="O400" s="140"/>
      <c r="P400" s="140"/>
      <c r="Q400" s="140"/>
      <c r="R400" s="140"/>
      <c r="S400" s="140"/>
      <c r="T400" s="140"/>
    </row>
    <row r="401" spans="1:20" ht="15" customHeight="1" x14ac:dyDescent="0.2">
      <c r="A401" s="143"/>
      <c r="B401" s="143"/>
      <c r="C401" s="75" t="s">
        <v>1116</v>
      </c>
      <c r="D401" s="143" t="s">
        <v>193</v>
      </c>
      <c r="E401" s="142">
        <v>1</v>
      </c>
      <c r="F401" s="144" t="str">
        <f>IF(AND(ISNA(VLOOKUP(D401,A:A,1,FALSE())),ISNA(VLOOKUP(D401,BaseType!A:A,1,FALSE())),D401&lt;&gt;"Struct"),"N","Y")</f>
        <v>Y</v>
      </c>
      <c r="G401" s="146" t="s">
        <v>500</v>
      </c>
      <c r="H401" s="139"/>
      <c r="I401" s="139"/>
      <c r="J401" s="139"/>
      <c r="K401" s="139"/>
      <c r="L401" s="143"/>
      <c r="M401" s="143"/>
      <c r="N401" s="140"/>
      <c r="O401" s="140"/>
      <c r="P401" s="140"/>
      <c r="Q401" s="140"/>
      <c r="R401" s="140"/>
      <c r="S401" s="140"/>
      <c r="T401" s="140"/>
    </row>
    <row r="402" spans="1:20" ht="15" customHeight="1" x14ac:dyDescent="0.2">
      <c r="A402" s="143"/>
      <c r="B402" s="143"/>
      <c r="C402" s="75" t="s">
        <v>1117</v>
      </c>
      <c r="D402" s="143" t="s">
        <v>193</v>
      </c>
      <c r="E402" s="142">
        <v>1</v>
      </c>
      <c r="F402" s="144" t="str">
        <f>IF(AND(ISNA(VLOOKUP(D402,A:A,1,FALSE())),ISNA(VLOOKUP(D402,BaseType!A:A,1,FALSE())),D402&lt;&gt;"Struct"),"N","Y")</f>
        <v>Y</v>
      </c>
      <c r="G402" s="146" t="s">
        <v>1118</v>
      </c>
      <c r="H402" s="139"/>
      <c r="I402" s="139"/>
      <c r="J402" s="139"/>
      <c r="K402" s="139"/>
      <c r="L402" s="143"/>
      <c r="M402" s="143"/>
      <c r="N402" s="140"/>
      <c r="O402" s="140"/>
      <c r="P402" s="140"/>
      <c r="Q402" s="140"/>
      <c r="R402" s="140"/>
      <c r="S402" s="140"/>
      <c r="T402" s="140"/>
    </row>
    <row r="403" spans="1:20" ht="15" customHeight="1" x14ac:dyDescent="0.2">
      <c r="A403" s="143" t="s">
        <v>217</v>
      </c>
      <c r="B403" s="143" t="str">
        <f>IF(ISBLANK(A403),"",IF(AND(ISNA(VLOOKUP(A403,Interface_Platform!E:E,1,FALSE())),ISNA(VLOOKUP(A403,D:D,1,FALSE()))),"N","Y"))</f>
        <v>Y</v>
      </c>
      <c r="C403" s="75"/>
      <c r="D403" s="143" t="s">
        <v>484</v>
      </c>
      <c r="E403" s="40"/>
      <c r="F403" s="144" t="str">
        <f>IF(AND(ISNA(VLOOKUP(D403,A:A,1,FALSE())),ISNA(VLOOKUP(D403,BaseType!A:A,1,FALSE())),D403&lt;&gt;"Struct"),"N","Y")</f>
        <v>Y</v>
      </c>
      <c r="G403" s="146"/>
      <c r="H403" s="139">
        <v>0</v>
      </c>
      <c r="I403" s="139">
        <v>0</v>
      </c>
      <c r="J403" s="139">
        <v>0</v>
      </c>
      <c r="K403" s="139">
        <v>0</v>
      </c>
      <c r="L403" s="143">
        <v>0</v>
      </c>
      <c r="M403" s="143">
        <v>0</v>
      </c>
      <c r="N403" s="140"/>
      <c r="O403" s="140"/>
      <c r="P403" s="140"/>
      <c r="Q403" s="140"/>
      <c r="R403" s="140"/>
      <c r="S403" s="140"/>
      <c r="T403" s="140"/>
    </row>
    <row r="404" spans="1:20" ht="15" customHeight="1" x14ac:dyDescent="0.2">
      <c r="A404" s="141"/>
      <c r="B404" s="143" t="str">
        <f>IF(ISBLANK(A404),"",IF(AND(ISNA(VLOOKUP(A404,Interface_Platform!E:E,1,FALSE())),ISNA(VLOOKUP(A404,D:D,1,FALSE()))),"N","Y"))</f>
        <v/>
      </c>
      <c r="C404" s="143" t="s">
        <v>1119</v>
      </c>
      <c r="D404" s="143" t="s">
        <v>193</v>
      </c>
      <c r="E404" s="142">
        <v>1</v>
      </c>
      <c r="F404" s="144" t="str">
        <f>IF(AND(ISNA(VLOOKUP(D404,A:A,1,FALSE())),ISNA(VLOOKUP(D404,BaseType!A:A,1,FALSE())),D404&lt;&gt;"Struct"),"N","Y")</f>
        <v>Y</v>
      </c>
      <c r="G404" s="146" t="s">
        <v>1120</v>
      </c>
      <c r="H404" s="139">
        <v>0</v>
      </c>
      <c r="I404" s="139">
        <v>0</v>
      </c>
      <c r="J404" s="139">
        <v>0</v>
      </c>
      <c r="K404" s="139">
        <v>0</v>
      </c>
      <c r="L404" s="143">
        <v>0</v>
      </c>
      <c r="M404" s="143">
        <v>0</v>
      </c>
      <c r="N404" s="140"/>
      <c r="O404" s="140"/>
      <c r="P404" s="140"/>
      <c r="Q404" s="140"/>
      <c r="R404" s="140"/>
      <c r="S404" s="140"/>
      <c r="T404" s="140"/>
    </row>
    <row r="405" spans="1:20" ht="15" customHeight="1" x14ac:dyDescent="0.2">
      <c r="A405" s="141"/>
      <c r="B405" s="143"/>
      <c r="C405" s="143" t="s">
        <v>1121</v>
      </c>
      <c r="D405" s="143" t="s">
        <v>193</v>
      </c>
      <c r="E405" s="142">
        <v>1</v>
      </c>
      <c r="F405" s="144" t="str">
        <f>IF(AND(ISNA(VLOOKUP(D405,A:A,1,FALSE())),ISNA(VLOOKUP(D405,BaseType!A:A,1,FALSE())),D405&lt;&gt;"Struct"),"N","Y")</f>
        <v>Y</v>
      </c>
      <c r="G405" s="146" t="s">
        <v>1122</v>
      </c>
      <c r="H405" s="139"/>
      <c r="I405" s="139"/>
      <c r="J405" s="139"/>
      <c r="K405" s="139"/>
      <c r="L405" s="143"/>
      <c r="M405" s="143"/>
      <c r="N405" s="140"/>
      <c r="O405" s="140"/>
      <c r="P405" s="140"/>
      <c r="Q405" s="140"/>
      <c r="R405" s="140"/>
      <c r="S405" s="140"/>
      <c r="T405" s="140"/>
    </row>
    <row r="406" spans="1:20" ht="15" customHeight="1" x14ac:dyDescent="0.2">
      <c r="A406" s="141"/>
      <c r="B406" s="143" t="str">
        <f>IF(ISBLANK(A406),"",IF(AND(ISNA(VLOOKUP(A406,Interface_Platform!E:E,1,FALSE())),ISNA(VLOOKUP(A406,D:D,1,FALSE()))),"N","Y"))</f>
        <v/>
      </c>
      <c r="C406" s="143" t="s">
        <v>1123</v>
      </c>
      <c r="D406" s="143" t="s">
        <v>193</v>
      </c>
      <c r="E406" s="142">
        <v>1</v>
      </c>
      <c r="F406" s="144" t="str">
        <f>IF(AND(ISNA(VLOOKUP(D406,A:A,1,FALSE())),ISNA(VLOOKUP(D406,BaseType!A:A,1,FALSE())),D406&lt;&gt;"Struct"),"N","Y")</f>
        <v>Y</v>
      </c>
      <c r="G406" s="146" t="s">
        <v>1124</v>
      </c>
      <c r="H406" s="139">
        <v>0</v>
      </c>
      <c r="I406" s="139">
        <v>0</v>
      </c>
      <c r="J406" s="139">
        <v>0</v>
      </c>
      <c r="K406" s="139">
        <v>0</v>
      </c>
      <c r="L406" s="143">
        <v>0</v>
      </c>
      <c r="M406" s="143">
        <v>0</v>
      </c>
      <c r="N406" s="140"/>
      <c r="O406" s="140"/>
      <c r="P406" s="140"/>
      <c r="Q406" s="140"/>
      <c r="R406" s="140"/>
      <c r="S406" s="140"/>
      <c r="T406" s="140"/>
    </row>
    <row r="407" spans="1:20" ht="15" customHeight="1" x14ac:dyDescent="0.2">
      <c r="A407" s="141"/>
      <c r="B407" s="143" t="str">
        <f>IF(ISBLANK(A407),"",IF(AND(ISNA(VLOOKUP(A407,Interface_Platform!E:E,1,FALSE())),ISNA(VLOOKUP(A407,D:D,1,FALSE()))),"N","Y"))</f>
        <v/>
      </c>
      <c r="C407" s="143" t="s">
        <v>1125</v>
      </c>
      <c r="D407" s="143" t="s">
        <v>193</v>
      </c>
      <c r="E407" s="142">
        <v>1</v>
      </c>
      <c r="F407" s="144" t="str">
        <f>IF(AND(ISNA(VLOOKUP(D407,A:A,1,FALSE())),ISNA(VLOOKUP(D407,BaseType!A:A,1,FALSE())),D407&lt;&gt;"Struct"),"N","Y")</f>
        <v>Y</v>
      </c>
      <c r="G407" s="146" t="s">
        <v>1126</v>
      </c>
      <c r="H407" s="139">
        <v>0</v>
      </c>
      <c r="I407" s="139">
        <v>0</v>
      </c>
      <c r="J407" s="139">
        <v>0</v>
      </c>
      <c r="K407" s="139">
        <v>0</v>
      </c>
      <c r="L407" s="143">
        <v>0</v>
      </c>
      <c r="M407" s="143">
        <v>0</v>
      </c>
      <c r="N407" s="140"/>
      <c r="O407" s="140"/>
      <c r="P407" s="140"/>
      <c r="Q407" s="140"/>
      <c r="R407" s="140"/>
      <c r="S407" s="140"/>
      <c r="T407" s="140"/>
    </row>
    <row r="408" spans="1:20" ht="15" customHeight="1" x14ac:dyDescent="0.2">
      <c r="A408" s="141"/>
      <c r="B408" s="143"/>
      <c r="C408" s="143" t="s">
        <v>1127</v>
      </c>
      <c r="D408" s="143" t="s">
        <v>193</v>
      </c>
      <c r="E408" s="142">
        <v>1</v>
      </c>
      <c r="F408" s="144" t="str">
        <f>IF(AND(ISNA(VLOOKUP(D408,A:A,1,FALSE())),ISNA(VLOOKUP(D408,BaseType!A:A,1,FALSE())),D408&lt;&gt;"Struct"),"N","Y")</f>
        <v>Y</v>
      </c>
      <c r="G408" s="146" t="s">
        <v>1128</v>
      </c>
      <c r="H408" s="139"/>
      <c r="I408" s="139"/>
      <c r="J408" s="139"/>
      <c r="K408" s="139"/>
      <c r="L408" s="143"/>
      <c r="M408" s="143"/>
      <c r="N408" s="140"/>
      <c r="O408" s="140"/>
      <c r="P408" s="140"/>
      <c r="Q408" s="140"/>
      <c r="R408" s="140"/>
      <c r="S408" s="140"/>
      <c r="T408" s="140"/>
    </row>
    <row r="409" spans="1:20" ht="15" customHeight="1" x14ac:dyDescent="0.2">
      <c r="A409" s="141"/>
      <c r="B409" s="143"/>
      <c r="C409" s="143" t="s">
        <v>1129</v>
      </c>
      <c r="D409" s="143" t="s">
        <v>193</v>
      </c>
      <c r="E409" s="142">
        <v>1</v>
      </c>
      <c r="F409" s="144" t="str">
        <f>IF(AND(ISNA(VLOOKUP(D409,A:A,1,FALSE())),ISNA(VLOOKUP(D409,BaseType!A:A,1,FALSE())),D409&lt;&gt;"Struct"),"N","Y")</f>
        <v>Y</v>
      </c>
      <c r="G409" s="146" t="s">
        <v>1130</v>
      </c>
      <c r="H409" s="139"/>
      <c r="I409" s="139"/>
      <c r="J409" s="139"/>
      <c r="K409" s="139"/>
      <c r="L409" s="143"/>
      <c r="M409" s="143"/>
      <c r="N409" s="140"/>
      <c r="O409" s="140"/>
      <c r="P409" s="140"/>
      <c r="Q409" s="140"/>
      <c r="R409" s="140"/>
      <c r="S409" s="140"/>
      <c r="T409" s="140"/>
    </row>
    <row r="410" spans="1:20" ht="15" customHeight="1" x14ac:dyDescent="0.2">
      <c r="A410" s="141"/>
      <c r="B410" s="143"/>
      <c r="C410" s="143" t="s">
        <v>1131</v>
      </c>
      <c r="D410" s="143" t="s">
        <v>193</v>
      </c>
      <c r="E410" s="142">
        <v>1</v>
      </c>
      <c r="F410" s="144" t="str">
        <f>IF(AND(ISNA(VLOOKUP(D410,A:A,1,FALSE())),ISNA(VLOOKUP(D410,BaseType!A:A,1,FALSE())),D410&lt;&gt;"Struct"),"N","Y")</f>
        <v>Y</v>
      </c>
      <c r="G410" s="146" t="s">
        <v>1132</v>
      </c>
      <c r="H410" s="139"/>
      <c r="I410" s="139"/>
      <c r="J410" s="139"/>
      <c r="K410" s="139"/>
      <c r="L410" s="143"/>
      <c r="M410" s="143"/>
      <c r="N410" s="140"/>
      <c r="O410" s="140"/>
      <c r="P410" s="140"/>
      <c r="Q410" s="140"/>
      <c r="R410" s="140"/>
      <c r="S410" s="140"/>
      <c r="T410" s="140"/>
    </row>
    <row r="411" spans="1:20" ht="15" customHeight="1" x14ac:dyDescent="0.2">
      <c r="A411" s="141"/>
      <c r="B411" s="143"/>
      <c r="C411" s="143" t="s">
        <v>1133</v>
      </c>
      <c r="D411" s="143" t="s">
        <v>193</v>
      </c>
      <c r="E411" s="142">
        <v>1</v>
      </c>
      <c r="F411" s="144" t="str">
        <f>IF(AND(ISNA(VLOOKUP(D411,A:A,1,FALSE())),ISNA(VLOOKUP(D411,BaseType!A:A,1,FALSE())),D411&lt;&gt;"Struct"),"N","Y")</f>
        <v>Y</v>
      </c>
      <c r="G411" s="146" t="s">
        <v>1134</v>
      </c>
      <c r="H411" s="139"/>
      <c r="I411" s="139"/>
      <c r="J411" s="139"/>
      <c r="K411" s="139"/>
      <c r="L411" s="143"/>
      <c r="M411" s="143"/>
      <c r="N411" s="140"/>
      <c r="O411" s="140"/>
      <c r="P411" s="140"/>
      <c r="Q411" s="140"/>
      <c r="R411" s="140"/>
      <c r="S411" s="140"/>
      <c r="T411" s="140"/>
    </row>
    <row r="412" spans="1:20" ht="15" customHeight="1" x14ac:dyDescent="0.2">
      <c r="A412" s="141"/>
      <c r="B412" s="143"/>
      <c r="C412" s="148" t="s">
        <v>1135</v>
      </c>
      <c r="D412" s="148" t="s">
        <v>193</v>
      </c>
      <c r="E412" s="154">
        <v>1</v>
      </c>
      <c r="F412" s="144" t="str">
        <f>IF(AND(ISNA(VLOOKUP(D412,A:A,1,FALSE())),ISNA(VLOOKUP(D412,BaseType!A:A,1,FALSE())),D412&lt;&gt;"Struct"),"N","Y")</f>
        <v>Y</v>
      </c>
      <c r="G412" s="150" t="s">
        <v>1136</v>
      </c>
      <c r="H412" s="139"/>
      <c r="I412" s="139"/>
      <c r="J412" s="139"/>
      <c r="K412" s="139"/>
      <c r="L412" s="143"/>
      <c r="M412" s="143"/>
      <c r="N412" s="140"/>
      <c r="O412" s="140"/>
      <c r="P412" s="140"/>
      <c r="Q412" s="140"/>
      <c r="R412" s="140"/>
      <c r="S412" s="140"/>
      <c r="T412" s="140"/>
    </row>
    <row r="413" spans="1:20" ht="15" customHeight="1" x14ac:dyDescent="0.2">
      <c r="A413" s="141"/>
      <c r="B413" s="143"/>
      <c r="C413" s="143" t="s">
        <v>1137</v>
      </c>
      <c r="D413" s="148" t="s">
        <v>193</v>
      </c>
      <c r="E413" s="154">
        <v>1</v>
      </c>
      <c r="F413" s="144" t="str">
        <f>IF(AND(ISNA(VLOOKUP(D413,A:A,1,FALSE())),ISNA(VLOOKUP(D413,BaseType!A:A,1,FALSE())),D413&lt;&gt;"Struct"),"N","Y")</f>
        <v>Y</v>
      </c>
      <c r="G413" s="146" t="s">
        <v>1138</v>
      </c>
      <c r="H413" s="139"/>
      <c r="I413" s="139"/>
      <c r="J413" s="139"/>
      <c r="K413" s="139"/>
      <c r="L413" s="143"/>
      <c r="M413" s="143"/>
      <c r="N413" s="140"/>
      <c r="O413" s="140"/>
      <c r="P413" s="140"/>
      <c r="Q413" s="140"/>
      <c r="R413" s="140"/>
      <c r="S413" s="140"/>
      <c r="T413" s="140"/>
    </row>
    <row r="414" spans="1:20" ht="15" customHeight="1" x14ac:dyDescent="0.2">
      <c r="A414" s="141"/>
      <c r="B414" s="143"/>
      <c r="C414" s="143" t="s">
        <v>1116</v>
      </c>
      <c r="D414" s="148" t="s">
        <v>193</v>
      </c>
      <c r="E414" s="154">
        <v>1</v>
      </c>
      <c r="F414" s="144" t="str">
        <f>IF(AND(ISNA(VLOOKUP(D414,A:A,1,FALSE())),ISNA(VLOOKUP(D414,BaseType!A:A,1,FALSE())),D414&lt;&gt;"Struct"),"N","Y")</f>
        <v>Y</v>
      </c>
      <c r="G414" s="146" t="s">
        <v>1139</v>
      </c>
      <c r="H414" s="139"/>
      <c r="I414" s="139"/>
      <c r="J414" s="139"/>
      <c r="K414" s="139"/>
      <c r="L414" s="143"/>
      <c r="M414" s="143"/>
      <c r="N414" s="140"/>
      <c r="O414" s="140"/>
      <c r="P414" s="140"/>
      <c r="Q414" s="140"/>
      <c r="R414" s="140"/>
      <c r="S414" s="140"/>
      <c r="T414" s="140"/>
    </row>
    <row r="415" spans="1:20" ht="15" customHeight="1" x14ac:dyDescent="0.2">
      <c r="A415" s="141"/>
      <c r="B415" s="143"/>
      <c r="C415" s="143" t="s">
        <v>1140</v>
      </c>
      <c r="D415" s="148" t="s">
        <v>193</v>
      </c>
      <c r="E415" s="154">
        <v>1</v>
      </c>
      <c r="F415" s="144" t="str">
        <f>IF(AND(ISNA(VLOOKUP(D415,A:A,1,FALSE())),ISNA(VLOOKUP(D415,BaseType!A:A,1,FALSE())),D415&lt;&gt;"Struct"),"N","Y")</f>
        <v>Y</v>
      </c>
      <c r="G415" s="146" t="s">
        <v>1141</v>
      </c>
      <c r="H415" s="139"/>
      <c r="I415" s="139"/>
      <c r="J415" s="139"/>
      <c r="K415" s="139"/>
      <c r="L415" s="143"/>
      <c r="M415" s="143"/>
      <c r="N415" s="140"/>
      <c r="O415" s="140"/>
      <c r="P415" s="140"/>
      <c r="Q415" s="140"/>
      <c r="R415" s="140"/>
      <c r="S415" s="140"/>
      <c r="T415" s="140"/>
    </row>
    <row r="416" spans="1:20" ht="15" customHeight="1" x14ac:dyDescent="0.2">
      <c r="A416" s="141"/>
      <c r="B416" s="143"/>
      <c r="C416" s="143" t="s">
        <v>1142</v>
      </c>
      <c r="D416" s="148" t="s">
        <v>193</v>
      </c>
      <c r="E416" s="154">
        <v>1</v>
      </c>
      <c r="F416" s="144" t="str">
        <f>IF(AND(ISNA(VLOOKUP(D416,A:A,1,FALSE())),ISNA(VLOOKUP(D416,BaseType!A:A,1,FALSE())),D416&lt;&gt;"Struct"),"N","Y")</f>
        <v>Y</v>
      </c>
      <c r="G416" s="146" t="s">
        <v>1143</v>
      </c>
      <c r="H416" s="139"/>
      <c r="I416" s="139"/>
      <c r="J416" s="139"/>
      <c r="K416" s="139"/>
      <c r="L416" s="143"/>
      <c r="M416" s="143"/>
      <c r="N416" s="140"/>
      <c r="O416" s="140"/>
      <c r="P416" s="140"/>
      <c r="Q416" s="140"/>
      <c r="R416" s="140"/>
      <c r="S416" s="140"/>
      <c r="T416" s="140"/>
    </row>
    <row r="417" spans="1:20" ht="15" customHeight="1" x14ac:dyDescent="0.2">
      <c r="A417" s="141"/>
      <c r="B417" s="143"/>
      <c r="C417" s="143" t="s">
        <v>1144</v>
      </c>
      <c r="D417" s="148" t="s">
        <v>193</v>
      </c>
      <c r="E417" s="154">
        <v>1</v>
      </c>
      <c r="F417" s="144" t="str">
        <f>IF(AND(ISNA(VLOOKUP(D417,A:A,1,FALSE())),ISNA(VLOOKUP(D417,BaseType!A:A,1,FALSE())),D417&lt;&gt;"Struct"),"N","Y")</f>
        <v>Y</v>
      </c>
      <c r="G417" s="146" t="s">
        <v>1145</v>
      </c>
      <c r="H417" s="139"/>
      <c r="I417" s="139"/>
      <c r="J417" s="139"/>
      <c r="K417" s="139"/>
      <c r="L417" s="143"/>
      <c r="M417" s="143"/>
      <c r="N417" s="140"/>
      <c r="O417" s="140"/>
      <c r="P417" s="140"/>
      <c r="Q417" s="140"/>
      <c r="R417" s="140"/>
      <c r="S417" s="140"/>
      <c r="T417" s="140"/>
    </row>
    <row r="418" spans="1:20" ht="15" customHeight="1" x14ac:dyDescent="0.2">
      <c r="A418" s="141"/>
      <c r="B418" s="143"/>
      <c r="C418" s="143" t="s">
        <v>1146</v>
      </c>
      <c r="D418" s="148" t="s">
        <v>193</v>
      </c>
      <c r="E418" s="154">
        <v>1</v>
      </c>
      <c r="F418" s="144" t="str">
        <f>IF(AND(ISNA(VLOOKUP(D418,A:A,1,FALSE())),ISNA(VLOOKUP(D418,BaseType!A:A,1,FALSE())),D418&lt;&gt;"Struct"),"N","Y")</f>
        <v>Y</v>
      </c>
      <c r="G418" s="146" t="s">
        <v>1147</v>
      </c>
      <c r="H418" s="139"/>
      <c r="I418" s="139"/>
      <c r="J418" s="139"/>
      <c r="K418" s="139"/>
      <c r="L418" s="143"/>
      <c r="M418" s="143"/>
      <c r="N418" s="140"/>
      <c r="O418" s="140"/>
      <c r="P418" s="140"/>
      <c r="Q418" s="140"/>
      <c r="R418" s="140"/>
      <c r="S418" s="140"/>
      <c r="T418" s="140"/>
    </row>
    <row r="419" spans="1:20" ht="15" customHeight="1" x14ac:dyDescent="0.2">
      <c r="A419" s="141"/>
      <c r="B419" s="143"/>
      <c r="C419" s="143" t="s">
        <v>1148</v>
      </c>
      <c r="D419" s="143" t="s">
        <v>193</v>
      </c>
      <c r="E419" s="142">
        <v>1</v>
      </c>
      <c r="F419" s="144" t="str">
        <f>IF(AND(ISNA(VLOOKUP(D419,A:A,1,FALSE())),ISNA(VLOOKUP(D419,BaseType!A:A,1,FALSE())),D419&lt;&gt;"Struct"),"N","Y")</f>
        <v>Y</v>
      </c>
      <c r="G419" s="146" t="s">
        <v>1149</v>
      </c>
      <c r="H419" s="139"/>
      <c r="I419" s="139"/>
      <c r="J419" s="139"/>
      <c r="K419" s="139"/>
      <c r="L419" s="143"/>
      <c r="M419" s="143"/>
      <c r="N419" s="140"/>
      <c r="O419" s="140"/>
      <c r="P419" s="140"/>
      <c r="Q419" s="140"/>
      <c r="R419" s="140"/>
      <c r="S419" s="140"/>
      <c r="T419" s="140"/>
    </row>
    <row r="420" spans="1:20" ht="15" customHeight="1" x14ac:dyDescent="0.2">
      <c r="A420" s="141"/>
      <c r="B420" s="143" t="str">
        <f>IF(ISBLANK(A420),"",IF(AND(ISNA(VLOOKUP(A420,Interface_Platform!E:E,1,FALSE())),ISNA(VLOOKUP(A420,D:D,1,FALSE()))),"N","Y"))</f>
        <v/>
      </c>
      <c r="C420" s="143" t="s">
        <v>1150</v>
      </c>
      <c r="D420" s="143" t="s">
        <v>193</v>
      </c>
      <c r="E420" s="142">
        <v>1</v>
      </c>
      <c r="F420" s="144" t="str">
        <f>IF(AND(ISNA(VLOOKUP(D420,A:A,1,FALSE())),ISNA(VLOOKUP(D420,BaseType!A:A,1,FALSE())),D420&lt;&gt;"Struct"),"N","Y")</f>
        <v>Y</v>
      </c>
      <c r="G420" s="146" t="s">
        <v>5</v>
      </c>
      <c r="H420" s="139">
        <v>0</v>
      </c>
      <c r="I420" s="139">
        <v>0</v>
      </c>
      <c r="J420" s="139">
        <v>0</v>
      </c>
      <c r="K420" s="139">
        <v>0</v>
      </c>
      <c r="L420" s="143">
        <v>0</v>
      </c>
      <c r="M420" s="143">
        <v>0</v>
      </c>
      <c r="N420" s="140"/>
      <c r="O420" s="140"/>
      <c r="P420" s="140"/>
      <c r="Q420" s="140"/>
      <c r="R420" s="140"/>
      <c r="S420" s="140"/>
      <c r="T420" s="140"/>
    </row>
    <row r="421" spans="1:20" ht="15" customHeight="1" x14ac:dyDescent="0.2">
      <c r="A421" s="141"/>
      <c r="B421" s="143" t="str">
        <f>IF(ISBLANK(A421),"",IF(AND(ISNA(VLOOKUP(A421,Interface_Platform!E:E,1,FALSE())),ISNA(VLOOKUP(A421,D:D,1,FALSE()))),"N","Y"))</f>
        <v/>
      </c>
      <c r="C421" s="143" t="s">
        <v>1151</v>
      </c>
      <c r="D421" s="143" t="s">
        <v>193</v>
      </c>
      <c r="E421" s="142">
        <v>1</v>
      </c>
      <c r="F421" s="144" t="str">
        <f>IF(AND(ISNA(VLOOKUP(D421,A:A,1,FALSE())),ISNA(VLOOKUP(D421,BaseType!A:A,1,FALSE())),D421&lt;&gt;"Struct"),"N","Y")</f>
        <v>Y</v>
      </c>
      <c r="G421" s="146" t="s">
        <v>1152</v>
      </c>
      <c r="H421" s="139">
        <v>0</v>
      </c>
      <c r="I421" s="139">
        <v>0</v>
      </c>
      <c r="J421" s="139">
        <v>0</v>
      </c>
      <c r="K421" s="139">
        <v>0</v>
      </c>
      <c r="L421" s="143">
        <v>0</v>
      </c>
      <c r="M421" s="143">
        <v>0</v>
      </c>
      <c r="N421" s="140"/>
      <c r="O421" s="140"/>
      <c r="P421" s="140"/>
      <c r="Q421" s="140"/>
      <c r="R421" s="140"/>
      <c r="S421" s="140"/>
      <c r="T421" s="140"/>
    </row>
    <row r="422" spans="1:20" ht="15" customHeight="1" x14ac:dyDescent="0.2">
      <c r="A422" s="141"/>
      <c r="B422" s="143" t="str">
        <f>IF(ISBLANK(A422),"",IF(AND(ISNA(VLOOKUP(A422,Interface_Platform!E:E,1,FALSE())),ISNA(VLOOKUP(A422,D:D,1,FALSE()))),"N","Y"))</f>
        <v/>
      </c>
      <c r="C422" s="143" t="s">
        <v>1153</v>
      </c>
      <c r="D422" s="143" t="s">
        <v>193</v>
      </c>
      <c r="E422" s="142">
        <v>1</v>
      </c>
      <c r="F422" s="144" t="str">
        <f>IF(AND(ISNA(VLOOKUP(D422,A:A,1,FALSE())),ISNA(VLOOKUP(D422,BaseType!A:A,1,FALSE())),D422&lt;&gt;"Struct"),"N","Y")</f>
        <v>Y</v>
      </c>
      <c r="G422" s="146" t="s">
        <v>1154</v>
      </c>
      <c r="H422" s="139">
        <v>0</v>
      </c>
      <c r="I422" s="139">
        <v>0</v>
      </c>
      <c r="J422" s="139">
        <v>0</v>
      </c>
      <c r="K422" s="139">
        <v>0</v>
      </c>
      <c r="L422" s="143">
        <v>0</v>
      </c>
      <c r="M422" s="143">
        <v>0</v>
      </c>
      <c r="N422" s="140"/>
      <c r="O422" s="140"/>
      <c r="P422" s="140"/>
      <c r="Q422" s="140"/>
      <c r="R422" s="140"/>
      <c r="S422" s="140"/>
      <c r="T422" s="140"/>
    </row>
    <row r="423" spans="1:20" ht="15" customHeight="1" x14ac:dyDescent="0.2">
      <c r="A423" s="141"/>
      <c r="B423" s="143" t="str">
        <f>IF(ISBLANK(A423),"",IF(AND(ISNA(VLOOKUP(A423,Interface_Platform!E:E,1,FALSE())),ISNA(VLOOKUP(A423,D:D,1,FALSE()))),"N","Y"))</f>
        <v/>
      </c>
      <c r="C423" s="143" t="s">
        <v>1155</v>
      </c>
      <c r="D423" s="143" t="s">
        <v>193</v>
      </c>
      <c r="E423" s="142">
        <v>1</v>
      </c>
      <c r="F423" s="144" t="str">
        <f>IF(AND(ISNA(VLOOKUP(D423,A:A,1,FALSE())),ISNA(VLOOKUP(D423,BaseType!A:A,1,FALSE())),D423&lt;&gt;"Struct"),"N","Y")</f>
        <v>Y</v>
      </c>
      <c r="G423" s="146" t="s">
        <v>1156</v>
      </c>
      <c r="H423" s="139">
        <v>0</v>
      </c>
      <c r="I423" s="139">
        <v>0</v>
      </c>
      <c r="J423" s="139">
        <v>0</v>
      </c>
      <c r="K423" s="139">
        <v>0</v>
      </c>
      <c r="L423" s="143">
        <v>0</v>
      </c>
      <c r="M423" s="143">
        <v>0</v>
      </c>
      <c r="N423" s="140"/>
      <c r="O423" s="140"/>
      <c r="P423" s="140"/>
      <c r="Q423" s="140"/>
      <c r="R423" s="140"/>
      <c r="S423" s="140"/>
      <c r="T423" s="140"/>
    </row>
    <row r="424" spans="1:20" ht="15" customHeight="1" x14ac:dyDescent="0.2">
      <c r="A424" s="141"/>
      <c r="B424" s="143" t="str">
        <f>IF(ISBLANK(A424),"",IF(AND(ISNA(VLOOKUP(A424,Interface_Platform!E:E,1,FALSE())),ISNA(VLOOKUP(A424,D:D,1,FALSE()))),"N","Y"))</f>
        <v/>
      </c>
      <c r="C424" s="143" t="s">
        <v>1157</v>
      </c>
      <c r="D424" s="143" t="s">
        <v>193</v>
      </c>
      <c r="E424" s="142">
        <v>1</v>
      </c>
      <c r="F424" s="144" t="str">
        <f>IF(AND(ISNA(VLOOKUP(D424,A:A,1,FALSE())),ISNA(VLOOKUP(D424,BaseType!A:A,1,FALSE())),D424&lt;&gt;"Struct"),"N","Y")</f>
        <v>Y</v>
      </c>
      <c r="G424" s="146" t="s">
        <v>1158</v>
      </c>
      <c r="H424" s="139">
        <v>0</v>
      </c>
      <c r="I424" s="139">
        <v>0</v>
      </c>
      <c r="J424" s="139">
        <v>0</v>
      </c>
      <c r="K424" s="139">
        <v>0</v>
      </c>
      <c r="L424" s="143">
        <v>0</v>
      </c>
      <c r="M424" s="143">
        <v>0</v>
      </c>
      <c r="N424" s="140"/>
      <c r="O424" s="140"/>
      <c r="P424" s="140"/>
      <c r="Q424" s="140"/>
      <c r="R424" s="140"/>
      <c r="S424" s="140"/>
      <c r="T424" s="140"/>
    </row>
    <row r="425" spans="1:20" ht="15" customHeight="1" x14ac:dyDescent="0.2">
      <c r="A425" s="141"/>
      <c r="B425" s="143"/>
      <c r="C425" s="143" t="s">
        <v>1159</v>
      </c>
      <c r="D425" s="143" t="s">
        <v>193</v>
      </c>
      <c r="E425" s="142">
        <v>1</v>
      </c>
      <c r="F425" s="144" t="str">
        <f>IF(AND(ISNA(VLOOKUP(D425,A:A,1,FALSE())),ISNA(VLOOKUP(D425,BaseType!A:A,1,FALSE())),D425&lt;&gt;"Struct"),"N","Y")</f>
        <v>Y</v>
      </c>
      <c r="G425" s="146" t="s">
        <v>1160</v>
      </c>
      <c r="H425" s="139"/>
      <c r="I425" s="139"/>
      <c r="J425" s="139"/>
      <c r="K425" s="139"/>
      <c r="L425" s="143"/>
      <c r="M425" s="143"/>
      <c r="N425" s="140"/>
      <c r="O425" s="140"/>
      <c r="P425" s="140"/>
      <c r="Q425" s="140"/>
      <c r="R425" s="140"/>
      <c r="S425" s="140"/>
      <c r="T425" s="140"/>
    </row>
    <row r="426" spans="1:20" ht="15" customHeight="1" x14ac:dyDescent="0.2">
      <c r="A426" s="141"/>
      <c r="B426" s="143"/>
      <c r="C426" s="143" t="s">
        <v>1161</v>
      </c>
      <c r="D426" s="143" t="s">
        <v>193</v>
      </c>
      <c r="E426" s="142">
        <v>1</v>
      </c>
      <c r="F426" s="144" t="str">
        <f>IF(AND(ISNA(VLOOKUP(D426,A:A,1,FALSE())),ISNA(VLOOKUP(D426,BaseType!A:A,1,FALSE())),D426&lt;&gt;"Struct"),"N","Y")</f>
        <v>Y</v>
      </c>
      <c r="G426" s="146" t="s">
        <v>1162</v>
      </c>
      <c r="H426" s="139"/>
      <c r="I426" s="139"/>
      <c r="J426" s="139"/>
      <c r="K426" s="139"/>
      <c r="L426" s="143"/>
      <c r="M426" s="143"/>
      <c r="N426" s="140"/>
      <c r="O426" s="140"/>
      <c r="P426" s="140"/>
      <c r="Q426" s="140"/>
      <c r="R426" s="140"/>
      <c r="S426" s="140"/>
      <c r="T426" s="140"/>
    </row>
    <row r="427" spans="1:20" ht="15" customHeight="1" x14ac:dyDescent="0.2">
      <c r="A427" s="141"/>
      <c r="B427" s="143"/>
      <c r="C427" s="148" t="s">
        <v>1163</v>
      </c>
      <c r="D427" s="143" t="s">
        <v>193</v>
      </c>
      <c r="E427" s="142">
        <v>1</v>
      </c>
      <c r="F427" s="144" t="str">
        <f>IF(AND(ISNA(VLOOKUP(D427,A:A,1,FALSE())),ISNA(VLOOKUP(D427,BaseType!A:A,1,FALSE())),D427&lt;&gt;"Struct"),"N","Y")</f>
        <v>Y</v>
      </c>
      <c r="G427" s="147" t="s">
        <v>1164</v>
      </c>
      <c r="H427" s="139"/>
      <c r="I427" s="139"/>
      <c r="J427" s="139"/>
      <c r="K427" s="139"/>
      <c r="L427" s="143"/>
      <c r="M427" s="143"/>
      <c r="N427" s="140"/>
      <c r="O427" s="140"/>
      <c r="P427" s="140"/>
      <c r="Q427" s="140"/>
      <c r="R427" s="140"/>
      <c r="S427" s="140"/>
      <c r="T427" s="140"/>
    </row>
    <row r="428" spans="1:20" ht="15" customHeight="1" x14ac:dyDescent="0.2">
      <c r="A428" s="141"/>
      <c r="B428" s="143"/>
      <c r="C428" s="143" t="s">
        <v>1165</v>
      </c>
      <c r="D428" s="149" t="s">
        <v>193</v>
      </c>
      <c r="E428" s="142">
        <v>1</v>
      </c>
      <c r="F428" s="144" t="str">
        <f>IF(AND(ISNA(VLOOKUP(D428,A:A,1,FALSE())),ISNA(VLOOKUP(D428,BaseType!A:A,1,FALSE())),D428&lt;&gt;"Struct"),"N","Y")</f>
        <v>Y</v>
      </c>
      <c r="G428" s="146" t="s">
        <v>1166</v>
      </c>
      <c r="H428" s="139"/>
      <c r="I428" s="139"/>
      <c r="J428" s="139"/>
      <c r="K428" s="139"/>
      <c r="L428" s="143"/>
      <c r="M428" s="143"/>
      <c r="N428" s="140"/>
      <c r="O428" s="140"/>
      <c r="P428" s="140"/>
      <c r="Q428" s="140"/>
      <c r="R428" s="140"/>
      <c r="S428" s="140"/>
      <c r="T428" s="140"/>
    </row>
    <row r="429" spans="1:20" ht="15" customHeight="1" x14ac:dyDescent="0.2">
      <c r="A429" s="141"/>
      <c r="B429" s="143" t="str">
        <f>IF(ISBLANK(A429),"",IF(AND(ISNA(VLOOKUP(A429,Interface_Platform!E:E,1,FALSE())),ISNA(VLOOKUP(A429,D:D,1,FALSE()))),"N","Y"))</f>
        <v/>
      </c>
      <c r="C429" s="143" t="s">
        <v>1167</v>
      </c>
      <c r="D429" s="143" t="s">
        <v>193</v>
      </c>
      <c r="E429" s="142">
        <v>1</v>
      </c>
      <c r="F429" s="144" t="str">
        <f>IF(AND(ISNA(VLOOKUP(D429,A:A,1,FALSE())),ISNA(VLOOKUP(D429,BaseType!A:A,1,FALSE())),D429&lt;&gt;"Struct"),"N","Y")</f>
        <v>Y</v>
      </c>
      <c r="G429" s="146" t="s">
        <v>1168</v>
      </c>
      <c r="H429" s="139">
        <v>0</v>
      </c>
      <c r="I429" s="139">
        <v>0</v>
      </c>
      <c r="J429" s="139">
        <v>0</v>
      </c>
      <c r="K429" s="139">
        <v>0</v>
      </c>
      <c r="L429" s="143">
        <v>0</v>
      </c>
      <c r="M429" s="143">
        <v>0</v>
      </c>
      <c r="N429" s="140"/>
      <c r="O429" s="140"/>
      <c r="P429" s="140"/>
      <c r="Q429" s="140"/>
      <c r="R429" s="140"/>
      <c r="S429" s="140"/>
      <c r="T429" s="140"/>
    </row>
    <row r="430" spans="1:20" ht="15" customHeight="1" x14ac:dyDescent="0.2">
      <c r="A430" s="141"/>
      <c r="B430" s="143" t="str">
        <f>IF(ISBLANK(A430),"",IF(AND(ISNA(VLOOKUP(A430,Interface_Platform!E:E,1,FALSE())),ISNA(VLOOKUP(A430,D:D,1,FALSE()))),"N","Y"))</f>
        <v/>
      </c>
      <c r="C430" s="143" t="s">
        <v>1169</v>
      </c>
      <c r="D430" s="143" t="s">
        <v>193</v>
      </c>
      <c r="E430" s="142">
        <v>1</v>
      </c>
      <c r="F430" s="144" t="str">
        <f>IF(AND(ISNA(VLOOKUP(D430,A:A,1,FALSE())),ISNA(VLOOKUP(D430,BaseType!A:A,1,FALSE())),D430&lt;&gt;"Struct"),"N","Y")</f>
        <v>Y</v>
      </c>
      <c r="G430" s="146" t="s">
        <v>1170</v>
      </c>
      <c r="H430" s="139">
        <v>0</v>
      </c>
      <c r="I430" s="139">
        <v>0</v>
      </c>
      <c r="J430" s="139">
        <v>0</v>
      </c>
      <c r="K430" s="139">
        <v>0</v>
      </c>
      <c r="L430" s="143">
        <v>0</v>
      </c>
      <c r="M430" s="143">
        <v>0</v>
      </c>
      <c r="N430" s="140"/>
      <c r="O430" s="140"/>
      <c r="P430" s="140"/>
      <c r="Q430" s="140"/>
      <c r="R430" s="140"/>
      <c r="S430" s="140"/>
      <c r="T430" s="140"/>
    </row>
    <row r="431" spans="1:20" ht="15" customHeight="1" x14ac:dyDescent="0.2">
      <c r="A431" s="141"/>
      <c r="B431" s="143"/>
      <c r="C431" s="143" t="s">
        <v>1171</v>
      </c>
      <c r="D431" s="143" t="s">
        <v>193</v>
      </c>
      <c r="E431" s="142">
        <v>1</v>
      </c>
      <c r="F431" s="144" t="str">
        <f>IF(AND(ISNA(VLOOKUP(D431,A:A,1,FALSE())),ISNA(VLOOKUP(D431,BaseType!A:A,1,FALSE())),D431&lt;&gt;"Struct"),"N","Y")</f>
        <v>Y</v>
      </c>
      <c r="G431" s="146" t="s">
        <v>1172</v>
      </c>
      <c r="H431" s="139"/>
      <c r="I431" s="139"/>
      <c r="J431" s="139"/>
      <c r="K431" s="139"/>
      <c r="L431" s="143"/>
      <c r="M431" s="143"/>
      <c r="N431" s="140"/>
      <c r="O431" s="140"/>
      <c r="P431" s="140"/>
      <c r="Q431" s="140"/>
      <c r="R431" s="140"/>
      <c r="S431" s="140"/>
      <c r="T431" s="140"/>
    </row>
    <row r="432" spans="1:20" ht="15" customHeight="1" x14ac:dyDescent="0.2">
      <c r="A432" s="141"/>
      <c r="B432" s="143"/>
      <c r="C432" s="143" t="s">
        <v>1173</v>
      </c>
      <c r="D432" s="143" t="s">
        <v>193</v>
      </c>
      <c r="E432" s="142">
        <v>1</v>
      </c>
      <c r="F432" s="144" t="str">
        <f>IF(AND(ISNA(VLOOKUP(D432,A:A,1,FALSE())),ISNA(VLOOKUP(D432,BaseType!A:A,1,FALSE())),D432&lt;&gt;"Struct"),"N","Y")</f>
        <v>Y</v>
      </c>
      <c r="G432" s="146"/>
      <c r="H432" s="139"/>
      <c r="I432" s="139"/>
      <c r="J432" s="139"/>
      <c r="K432" s="139"/>
      <c r="L432" s="143"/>
      <c r="M432" s="143"/>
      <c r="N432" s="140"/>
      <c r="O432" s="140"/>
      <c r="P432" s="140"/>
      <c r="Q432" s="140"/>
      <c r="R432" s="140"/>
      <c r="S432" s="140"/>
      <c r="T432" s="140"/>
    </row>
    <row r="433" spans="1:20" ht="15" customHeight="1" x14ac:dyDescent="0.2">
      <c r="A433" s="141"/>
      <c r="B433" s="143"/>
      <c r="C433" s="143" t="s">
        <v>1174</v>
      </c>
      <c r="D433" s="143" t="s">
        <v>193</v>
      </c>
      <c r="E433" s="142">
        <v>1</v>
      </c>
      <c r="F433" s="144" t="str">
        <f>IF(AND(ISNA(VLOOKUP(D433,A:A,1,FALSE())),ISNA(VLOOKUP(D433,BaseType!A:A,1,FALSE())),D433&lt;&gt;"Struct"),"N","Y")</f>
        <v>Y</v>
      </c>
      <c r="G433" s="146"/>
      <c r="H433" s="139"/>
      <c r="I433" s="139"/>
      <c r="J433" s="139"/>
      <c r="K433" s="139"/>
      <c r="L433" s="143"/>
      <c r="M433" s="143"/>
      <c r="N433" s="140"/>
      <c r="O433" s="140"/>
      <c r="P433" s="140"/>
      <c r="Q433" s="140"/>
      <c r="R433" s="140"/>
      <c r="S433" s="140"/>
      <c r="T433" s="140"/>
    </row>
    <row r="434" spans="1:20" ht="15" customHeight="1" x14ac:dyDescent="0.2">
      <c r="A434" s="141"/>
      <c r="B434" s="143"/>
      <c r="C434" s="143" t="s">
        <v>1175</v>
      </c>
      <c r="D434" s="143" t="s">
        <v>193</v>
      </c>
      <c r="E434" s="142">
        <v>1</v>
      </c>
      <c r="F434" s="144" t="str">
        <f>IF(AND(ISNA(VLOOKUP(D434,A:A,1,FALSE())),ISNA(VLOOKUP(D434,BaseType!A:A,1,FALSE())),D434&lt;&gt;"Struct"),"N","Y")</f>
        <v>Y</v>
      </c>
      <c r="G434" s="146" t="s">
        <v>1176</v>
      </c>
      <c r="H434" s="139"/>
      <c r="I434" s="139"/>
      <c r="J434" s="139"/>
      <c r="K434" s="139"/>
      <c r="L434" s="143"/>
      <c r="M434" s="143"/>
      <c r="N434" s="140"/>
      <c r="O434" s="140"/>
      <c r="P434" s="140"/>
      <c r="Q434" s="140"/>
      <c r="R434" s="140"/>
      <c r="S434" s="140"/>
      <c r="T434" s="140"/>
    </row>
    <row r="435" spans="1:20" ht="15" customHeight="1" x14ac:dyDescent="0.2">
      <c r="A435" s="141"/>
      <c r="B435" s="143"/>
      <c r="C435" s="143" t="s">
        <v>1177</v>
      </c>
      <c r="D435" s="143" t="s">
        <v>193</v>
      </c>
      <c r="E435" s="142">
        <v>1</v>
      </c>
      <c r="F435" s="144" t="str">
        <f>IF(AND(ISNA(VLOOKUP(D435,A:A,1,FALSE())),ISNA(VLOOKUP(D435,BaseType!A:A,1,FALSE())),D435&lt;&gt;"Struct"),"N","Y")</f>
        <v>Y</v>
      </c>
      <c r="G435" s="146" t="s">
        <v>1178</v>
      </c>
      <c r="H435" s="139"/>
      <c r="I435" s="139"/>
      <c r="J435" s="139"/>
      <c r="K435" s="139"/>
      <c r="L435" s="143"/>
      <c r="M435" s="143"/>
      <c r="N435" s="140"/>
      <c r="O435" s="140"/>
      <c r="P435" s="140"/>
      <c r="Q435" s="140"/>
      <c r="R435" s="140"/>
      <c r="S435" s="140"/>
      <c r="T435" s="140"/>
    </row>
    <row r="436" spans="1:20" ht="15" customHeight="1" x14ac:dyDescent="0.2">
      <c r="A436" s="141"/>
      <c r="B436" s="143" t="str">
        <f>IF(ISBLANK(A436),"",IF(AND(ISNA(VLOOKUP(A436,Interface_Platform!E:E,1,FALSE())),ISNA(VLOOKUP(A436,D:D,1,FALSE()))),"N","Y"))</f>
        <v/>
      </c>
      <c r="C436" s="143" t="s">
        <v>1179</v>
      </c>
      <c r="D436" s="143" t="s">
        <v>193</v>
      </c>
      <c r="E436" s="142">
        <v>1</v>
      </c>
      <c r="F436" s="144" t="str">
        <f>IF(AND(ISNA(VLOOKUP(D436,A:A,1,FALSE())),ISNA(VLOOKUP(D436,BaseType!A:A,1,FALSE())),D436&lt;&gt;"Struct"),"N","Y")</f>
        <v>Y</v>
      </c>
      <c r="G436" s="146" t="s">
        <v>1180</v>
      </c>
      <c r="H436" s="139">
        <v>0</v>
      </c>
      <c r="I436" s="139">
        <v>0</v>
      </c>
      <c r="J436" s="139">
        <v>0</v>
      </c>
      <c r="K436" s="139">
        <v>0</v>
      </c>
      <c r="L436" s="143">
        <v>0</v>
      </c>
      <c r="M436" s="143">
        <v>0</v>
      </c>
      <c r="N436" s="140"/>
      <c r="O436" s="140"/>
      <c r="P436" s="140"/>
      <c r="Q436" s="140"/>
      <c r="R436" s="140"/>
      <c r="S436" s="140"/>
      <c r="T436" s="140"/>
    </row>
    <row r="437" spans="1:20" ht="15" customHeight="1" x14ac:dyDescent="0.2">
      <c r="A437" s="141"/>
      <c r="B437" s="143"/>
      <c r="C437" s="143" t="s">
        <v>1181</v>
      </c>
      <c r="D437" s="143" t="s">
        <v>193</v>
      </c>
      <c r="E437" s="142">
        <v>1</v>
      </c>
      <c r="F437" s="144" t="str">
        <f>IF(AND(ISNA(VLOOKUP(D437,A:A,1,FALSE())),ISNA(VLOOKUP(D437,BaseType!A:A,1,FALSE())),D437&lt;&gt;"Struct"),"N","Y")</f>
        <v>Y</v>
      </c>
      <c r="G437" s="146" t="s">
        <v>1182</v>
      </c>
      <c r="H437" s="139"/>
      <c r="I437" s="139"/>
      <c r="J437" s="139"/>
      <c r="K437" s="139"/>
      <c r="L437" s="143"/>
      <c r="M437" s="143"/>
      <c r="N437" s="140"/>
      <c r="O437" s="140"/>
      <c r="P437" s="140"/>
      <c r="Q437" s="140"/>
      <c r="R437" s="140"/>
      <c r="S437" s="140"/>
      <c r="T437" s="140"/>
    </row>
    <row r="438" spans="1:20" ht="15" customHeight="1" x14ac:dyDescent="0.2">
      <c r="A438" s="141"/>
      <c r="B438" s="143" t="str">
        <f>IF(ISBLANK(A438),"",IF(AND(ISNA(VLOOKUP(A438,Interface_Platform!E:E,1,FALSE())),ISNA(VLOOKUP(A438,D:D,1,FALSE()))),"N","Y"))</f>
        <v/>
      </c>
      <c r="C438" s="143" t="s">
        <v>1183</v>
      </c>
      <c r="D438" s="143" t="s">
        <v>193</v>
      </c>
      <c r="E438" s="142">
        <v>1</v>
      </c>
      <c r="F438" s="144" t="str">
        <f>IF(AND(ISNA(VLOOKUP(D438,A:A,1,FALSE())),ISNA(VLOOKUP(D438,BaseType!A:A,1,FALSE())),D438&lt;&gt;"Struct"),"N","Y")</f>
        <v>Y</v>
      </c>
      <c r="G438" s="146" t="s">
        <v>1184</v>
      </c>
      <c r="H438" s="139">
        <v>0</v>
      </c>
      <c r="I438" s="139">
        <v>0</v>
      </c>
      <c r="J438" s="139">
        <v>0</v>
      </c>
      <c r="K438" s="139">
        <v>0</v>
      </c>
      <c r="L438" s="143">
        <v>0</v>
      </c>
      <c r="M438" s="143">
        <v>0</v>
      </c>
      <c r="N438" s="140"/>
      <c r="O438" s="140"/>
      <c r="P438" s="140"/>
      <c r="Q438" s="140"/>
      <c r="R438" s="140"/>
      <c r="S438" s="140"/>
      <c r="T438" s="140"/>
    </row>
    <row r="439" spans="1:20" ht="15" customHeight="1" x14ac:dyDescent="0.2">
      <c r="A439" s="141"/>
      <c r="B439" s="143"/>
      <c r="C439" s="143" t="s">
        <v>1185</v>
      </c>
      <c r="D439" s="143" t="s">
        <v>193</v>
      </c>
      <c r="E439" s="142">
        <v>1</v>
      </c>
      <c r="F439" s="144" t="str">
        <f>IF(AND(ISNA(VLOOKUP(D439,A:A,1,FALSE())),ISNA(VLOOKUP(D439,BaseType!A:A,1,FALSE())),D439&lt;&gt;"Struct"),"N","Y")</f>
        <v>Y</v>
      </c>
      <c r="G439" s="146" t="s">
        <v>1186</v>
      </c>
      <c r="H439" s="139"/>
      <c r="I439" s="139"/>
      <c r="J439" s="139"/>
      <c r="K439" s="139"/>
      <c r="L439" s="143"/>
      <c r="M439" s="143"/>
      <c r="N439" s="140"/>
      <c r="O439" s="140"/>
      <c r="P439" s="140"/>
      <c r="Q439" s="140"/>
      <c r="R439" s="140"/>
      <c r="S439" s="140"/>
      <c r="T439" s="140"/>
    </row>
    <row r="440" spans="1:20" ht="15" customHeight="1" x14ac:dyDescent="0.2">
      <c r="A440" s="141"/>
      <c r="B440" s="143" t="str">
        <f>IF(ISBLANK(A440),"",IF(AND(ISNA(VLOOKUP(A440,Interface_Platform!E:E,1,FALSE())),ISNA(VLOOKUP(A440,D:D,1,FALSE()))),"N","Y"))</f>
        <v/>
      </c>
      <c r="C440" s="143" t="s">
        <v>1187</v>
      </c>
      <c r="D440" s="143" t="s">
        <v>193</v>
      </c>
      <c r="E440" s="142">
        <v>1</v>
      </c>
      <c r="F440" s="144" t="str">
        <f>IF(AND(ISNA(VLOOKUP(D440,A:A,1,FALSE())),ISNA(VLOOKUP(D440,BaseType!A:A,1,FALSE())),D440&lt;&gt;"Struct"),"N","Y")</f>
        <v>Y</v>
      </c>
      <c r="G440" s="146"/>
      <c r="H440" s="139">
        <v>0</v>
      </c>
      <c r="I440" s="139">
        <v>0</v>
      </c>
      <c r="J440" s="139">
        <v>0</v>
      </c>
      <c r="K440" s="139">
        <v>0</v>
      </c>
      <c r="L440" s="143">
        <v>0</v>
      </c>
      <c r="M440" s="143">
        <v>0</v>
      </c>
      <c r="N440" s="140"/>
      <c r="O440" s="140"/>
      <c r="P440" s="140"/>
      <c r="Q440" s="140"/>
      <c r="R440" s="140"/>
      <c r="S440" s="140"/>
      <c r="T440" s="140"/>
    </row>
    <row r="441" spans="1:20" ht="15" customHeight="1" x14ac:dyDescent="0.2">
      <c r="A441" s="141"/>
      <c r="B441" s="143" t="str">
        <f>IF(ISBLANK(A441),"",IF(AND(ISNA(VLOOKUP(A441,Interface_Platform!E:E,1,FALSE())),ISNA(VLOOKUP(A441,D:D,1,FALSE()))),"N","Y"))</f>
        <v/>
      </c>
      <c r="C441" s="143" t="s">
        <v>1188</v>
      </c>
      <c r="D441" s="143" t="s">
        <v>225</v>
      </c>
      <c r="E441" s="142">
        <v>1</v>
      </c>
      <c r="F441" s="144" t="str">
        <f>IF(AND(ISNA(VLOOKUP(D441,A:A,1,FALSE())),ISNA(VLOOKUP(D441,BaseType!A:A,1,FALSE())),D441&lt;&gt;"Struct"),"N","Y")</f>
        <v>Y</v>
      </c>
      <c r="G441" s="146"/>
      <c r="H441" s="139">
        <v>0</v>
      </c>
      <c r="I441" s="139">
        <v>0</v>
      </c>
      <c r="J441" s="139">
        <v>0</v>
      </c>
      <c r="K441" s="139">
        <v>0</v>
      </c>
      <c r="L441" s="143">
        <v>0</v>
      </c>
      <c r="M441" s="143">
        <v>0</v>
      </c>
      <c r="N441" s="140"/>
      <c r="O441" s="140"/>
      <c r="P441" s="140"/>
      <c r="Q441" s="140"/>
      <c r="R441" s="140"/>
      <c r="S441" s="140"/>
      <c r="T441" s="140"/>
    </row>
    <row r="442" spans="1:20" ht="15" customHeight="1" x14ac:dyDescent="0.2">
      <c r="A442" s="141"/>
      <c r="B442" s="143" t="str">
        <f>IF(ISBLANK(A442),"",IF(AND(ISNA(VLOOKUP(A442,Interface_Platform!E:E,1,FALSE())),ISNA(VLOOKUP(A442,D:D,1,FALSE()))),"N","Y"))</f>
        <v/>
      </c>
      <c r="C442" s="143" t="s">
        <v>1189</v>
      </c>
      <c r="D442" s="143" t="s">
        <v>225</v>
      </c>
      <c r="E442" s="142">
        <v>1</v>
      </c>
      <c r="F442" s="144" t="str">
        <f>IF(AND(ISNA(VLOOKUP(D442,A:A,1,FALSE())),ISNA(VLOOKUP(D442,BaseType!A:A,1,FALSE())),D442&lt;&gt;"Struct"),"N","Y")</f>
        <v>Y</v>
      </c>
      <c r="G442" s="146"/>
      <c r="H442" s="139">
        <v>0</v>
      </c>
      <c r="I442" s="139">
        <v>0</v>
      </c>
      <c r="J442" s="139">
        <v>0</v>
      </c>
      <c r="K442" s="139">
        <v>0</v>
      </c>
      <c r="L442" s="143">
        <v>0</v>
      </c>
      <c r="M442" s="143">
        <v>0</v>
      </c>
      <c r="N442" s="140"/>
      <c r="O442" s="140"/>
      <c r="P442" s="140"/>
      <c r="Q442" s="140"/>
      <c r="R442" s="140"/>
      <c r="S442" s="140"/>
      <c r="T442" s="140"/>
    </row>
    <row r="443" spans="1:20" ht="15" customHeight="1" x14ac:dyDescent="0.2">
      <c r="A443" s="143" t="s">
        <v>1190</v>
      </c>
      <c r="B443" s="143" t="str">
        <f>IF(ISBLANK(A443),"",IF(AND(ISNA(VLOOKUP(A443,Interface_Platform!E:E,1,FALSE())),ISNA(VLOOKUP(A443,D:D,1,FALSE()))),"N","Y"))</f>
        <v>Y</v>
      </c>
      <c r="C443" s="75"/>
      <c r="D443" s="143" t="s">
        <v>484</v>
      </c>
      <c r="E443" s="40"/>
      <c r="F443" s="144" t="str">
        <f>IF(AND(ISNA(VLOOKUP(D443,A:A,1,FALSE())),ISNA(VLOOKUP(D443,BaseType!A:A,1,FALSE())),D443&lt;&gt;"Struct"),"N","Y")</f>
        <v>Y</v>
      </c>
      <c r="G443" s="146"/>
      <c r="H443" s="139">
        <v>0</v>
      </c>
      <c r="I443" s="139">
        <v>0</v>
      </c>
      <c r="J443" s="139">
        <v>0</v>
      </c>
      <c r="K443" s="139">
        <v>0</v>
      </c>
      <c r="L443" s="143">
        <v>0</v>
      </c>
      <c r="M443" s="143">
        <v>0</v>
      </c>
      <c r="N443" s="140"/>
      <c r="O443" s="140"/>
      <c r="P443" s="140"/>
      <c r="Q443" s="140"/>
      <c r="R443" s="140"/>
      <c r="S443" s="140"/>
      <c r="T443" s="140"/>
    </row>
    <row r="444" spans="1:20" ht="15" customHeight="1" x14ac:dyDescent="0.2">
      <c r="A444" s="141"/>
      <c r="B444" s="143"/>
      <c r="C444" s="143" t="s">
        <v>1191</v>
      </c>
      <c r="D444" s="143" t="s">
        <v>193</v>
      </c>
      <c r="E444" s="142">
        <v>1</v>
      </c>
      <c r="F444" s="144" t="str">
        <f>IF(AND(ISNA(VLOOKUP(D444,A:A,1,FALSE())),ISNA(VLOOKUP(D444,BaseType!A:A,1,FALSE())),D444&lt;&gt;"Struct"),"N","Y")</f>
        <v>Y</v>
      </c>
      <c r="G444" s="146" t="s">
        <v>1192</v>
      </c>
      <c r="H444" s="139"/>
      <c r="I444" s="139"/>
      <c r="J444" s="139"/>
      <c r="K444" s="139"/>
      <c r="L444" s="143"/>
      <c r="M444" s="143"/>
      <c r="N444" s="140"/>
      <c r="O444" s="140"/>
      <c r="P444" s="140"/>
      <c r="Q444" s="140"/>
      <c r="R444" s="140"/>
      <c r="S444" s="140"/>
      <c r="T444" s="140"/>
    </row>
    <row r="445" spans="1:20" ht="15" customHeight="1" x14ac:dyDescent="0.2">
      <c r="A445" s="141"/>
      <c r="B445" s="143"/>
      <c r="C445" s="143" t="s">
        <v>1193</v>
      </c>
      <c r="D445" s="143" t="s">
        <v>193</v>
      </c>
      <c r="E445" s="142">
        <v>1</v>
      </c>
      <c r="F445" s="144" t="str">
        <f>IF(AND(ISNA(VLOOKUP(D445,A:A,1,FALSE())),ISNA(VLOOKUP(D445,BaseType!A:A,1,FALSE())),D445&lt;&gt;"Struct"),"N","Y")</f>
        <v>Y</v>
      </c>
      <c r="G445" s="146" t="s">
        <v>1194</v>
      </c>
      <c r="H445" s="139"/>
      <c r="I445" s="139"/>
      <c r="J445" s="139"/>
      <c r="K445" s="139"/>
      <c r="L445" s="143"/>
      <c r="M445" s="143"/>
      <c r="N445" s="140"/>
      <c r="O445" s="140"/>
      <c r="P445" s="140"/>
      <c r="Q445" s="140"/>
      <c r="R445" s="140"/>
      <c r="S445" s="140"/>
      <c r="T445" s="140"/>
    </row>
    <row r="446" spans="1:20" ht="15" customHeight="1" x14ac:dyDescent="0.2">
      <c r="A446" s="141"/>
      <c r="B446" s="143"/>
      <c r="C446" s="143" t="s">
        <v>1195</v>
      </c>
      <c r="D446" s="143" t="s">
        <v>193</v>
      </c>
      <c r="E446" s="142">
        <v>1</v>
      </c>
      <c r="F446" s="144" t="str">
        <f>IF(AND(ISNA(VLOOKUP(D446,A:A,1,FALSE())),ISNA(VLOOKUP(D446,BaseType!A:A,1,FALSE())),D446&lt;&gt;"Struct"),"N","Y")</f>
        <v>Y</v>
      </c>
      <c r="G446" s="146" t="s">
        <v>1196</v>
      </c>
      <c r="H446" s="139"/>
      <c r="I446" s="139"/>
      <c r="J446" s="139"/>
      <c r="K446" s="139"/>
      <c r="L446" s="143"/>
      <c r="M446" s="143"/>
      <c r="N446" s="140"/>
      <c r="O446" s="140"/>
      <c r="P446" s="140"/>
      <c r="Q446" s="140"/>
      <c r="R446" s="140"/>
      <c r="S446" s="140"/>
      <c r="T446" s="140"/>
    </row>
    <row r="447" spans="1:20" ht="15" customHeight="1" x14ac:dyDescent="0.2">
      <c r="A447" s="141"/>
      <c r="B447" s="143"/>
      <c r="C447" s="143" t="s">
        <v>1197</v>
      </c>
      <c r="D447" s="143" t="s">
        <v>225</v>
      </c>
      <c r="E447" s="142">
        <v>1</v>
      </c>
      <c r="F447" s="144" t="str">
        <f>IF(AND(ISNA(VLOOKUP(D447,A:A,1,FALSE())),ISNA(VLOOKUP(D447,BaseType!A:A,1,FALSE())),D447&lt;&gt;"Struct"),"N","Y")</f>
        <v>Y</v>
      </c>
      <c r="G447" s="146"/>
      <c r="H447" s="139"/>
      <c r="I447" s="139"/>
      <c r="J447" s="139"/>
      <c r="K447" s="139"/>
      <c r="L447" s="143"/>
      <c r="M447" s="143"/>
      <c r="N447" s="140"/>
      <c r="O447" s="140"/>
      <c r="P447" s="140"/>
      <c r="Q447" s="140"/>
      <c r="R447" s="140"/>
      <c r="S447" s="140"/>
      <c r="T447" s="140"/>
    </row>
    <row r="448" spans="1:20" ht="15" customHeight="1" x14ac:dyDescent="0.2">
      <c r="A448" s="141"/>
      <c r="B448" s="143"/>
      <c r="C448" s="143" t="s">
        <v>1198</v>
      </c>
      <c r="D448" s="143" t="s">
        <v>225</v>
      </c>
      <c r="E448" s="142">
        <v>1</v>
      </c>
      <c r="F448" s="144" t="str">
        <f>IF(AND(ISNA(VLOOKUP(D448,A:A,1,FALSE())),ISNA(VLOOKUP(D448,BaseType!A:A,1,FALSE())),D448&lt;&gt;"Struct"),"N","Y")</f>
        <v>Y</v>
      </c>
      <c r="G448" s="146"/>
      <c r="H448" s="139"/>
      <c r="I448" s="139"/>
      <c r="J448" s="139"/>
      <c r="K448" s="139"/>
      <c r="L448" s="143"/>
      <c r="M448" s="143"/>
      <c r="N448" s="140"/>
      <c r="O448" s="140"/>
      <c r="P448" s="140"/>
      <c r="Q448" s="140"/>
      <c r="R448" s="140"/>
      <c r="S448" s="140"/>
      <c r="T448" s="140"/>
    </row>
    <row r="449" spans="1:20" ht="15" customHeight="1" x14ac:dyDescent="0.2">
      <c r="A449" s="141"/>
      <c r="B449" s="143"/>
      <c r="C449" s="148" t="s">
        <v>1199</v>
      </c>
      <c r="D449" s="143" t="s">
        <v>225</v>
      </c>
      <c r="E449" s="142">
        <v>1</v>
      </c>
      <c r="F449" s="144" t="str">
        <f>IF(AND(ISNA(VLOOKUP(D449,A:A,1,FALSE())),ISNA(VLOOKUP(D449,BaseType!A:A,1,FALSE())),D449&lt;&gt;"Struct"),"N","Y")</f>
        <v>Y</v>
      </c>
      <c r="G449" s="146"/>
      <c r="H449" s="139"/>
      <c r="I449" s="139"/>
      <c r="J449" s="139"/>
      <c r="K449" s="139"/>
      <c r="L449" s="143"/>
      <c r="M449" s="143"/>
      <c r="N449" s="140"/>
      <c r="O449" s="140"/>
      <c r="P449" s="140"/>
      <c r="Q449" s="140"/>
      <c r="R449" s="140"/>
      <c r="S449" s="140"/>
      <c r="T449" s="140"/>
    </row>
    <row r="450" spans="1:20" ht="15" customHeight="1" x14ac:dyDescent="0.2">
      <c r="A450" s="141"/>
      <c r="B450" s="143"/>
      <c r="C450" s="148" t="s">
        <v>1200</v>
      </c>
      <c r="D450" s="143" t="s">
        <v>225</v>
      </c>
      <c r="E450" s="142">
        <v>1</v>
      </c>
      <c r="F450" s="144" t="str">
        <f>IF(AND(ISNA(VLOOKUP(D450,A:A,1,FALSE())),ISNA(VLOOKUP(D450,BaseType!A:A,1,FALSE())),D450&lt;&gt;"Struct"),"N","Y")</f>
        <v>Y</v>
      </c>
      <c r="G450" s="146"/>
      <c r="H450" s="139"/>
      <c r="I450" s="139"/>
      <c r="J450" s="139"/>
      <c r="K450" s="139"/>
      <c r="L450" s="143"/>
      <c r="M450" s="143"/>
      <c r="N450" s="140"/>
      <c r="O450" s="140"/>
      <c r="P450" s="140"/>
      <c r="Q450" s="140"/>
      <c r="R450" s="140"/>
      <c r="S450" s="140"/>
      <c r="T450" s="140"/>
    </row>
    <row r="451" spans="1:20" ht="15" customHeight="1" x14ac:dyDescent="0.2">
      <c r="A451" s="141"/>
      <c r="B451" s="143"/>
      <c r="C451" s="148" t="s">
        <v>1201</v>
      </c>
      <c r="D451" s="143" t="s">
        <v>225</v>
      </c>
      <c r="E451" s="142">
        <v>1</v>
      </c>
      <c r="F451" s="144" t="str">
        <f>IF(AND(ISNA(VLOOKUP(D451,A:A,1,FALSE())),ISNA(VLOOKUP(D451,BaseType!A:A,1,FALSE())),D451&lt;&gt;"Struct"),"N","Y")</f>
        <v>Y</v>
      </c>
      <c r="G451" s="146"/>
      <c r="H451" s="139"/>
      <c r="I451" s="139"/>
      <c r="J451" s="139"/>
      <c r="K451" s="139"/>
      <c r="L451" s="143"/>
      <c r="M451" s="143"/>
      <c r="N451" s="140"/>
      <c r="O451" s="140"/>
      <c r="P451" s="140"/>
      <c r="Q451" s="140"/>
      <c r="R451" s="140"/>
      <c r="S451" s="140"/>
      <c r="T451" s="140"/>
    </row>
    <row r="452" spans="1:20" ht="15" customHeight="1" x14ac:dyDescent="0.2">
      <c r="A452" s="141"/>
      <c r="B452" s="143"/>
      <c r="C452" s="148" t="s">
        <v>1202</v>
      </c>
      <c r="D452" s="143" t="s">
        <v>225</v>
      </c>
      <c r="E452" s="142">
        <v>1</v>
      </c>
      <c r="F452" s="144" t="str">
        <f>IF(AND(ISNA(VLOOKUP(D452,A:A,1,FALSE())),ISNA(VLOOKUP(D452,BaseType!A:A,1,FALSE())),D452&lt;&gt;"Struct"),"N","Y")</f>
        <v>Y</v>
      </c>
      <c r="G452" s="146"/>
      <c r="H452" s="139"/>
      <c r="I452" s="139"/>
      <c r="J452" s="139"/>
      <c r="K452" s="139"/>
      <c r="L452" s="143"/>
      <c r="M452" s="143"/>
      <c r="N452" s="140"/>
      <c r="O452" s="140"/>
      <c r="P452" s="140"/>
      <c r="Q452" s="140"/>
      <c r="R452" s="140"/>
      <c r="S452" s="140"/>
      <c r="T452" s="140"/>
    </row>
    <row r="453" spans="1:20" ht="15" customHeight="1" x14ac:dyDescent="0.2">
      <c r="A453" s="141"/>
      <c r="B453" s="143"/>
      <c r="C453" s="143" t="s">
        <v>1203</v>
      </c>
      <c r="D453" s="143" t="s">
        <v>225</v>
      </c>
      <c r="E453" s="142">
        <v>1</v>
      </c>
      <c r="F453" s="144" t="str">
        <f>IF(AND(ISNA(VLOOKUP(D453,A:A,1,FALSE())),ISNA(VLOOKUP(D453,BaseType!A:A,1,FALSE())),D453&lt;&gt;"Struct"),"N","Y")</f>
        <v>Y</v>
      </c>
      <c r="G453" s="146" t="s">
        <v>1204</v>
      </c>
      <c r="H453" s="139"/>
      <c r="I453" s="139"/>
      <c r="J453" s="139"/>
      <c r="K453" s="139"/>
      <c r="L453" s="143"/>
      <c r="M453" s="143"/>
      <c r="N453" s="140"/>
      <c r="O453" s="140"/>
      <c r="P453" s="140"/>
      <c r="Q453" s="140"/>
      <c r="R453" s="140"/>
      <c r="S453" s="140"/>
      <c r="T453" s="140"/>
    </row>
    <row r="454" spans="1:20" ht="15" customHeight="1" x14ac:dyDescent="0.2">
      <c r="A454" s="141"/>
      <c r="B454" s="143"/>
      <c r="C454" s="143" t="s">
        <v>1205</v>
      </c>
      <c r="D454" s="143" t="s">
        <v>225</v>
      </c>
      <c r="E454" s="142">
        <v>1</v>
      </c>
      <c r="F454" s="144" t="str">
        <f>IF(AND(ISNA(VLOOKUP(D454,A:A,1,FALSE())),ISNA(VLOOKUP(D454,BaseType!A:A,1,FALSE())),D454&lt;&gt;"Struct"),"N","Y")</f>
        <v>Y</v>
      </c>
      <c r="G454" s="146" t="s">
        <v>1206</v>
      </c>
      <c r="H454" s="139"/>
      <c r="I454" s="139"/>
      <c r="J454" s="139"/>
      <c r="K454" s="139"/>
      <c r="L454" s="143"/>
      <c r="M454" s="143"/>
      <c r="N454" s="140"/>
      <c r="O454" s="140"/>
      <c r="P454" s="140"/>
      <c r="Q454" s="140"/>
      <c r="R454" s="140"/>
      <c r="S454" s="140"/>
      <c r="T454" s="140"/>
    </row>
    <row r="455" spans="1:20" ht="15" customHeight="1" x14ac:dyDescent="0.2">
      <c r="A455" s="148" t="s">
        <v>219</v>
      </c>
      <c r="B455" s="144" t="str">
        <f>IF(ISBLANK(A455),"",IF(AND(ISNA(VLOOKUP(A455,Interface_Platform!E:E,1,FALSE())),ISNA(VLOOKUP(A455,D:D,1,FALSE()))),"N","Y"))</f>
        <v>Y</v>
      </c>
      <c r="C455" s="48"/>
      <c r="D455" s="148" t="s">
        <v>1190</v>
      </c>
      <c r="E455" s="154">
        <v>8</v>
      </c>
      <c r="F455" s="144" t="str">
        <f>IF(AND(ISNA(VLOOKUP(D455,A:A,1,FALSE())),ISNA(VLOOKUP(D455,BaseType!A:A,1,FALSE())),D455&lt;&gt;"Struct"),"N","Y")</f>
        <v>Y</v>
      </c>
      <c r="G455" s="150" t="s">
        <v>1207</v>
      </c>
      <c r="H455" s="152"/>
      <c r="I455" s="152"/>
      <c r="J455" s="152"/>
      <c r="K455" s="152"/>
      <c r="L455" s="148"/>
      <c r="M455" s="148"/>
      <c r="N455" s="42"/>
      <c r="O455" s="42"/>
      <c r="P455" s="42"/>
      <c r="Q455" s="42"/>
      <c r="R455" s="42"/>
      <c r="S455" s="42"/>
      <c r="T455" s="42"/>
    </row>
    <row r="456" spans="1:20" ht="15" customHeight="1" x14ac:dyDescent="0.2">
      <c r="A456" s="143" t="s">
        <v>1208</v>
      </c>
      <c r="B456" s="143" t="str">
        <f>IF(ISBLANK(A456),"",IF(AND(ISNA(VLOOKUP(A456,Interface_Platform!E:E,1,FALSE())),ISNA(VLOOKUP(A456,D:D,1,FALSE()))),"N","Y"))</f>
        <v>Y</v>
      </c>
      <c r="C456" s="75"/>
      <c r="D456" s="143" t="s">
        <v>484</v>
      </c>
      <c r="E456" s="40"/>
      <c r="F456" s="144" t="str">
        <f>IF(AND(ISNA(VLOOKUP(D456,A:A,1,FALSE())),ISNA(VLOOKUP(D456,BaseType!A:A,1,FALSE())),D456&lt;&gt;"Struct"),"N","Y")</f>
        <v>Y</v>
      </c>
      <c r="G456" s="146"/>
      <c r="H456" s="139">
        <v>0</v>
      </c>
      <c r="I456" s="139">
        <v>0</v>
      </c>
      <c r="J456" s="139">
        <v>0</v>
      </c>
      <c r="K456" s="139">
        <v>0</v>
      </c>
      <c r="L456" s="143">
        <v>0</v>
      </c>
      <c r="M456" s="143">
        <v>0</v>
      </c>
      <c r="N456" s="140"/>
      <c r="O456" s="140"/>
      <c r="P456" s="140"/>
      <c r="Q456" s="140"/>
      <c r="R456" s="140"/>
      <c r="S456" s="140"/>
      <c r="T456" s="140"/>
    </row>
    <row r="457" spans="1:20" ht="15" customHeight="1" x14ac:dyDescent="0.2">
      <c r="A457" s="143"/>
      <c r="B457" s="143"/>
      <c r="C457" s="143" t="s">
        <v>1209</v>
      </c>
      <c r="D457" s="143" t="s">
        <v>193</v>
      </c>
      <c r="E457" s="142">
        <v>1</v>
      </c>
      <c r="F457" s="144" t="str">
        <f>IF(AND(ISNA(VLOOKUP(D457,A:A,1,FALSE())),ISNA(VLOOKUP(D457,BaseType!A:A,1,FALSE())),D457&lt;&gt;"Struct"),"N","Y")</f>
        <v>Y</v>
      </c>
      <c r="G457" s="146"/>
      <c r="H457" s="139"/>
      <c r="I457" s="139"/>
      <c r="J457" s="139"/>
      <c r="K457" s="139"/>
      <c r="L457" s="143"/>
      <c r="M457" s="143"/>
      <c r="N457" s="140"/>
      <c r="O457" s="140"/>
      <c r="P457" s="140"/>
      <c r="Q457" s="140"/>
      <c r="R457" s="140"/>
      <c r="S457" s="140"/>
      <c r="T457" s="140"/>
    </row>
    <row r="458" spans="1:20" ht="15" customHeight="1" x14ac:dyDescent="0.2">
      <c r="A458" s="143"/>
      <c r="B458" s="143"/>
      <c r="C458" s="143" t="s">
        <v>1210</v>
      </c>
      <c r="D458" s="143" t="s">
        <v>193</v>
      </c>
      <c r="E458" s="142">
        <v>1</v>
      </c>
      <c r="F458" s="144" t="str">
        <f>IF(AND(ISNA(VLOOKUP(D458,A:A,1,FALSE())),ISNA(VLOOKUP(D458,BaseType!A:A,1,FALSE())),D458&lt;&gt;"Struct"),"N","Y")</f>
        <v>Y</v>
      </c>
      <c r="G458" s="146" t="s">
        <v>1002</v>
      </c>
      <c r="H458" s="139"/>
      <c r="I458" s="139"/>
      <c r="J458" s="139"/>
      <c r="K458" s="139"/>
      <c r="L458" s="143"/>
      <c r="M458" s="143"/>
      <c r="N458" s="140"/>
      <c r="O458" s="140"/>
      <c r="P458" s="140"/>
      <c r="Q458" s="140"/>
      <c r="R458" s="140"/>
      <c r="S458" s="140"/>
      <c r="T458" s="140"/>
    </row>
    <row r="459" spans="1:20" ht="15" customHeight="1" x14ac:dyDescent="0.2">
      <c r="A459" s="143"/>
      <c r="B459" s="143"/>
      <c r="C459" s="143" t="s">
        <v>1211</v>
      </c>
      <c r="D459" s="143" t="s">
        <v>193</v>
      </c>
      <c r="E459" s="142">
        <v>1</v>
      </c>
      <c r="F459" s="144" t="str">
        <f>IF(AND(ISNA(VLOOKUP(D459,A:A,1,FALSE())),ISNA(VLOOKUP(D459,BaseType!A:A,1,FALSE())),D459&lt;&gt;"Struct"),"N","Y")</f>
        <v>Y</v>
      </c>
      <c r="G459" s="146" t="s">
        <v>1212</v>
      </c>
      <c r="H459" s="139"/>
      <c r="I459" s="139"/>
      <c r="J459" s="139"/>
      <c r="K459" s="139"/>
      <c r="L459" s="143"/>
      <c r="M459" s="143"/>
      <c r="N459" s="140"/>
      <c r="O459" s="140"/>
      <c r="P459" s="140"/>
      <c r="Q459" s="140"/>
      <c r="R459" s="140"/>
      <c r="S459" s="140"/>
      <c r="T459" s="140"/>
    </row>
    <row r="460" spans="1:20" ht="15" customHeight="1" x14ac:dyDescent="0.2">
      <c r="A460" s="143"/>
      <c r="B460" s="143"/>
      <c r="C460" s="143" t="s">
        <v>1213</v>
      </c>
      <c r="D460" s="143" t="s">
        <v>193</v>
      </c>
      <c r="E460" s="142">
        <v>1</v>
      </c>
      <c r="F460" s="144" t="str">
        <f>IF(AND(ISNA(VLOOKUP(D460,A:A,1,FALSE())),ISNA(VLOOKUP(D460,BaseType!A:A,1,FALSE())),D460&lt;&gt;"Struct"),"N","Y")</f>
        <v>Y</v>
      </c>
      <c r="G460" s="146" t="s">
        <v>1214</v>
      </c>
      <c r="H460" s="139"/>
      <c r="I460" s="139"/>
      <c r="J460" s="139"/>
      <c r="K460" s="139"/>
      <c r="L460" s="143"/>
      <c r="M460" s="143"/>
      <c r="N460" s="140"/>
      <c r="O460" s="140"/>
      <c r="P460" s="140"/>
      <c r="Q460" s="140"/>
      <c r="R460" s="140"/>
      <c r="S460" s="140"/>
      <c r="T460" s="140"/>
    </row>
    <row r="461" spans="1:20" ht="15" customHeight="1" x14ac:dyDescent="0.2">
      <c r="A461" s="143"/>
      <c r="B461" s="143"/>
      <c r="C461" s="143" t="s">
        <v>1215</v>
      </c>
      <c r="D461" s="148" t="s">
        <v>1216</v>
      </c>
      <c r="E461" s="142">
        <v>1</v>
      </c>
      <c r="F461" s="144" t="str">
        <f>IF(AND(ISNA(VLOOKUP(D461,A:A,1,FALSE())),ISNA(VLOOKUP(D461,BaseType!A:A,1,FALSE())),D461&lt;&gt;"Struct"),"N","Y")</f>
        <v>Y</v>
      </c>
      <c r="G461" s="146"/>
      <c r="H461" s="139"/>
      <c r="I461" s="139"/>
      <c r="J461" s="139"/>
      <c r="K461" s="139"/>
      <c r="L461" s="143"/>
      <c r="M461" s="143"/>
      <c r="N461" s="140"/>
      <c r="O461" s="140"/>
      <c r="P461" s="140"/>
      <c r="Q461" s="140"/>
      <c r="R461" s="140"/>
      <c r="S461" s="140"/>
      <c r="T461" s="140"/>
    </row>
    <row r="462" spans="1:20" ht="15" customHeight="1" x14ac:dyDescent="0.2">
      <c r="A462" s="143"/>
      <c r="B462" s="143"/>
      <c r="C462" s="143" t="s">
        <v>1217</v>
      </c>
      <c r="D462" s="143" t="s">
        <v>193</v>
      </c>
      <c r="E462" s="142">
        <v>1</v>
      </c>
      <c r="F462" s="144" t="str">
        <f>IF(AND(ISNA(VLOOKUP(D462,A:A,1,FALSE())),ISNA(VLOOKUP(D462,BaseType!A:A,1,FALSE())),D462&lt;&gt;"Struct"),"N","Y")</f>
        <v>Y</v>
      </c>
      <c r="G462" s="146" t="s">
        <v>1218</v>
      </c>
      <c r="H462" s="139"/>
      <c r="I462" s="139"/>
      <c r="J462" s="139"/>
      <c r="K462" s="139"/>
      <c r="L462" s="143"/>
      <c r="M462" s="143"/>
      <c r="N462" s="140"/>
      <c r="O462" s="140"/>
      <c r="P462" s="140"/>
      <c r="Q462" s="140"/>
      <c r="R462" s="140"/>
      <c r="S462" s="140"/>
      <c r="T462" s="140"/>
    </row>
    <row r="463" spans="1:20" ht="15" customHeight="1" x14ac:dyDescent="0.2">
      <c r="A463" s="143"/>
      <c r="B463" s="143"/>
      <c r="C463" s="143" t="s">
        <v>1219</v>
      </c>
      <c r="D463" s="148" t="s">
        <v>225</v>
      </c>
      <c r="E463" s="142">
        <v>1</v>
      </c>
      <c r="F463" s="144" t="str">
        <f>IF(AND(ISNA(VLOOKUP(D463,A:A,1,FALSE())),ISNA(VLOOKUP(D463,BaseType!A:A,1,FALSE())),D463&lt;&gt;"Struct"),"N","Y")</f>
        <v>Y</v>
      </c>
      <c r="G463" s="183" t="s">
        <v>1204</v>
      </c>
      <c r="H463" s="139"/>
      <c r="I463" s="139"/>
      <c r="J463" s="139"/>
      <c r="K463" s="139"/>
      <c r="L463" s="143"/>
      <c r="M463" s="143"/>
      <c r="N463" s="140"/>
      <c r="O463" s="140"/>
      <c r="P463" s="140"/>
      <c r="Q463" s="140"/>
      <c r="R463" s="140"/>
      <c r="S463" s="140"/>
      <c r="T463" s="140"/>
    </row>
    <row r="464" spans="1:20" ht="15" customHeight="1" x14ac:dyDescent="0.2">
      <c r="A464" s="143"/>
      <c r="B464" s="143"/>
      <c r="C464" s="143" t="s">
        <v>1220</v>
      </c>
      <c r="D464" s="148" t="s">
        <v>225</v>
      </c>
      <c r="E464" s="142">
        <v>1</v>
      </c>
      <c r="F464" s="144" t="str">
        <f>IF(AND(ISNA(VLOOKUP(D464,A:A,1,FALSE())),ISNA(VLOOKUP(D464,BaseType!A:A,1,FALSE())),D464&lt;&gt;"Struct"),"N","Y")</f>
        <v>Y</v>
      </c>
      <c r="G464" s="183" t="s">
        <v>1204</v>
      </c>
      <c r="H464" s="139"/>
      <c r="I464" s="139"/>
      <c r="J464" s="139"/>
      <c r="K464" s="139"/>
      <c r="L464" s="143"/>
      <c r="M464" s="143"/>
      <c r="N464" s="140"/>
      <c r="O464" s="140"/>
      <c r="P464" s="140"/>
      <c r="Q464" s="140"/>
      <c r="R464" s="140"/>
      <c r="S464" s="140"/>
      <c r="T464" s="140"/>
    </row>
    <row r="465" spans="1:20" ht="15" customHeight="1" x14ac:dyDescent="0.2">
      <c r="A465" s="143"/>
      <c r="B465" s="143" t="str">
        <f>IF(ISBLANK(A465),"",IF(AND(ISNA(VLOOKUP(A465,Interface_Platform!E:E,1,FALSE())),ISNA(VLOOKUP(A465,D:D,1,FALSE()))),"N","Y"))</f>
        <v/>
      </c>
      <c r="C465" s="143" t="s">
        <v>1221</v>
      </c>
      <c r="D465" s="148" t="s">
        <v>225</v>
      </c>
      <c r="E465" s="142">
        <v>1</v>
      </c>
      <c r="F465" s="144" t="str">
        <f>IF(AND(ISNA(VLOOKUP(D465,A:A,1,FALSE())),ISNA(VLOOKUP(D465,BaseType!A:A,1,FALSE())),D465&lt;&gt;"Struct"),"N","Y")</f>
        <v>Y</v>
      </c>
      <c r="G465" s="183" t="s">
        <v>1222</v>
      </c>
      <c r="H465" s="139">
        <v>0</v>
      </c>
      <c r="I465" s="139">
        <v>0</v>
      </c>
      <c r="J465" s="139">
        <v>0</v>
      </c>
      <c r="K465" s="139">
        <v>0</v>
      </c>
      <c r="L465" s="143">
        <v>0</v>
      </c>
      <c r="M465" s="143">
        <v>0</v>
      </c>
      <c r="N465" s="140"/>
      <c r="O465" s="140"/>
      <c r="P465" s="140"/>
      <c r="Q465" s="140"/>
      <c r="R465" s="140"/>
      <c r="S465" s="140"/>
      <c r="T465" s="140"/>
    </row>
    <row r="466" spans="1:20" ht="15" customHeight="1" x14ac:dyDescent="0.2">
      <c r="A466" s="143"/>
      <c r="B466" s="143" t="str">
        <f>IF(ISBLANK(A466),"",IF(AND(ISNA(VLOOKUP(A466,Interface_Platform!E:E,1,FALSE())),ISNA(VLOOKUP(A466,D:D,1,FALSE()))),"N","Y"))</f>
        <v/>
      </c>
      <c r="C466" s="143" t="s">
        <v>1223</v>
      </c>
      <c r="D466" s="148" t="s">
        <v>225</v>
      </c>
      <c r="E466" s="142">
        <v>1</v>
      </c>
      <c r="F466" s="144" t="str">
        <f>IF(AND(ISNA(VLOOKUP(D466,A:A,1,FALSE())),ISNA(VLOOKUP(D466,BaseType!A:A,1,FALSE())),D466&lt;&gt;"Struct"),"N","Y")</f>
        <v>Y</v>
      </c>
      <c r="G466" s="183" t="s">
        <v>1222</v>
      </c>
      <c r="H466" s="139">
        <v>0</v>
      </c>
      <c r="I466" s="139">
        <v>0</v>
      </c>
      <c r="J466" s="139">
        <v>0</v>
      </c>
      <c r="K466" s="139">
        <v>0</v>
      </c>
      <c r="L466" s="143">
        <v>0</v>
      </c>
      <c r="M466" s="143">
        <v>0</v>
      </c>
      <c r="N466" s="140"/>
      <c r="O466" s="140"/>
      <c r="P466" s="140"/>
      <c r="Q466" s="140"/>
      <c r="R466" s="140"/>
      <c r="S466" s="140"/>
      <c r="T466" s="140"/>
    </row>
    <row r="467" spans="1:20" ht="15" customHeight="1" x14ac:dyDescent="0.2">
      <c r="A467" s="143"/>
      <c r="B467" s="143" t="str">
        <f>IF(ISBLANK(A467),"",IF(AND(ISNA(VLOOKUP(A467,Interface_Platform!E:E,1,FALSE())),ISNA(VLOOKUP(A467,D:D,1,FALSE()))),"N","Y"))</f>
        <v/>
      </c>
      <c r="C467" s="182" t="s">
        <v>1224</v>
      </c>
      <c r="D467" s="148" t="s">
        <v>225</v>
      </c>
      <c r="E467" s="142">
        <v>1</v>
      </c>
      <c r="F467" s="144" t="str">
        <f>IF(AND(ISNA(VLOOKUP(D467,A:A,1,FALSE())),ISNA(VLOOKUP(D467,BaseType!A:A,1,FALSE())),D467&lt;&gt;"Struct"),"N","Y")</f>
        <v>Y</v>
      </c>
      <c r="G467" s="183" t="s">
        <v>1204</v>
      </c>
      <c r="H467" s="139">
        <v>0</v>
      </c>
      <c r="I467" s="139">
        <v>0</v>
      </c>
      <c r="J467" s="139">
        <v>0</v>
      </c>
      <c r="K467" s="139">
        <v>0</v>
      </c>
      <c r="L467" s="143">
        <v>0</v>
      </c>
      <c r="M467" s="143">
        <v>0</v>
      </c>
      <c r="N467" s="140"/>
      <c r="O467" s="140"/>
      <c r="P467" s="140"/>
      <c r="Q467" s="140"/>
      <c r="R467" s="140"/>
      <c r="S467" s="140"/>
      <c r="T467" s="140"/>
    </row>
    <row r="468" spans="1:20" ht="15" customHeight="1" x14ac:dyDescent="0.2">
      <c r="A468" s="143"/>
      <c r="B468" s="143" t="str">
        <f>IF(ISBLANK(A468),"",IF(AND(ISNA(VLOOKUP(A468,Interface_Platform!E:E,1,FALSE())),ISNA(VLOOKUP(A468,D:D,1,FALSE()))),"N","Y"))</f>
        <v/>
      </c>
      <c r="C468" s="182" t="s">
        <v>1225</v>
      </c>
      <c r="D468" s="148" t="s">
        <v>225</v>
      </c>
      <c r="E468" s="142">
        <v>1</v>
      </c>
      <c r="F468" s="144" t="str">
        <f>IF(AND(ISNA(VLOOKUP(D468,A:A,1,FALSE())),ISNA(VLOOKUP(D468,BaseType!A:A,1,FALSE())),D468&lt;&gt;"Struct"),"N","Y")</f>
        <v>Y</v>
      </c>
      <c r="G468" s="183" t="s">
        <v>1204</v>
      </c>
      <c r="H468" s="139">
        <v>0</v>
      </c>
      <c r="I468" s="139">
        <v>0</v>
      </c>
      <c r="J468" s="139">
        <v>0</v>
      </c>
      <c r="K468" s="139">
        <v>0</v>
      </c>
      <c r="L468" s="143">
        <v>0</v>
      </c>
      <c r="M468" s="143">
        <v>0</v>
      </c>
      <c r="N468" s="140"/>
      <c r="O468" s="140"/>
      <c r="P468" s="140"/>
      <c r="Q468" s="140"/>
      <c r="R468" s="140"/>
      <c r="S468" s="140"/>
      <c r="T468" s="140"/>
    </row>
    <row r="469" spans="1:20" ht="15" customHeight="1" x14ac:dyDescent="0.2">
      <c r="A469" s="143"/>
      <c r="B469" s="143" t="str">
        <f>IF(ISBLANK(A469),"",IF(AND(ISNA(VLOOKUP(A469,Interface_Platform!E:E,1,FALSE())),ISNA(VLOOKUP(A469,D:D,1,FALSE()))),"N","Y"))</f>
        <v/>
      </c>
      <c r="C469" s="201" t="s">
        <v>1226</v>
      </c>
      <c r="D469" s="148" t="s">
        <v>225</v>
      </c>
      <c r="E469" s="142">
        <v>1</v>
      </c>
      <c r="F469" s="144" t="str">
        <f>IF(AND(ISNA(VLOOKUP(D469,A:A,1,FALSE())),ISNA(VLOOKUP(D469,BaseType!A:A,1,FALSE())),D469&lt;&gt;"Struct"),"N","Y")</f>
        <v>Y</v>
      </c>
      <c r="G469" s="183" t="s">
        <v>1204</v>
      </c>
      <c r="H469" s="139">
        <v>0</v>
      </c>
      <c r="I469" s="139">
        <v>0</v>
      </c>
      <c r="J469" s="139">
        <v>0</v>
      </c>
      <c r="K469" s="139">
        <v>0</v>
      </c>
      <c r="L469" s="143">
        <v>0</v>
      </c>
      <c r="M469" s="143">
        <v>0</v>
      </c>
      <c r="N469" s="140"/>
      <c r="O469" s="140"/>
      <c r="P469" s="140"/>
      <c r="Q469" s="140"/>
      <c r="R469" s="140"/>
      <c r="S469" s="140"/>
      <c r="T469" s="140"/>
    </row>
    <row r="470" spans="1:20" ht="15" customHeight="1" x14ac:dyDescent="0.2">
      <c r="A470" s="143"/>
      <c r="B470" s="143" t="str">
        <f>IF(ISBLANK(A470),"",IF(AND(ISNA(VLOOKUP(A470,Interface_Platform!E:E,1,FALSE())),ISNA(VLOOKUP(A470,D:D,1,FALSE()))),"N","Y"))</f>
        <v/>
      </c>
      <c r="C470" s="143" t="s">
        <v>1227</v>
      </c>
      <c r="D470" s="143" t="s">
        <v>193</v>
      </c>
      <c r="E470" s="142">
        <v>1</v>
      </c>
      <c r="F470" s="144" t="str">
        <f>IF(AND(ISNA(VLOOKUP(D470,A:A,1,FALSE())),ISNA(VLOOKUP(D470,BaseType!A:A,1,FALSE())),D470&lt;&gt;"Struct"),"N","Y")</f>
        <v>Y</v>
      </c>
      <c r="G470" s="146" t="s">
        <v>1228</v>
      </c>
      <c r="H470" s="139">
        <v>0</v>
      </c>
      <c r="I470" s="139">
        <v>0</v>
      </c>
      <c r="J470" s="139">
        <v>0</v>
      </c>
      <c r="K470" s="139">
        <v>0</v>
      </c>
      <c r="L470" s="143">
        <v>0</v>
      </c>
      <c r="M470" s="143">
        <v>0</v>
      </c>
      <c r="N470" s="140"/>
      <c r="O470" s="140"/>
      <c r="P470" s="140"/>
      <c r="Q470" s="140"/>
      <c r="R470" s="140"/>
      <c r="S470" s="140"/>
      <c r="T470" s="140"/>
    </row>
    <row r="471" spans="1:20" ht="15" customHeight="1" x14ac:dyDescent="0.2">
      <c r="A471" s="148" t="s">
        <v>221</v>
      </c>
      <c r="B471" s="144" t="str">
        <f>IF(ISBLANK(A471),"",IF(AND(ISNA(VLOOKUP(A471,Interface_Platform!E:E,1,FALSE())),ISNA(VLOOKUP(A471,D:D,1,FALSE()))),"N","Y"))</f>
        <v>Y</v>
      </c>
      <c r="C471" s="48"/>
      <c r="D471" s="148" t="s">
        <v>1208</v>
      </c>
      <c r="E471" s="154">
        <v>10</v>
      </c>
      <c r="F471" s="144" t="str">
        <f>IF(AND(ISNA(VLOOKUP(D471,A:A,1,FALSE())),ISNA(VLOOKUP(D471,BaseType!A:A,1,FALSE())),D471&lt;&gt;"Struct"),"N","Y")</f>
        <v>Y</v>
      </c>
      <c r="G471" s="150" t="s">
        <v>1229</v>
      </c>
      <c r="H471" s="152"/>
      <c r="I471" s="152"/>
      <c r="J471" s="152"/>
      <c r="K471" s="152"/>
      <c r="L471" s="148"/>
      <c r="M471" s="148"/>
      <c r="N471" s="42"/>
      <c r="O471" s="42"/>
      <c r="P471" s="42"/>
      <c r="Q471" s="42"/>
      <c r="R471" s="42"/>
      <c r="S471" s="42"/>
      <c r="T471" s="42"/>
    </row>
    <row r="472" spans="1:20" ht="15" customHeight="1" x14ac:dyDescent="0.2">
      <c r="A472" s="143" t="s">
        <v>201</v>
      </c>
      <c r="B472" s="143" t="str">
        <f>IF(ISBLANK(A472),"",IF(AND(ISNA(VLOOKUP(A472,Interface_Platform!E:E,1,FALSE())),ISNA(VLOOKUP(A472,D:D,1,FALSE()))),"N","Y"))</f>
        <v>Y</v>
      </c>
      <c r="C472" s="75"/>
      <c r="D472" s="143" t="s">
        <v>484</v>
      </c>
      <c r="E472" s="40"/>
      <c r="F472" s="144" t="str">
        <f>IF(AND(ISNA(VLOOKUP(D472,A:A,1,FALSE())),ISNA(VLOOKUP(D472,BaseType!A:A,1,FALSE())),D472&lt;&gt;"Struct"),"N","Y")</f>
        <v>Y</v>
      </c>
      <c r="G472" s="146"/>
      <c r="H472" s="139">
        <v>0</v>
      </c>
      <c r="I472" s="139">
        <v>0</v>
      </c>
      <c r="J472" s="139">
        <v>0</v>
      </c>
      <c r="K472" s="139">
        <v>0</v>
      </c>
      <c r="L472" s="143">
        <v>0</v>
      </c>
      <c r="M472" s="143">
        <v>0</v>
      </c>
      <c r="N472" s="140"/>
      <c r="O472" s="140"/>
      <c r="P472" s="140"/>
      <c r="Q472" s="140"/>
      <c r="R472" s="140"/>
      <c r="S472" s="140"/>
      <c r="T472" s="140"/>
    </row>
    <row r="473" spans="1:20" ht="15" customHeight="1" x14ac:dyDescent="0.2">
      <c r="A473" s="141"/>
      <c r="B473" s="143" t="str">
        <f>IF(ISBLANK(A473),"",IF(AND(ISNA(VLOOKUP(A473,Interface_Platform!E:E,1,FALSE())),ISNA(VLOOKUP(A473,D:D,1,FALSE()))),"N","Y"))</f>
        <v/>
      </c>
      <c r="C473" s="143" t="s">
        <v>503</v>
      </c>
      <c r="D473" s="143" t="s">
        <v>193</v>
      </c>
      <c r="E473" s="142">
        <v>1</v>
      </c>
      <c r="F473" s="144" t="str">
        <f>IF(AND(ISNA(VLOOKUP(D473,A:A,1,FALSE())),ISNA(VLOOKUP(D473,BaseType!A:A,1,FALSE())),D473&lt;&gt;"Struct"),"N","Y")</f>
        <v>Y</v>
      </c>
      <c r="G473" s="146" t="s">
        <v>1230</v>
      </c>
      <c r="H473" s="139">
        <v>0</v>
      </c>
      <c r="I473" s="139">
        <v>0</v>
      </c>
      <c r="J473" s="139">
        <v>0</v>
      </c>
      <c r="K473" s="139">
        <v>0</v>
      </c>
      <c r="L473" s="143">
        <v>0</v>
      </c>
      <c r="M473" s="143">
        <v>0</v>
      </c>
      <c r="N473" s="140"/>
      <c r="O473" s="140"/>
      <c r="P473" s="140"/>
      <c r="Q473" s="140"/>
      <c r="R473" s="140"/>
      <c r="S473" s="140"/>
      <c r="T473" s="140"/>
    </row>
    <row r="474" spans="1:20" ht="15" customHeight="1" x14ac:dyDescent="0.2">
      <c r="A474" s="141"/>
      <c r="B474" s="143" t="str">
        <f>IF(ISBLANK(A474),"",IF(AND(ISNA(VLOOKUP(A474,Interface_Platform!E:E,1,FALSE())),ISNA(VLOOKUP(A474,D:D,1,FALSE()))),"N","Y"))</f>
        <v/>
      </c>
      <c r="C474" s="143" t="s">
        <v>1231</v>
      </c>
      <c r="D474" s="143" t="s">
        <v>225</v>
      </c>
      <c r="E474" s="142">
        <v>1</v>
      </c>
      <c r="F474" s="144" t="str">
        <f>IF(AND(ISNA(VLOOKUP(D474,A:A,1,FALSE())),ISNA(VLOOKUP(D474,BaseType!A:A,1,FALSE())),D474&lt;&gt;"Struct"),"N","Y")</f>
        <v>Y</v>
      </c>
      <c r="G474" s="146" t="s">
        <v>1232</v>
      </c>
      <c r="H474" s="139">
        <v>0</v>
      </c>
      <c r="I474" s="139">
        <v>0</v>
      </c>
      <c r="J474" s="139">
        <v>0</v>
      </c>
      <c r="K474" s="139">
        <v>0</v>
      </c>
      <c r="L474" s="143">
        <v>0</v>
      </c>
      <c r="M474" s="143">
        <v>0</v>
      </c>
      <c r="N474" s="140"/>
      <c r="O474" s="140"/>
      <c r="P474" s="140"/>
      <c r="Q474" s="140"/>
      <c r="R474" s="140"/>
      <c r="S474" s="140"/>
      <c r="T474" s="140"/>
    </row>
    <row r="475" spans="1:20" ht="15" customHeight="1" x14ac:dyDescent="0.2">
      <c r="A475" s="141"/>
      <c r="B475" s="143" t="str">
        <f>IF(ISBLANK(A475),"",IF(AND(ISNA(VLOOKUP(A475,Interface_Platform!E:E,1,FALSE())),ISNA(VLOOKUP(A475,D:D,1,FALSE()))),"N","Y"))</f>
        <v/>
      </c>
      <c r="C475" s="143" t="s">
        <v>1233</v>
      </c>
      <c r="D475" s="143" t="s">
        <v>225</v>
      </c>
      <c r="E475" s="142">
        <v>1</v>
      </c>
      <c r="F475" s="144" t="str">
        <f>IF(AND(ISNA(VLOOKUP(D475,A:A,1,FALSE())),ISNA(VLOOKUP(D475,BaseType!A:A,1,FALSE())),D475&lt;&gt;"Struct"),"N","Y")</f>
        <v>Y</v>
      </c>
      <c r="G475" s="146" t="s">
        <v>1232</v>
      </c>
      <c r="H475" s="139">
        <v>0</v>
      </c>
      <c r="I475" s="139">
        <v>0</v>
      </c>
      <c r="J475" s="139">
        <v>0</v>
      </c>
      <c r="K475" s="139">
        <v>0</v>
      </c>
      <c r="L475" s="143">
        <v>0</v>
      </c>
      <c r="M475" s="143">
        <v>0</v>
      </c>
      <c r="N475" s="140"/>
      <c r="O475" s="140"/>
      <c r="P475" s="140"/>
      <c r="Q475" s="140"/>
      <c r="R475" s="140"/>
      <c r="S475" s="140"/>
      <c r="T475" s="140"/>
    </row>
    <row r="476" spans="1:20" ht="15" customHeight="1" x14ac:dyDescent="0.2">
      <c r="A476" s="141"/>
      <c r="B476" s="143" t="str">
        <f>IF(ISBLANK(A476),"",IF(AND(ISNA(VLOOKUP(A476,Interface_Platform!E:E,1,FALSE())),ISNA(VLOOKUP(A476,D:D,1,FALSE()))),"N","Y"))</f>
        <v/>
      </c>
      <c r="C476" s="143" t="s">
        <v>1234</v>
      </c>
      <c r="D476" s="143" t="s">
        <v>225</v>
      </c>
      <c r="E476" s="142">
        <v>1</v>
      </c>
      <c r="F476" s="144" t="str">
        <f>IF(AND(ISNA(VLOOKUP(D476,A:A,1,FALSE())),ISNA(VLOOKUP(D476,BaseType!A:A,1,FALSE())),D476&lt;&gt;"Struct"),"N","Y")</f>
        <v>Y</v>
      </c>
      <c r="G476" s="146" t="s">
        <v>1235</v>
      </c>
      <c r="H476" s="139">
        <v>0</v>
      </c>
      <c r="I476" s="139">
        <v>0</v>
      </c>
      <c r="J476" s="139">
        <v>0</v>
      </c>
      <c r="K476" s="139">
        <v>0</v>
      </c>
      <c r="L476" s="143">
        <v>0</v>
      </c>
      <c r="M476" s="143">
        <v>0</v>
      </c>
      <c r="N476" s="140"/>
      <c r="O476" s="140"/>
      <c r="P476" s="140"/>
      <c r="Q476" s="140"/>
      <c r="R476" s="140"/>
      <c r="S476" s="140"/>
      <c r="T476" s="140"/>
    </row>
    <row r="477" spans="1:20" ht="15" customHeight="1" x14ac:dyDescent="0.2">
      <c r="A477" s="141"/>
      <c r="B477" s="143" t="str">
        <f>IF(ISBLANK(A477),"",IF(AND(ISNA(VLOOKUP(A477,Interface_Platform!E:E,1,FALSE())),ISNA(VLOOKUP(A477,D:D,1,FALSE()))),"N","Y"))</f>
        <v/>
      </c>
      <c r="C477" s="148" t="s">
        <v>1236</v>
      </c>
      <c r="D477" s="148" t="s">
        <v>225</v>
      </c>
      <c r="E477" s="154">
        <v>64</v>
      </c>
      <c r="F477" s="144" t="str">
        <f>IF(AND(ISNA(VLOOKUP(D477,A:A,1,FALSE())),ISNA(VLOOKUP(D477,BaseType!A:A,1,FALSE())),D477&lt;&gt;"Struct"),"N","Y")</f>
        <v>Y</v>
      </c>
      <c r="G477" s="146" t="s">
        <v>1237</v>
      </c>
      <c r="H477" s="139">
        <v>0</v>
      </c>
      <c r="I477" s="139">
        <v>0</v>
      </c>
      <c r="J477" s="139">
        <v>0</v>
      </c>
      <c r="K477" s="139">
        <v>0</v>
      </c>
      <c r="L477" s="143">
        <v>0</v>
      </c>
      <c r="M477" s="143">
        <v>0</v>
      </c>
      <c r="N477" s="140"/>
      <c r="O477" s="140"/>
      <c r="P477" s="140"/>
      <c r="Q477" s="140"/>
      <c r="R477" s="140"/>
      <c r="S477" s="140"/>
      <c r="T477" s="140"/>
    </row>
    <row r="478" spans="1:20" ht="15" customHeight="1" x14ac:dyDescent="0.2">
      <c r="A478" s="141"/>
      <c r="B478" s="143" t="str">
        <f>IF(ISBLANK(A478),"",IF(AND(ISNA(VLOOKUP(A478,Interface_Platform!E:E,1,FALSE())),ISNA(VLOOKUP(A478,D:D,1,FALSE()))),"N","Y"))</f>
        <v/>
      </c>
      <c r="C478" s="148" t="s">
        <v>1238</v>
      </c>
      <c r="D478" s="148" t="s">
        <v>225</v>
      </c>
      <c r="E478" s="154">
        <v>64</v>
      </c>
      <c r="F478" s="144" t="str">
        <f>IF(AND(ISNA(VLOOKUP(D478,A:A,1,FALSE())),ISNA(VLOOKUP(D478,BaseType!A:A,1,FALSE())),D478&lt;&gt;"Struct"),"N","Y")</f>
        <v>Y</v>
      </c>
      <c r="G478" s="146" t="s">
        <v>1237</v>
      </c>
      <c r="H478" s="139">
        <v>0</v>
      </c>
      <c r="I478" s="139">
        <v>0</v>
      </c>
      <c r="J478" s="139">
        <v>0</v>
      </c>
      <c r="K478" s="139">
        <v>0</v>
      </c>
      <c r="L478" s="143">
        <v>0</v>
      </c>
      <c r="M478" s="143">
        <v>0</v>
      </c>
      <c r="N478" s="140"/>
      <c r="O478" s="140"/>
      <c r="P478" s="140"/>
      <c r="Q478" s="140"/>
      <c r="R478" s="140"/>
      <c r="S478" s="140"/>
      <c r="T478" s="140"/>
    </row>
    <row r="479" spans="1:20" ht="15" customHeight="1" x14ac:dyDescent="0.2">
      <c r="A479" s="148"/>
      <c r="B479" s="148"/>
      <c r="C479" s="194" t="s">
        <v>1239</v>
      </c>
      <c r="D479" s="181" t="s">
        <v>298</v>
      </c>
      <c r="E479" s="202">
        <v>2</v>
      </c>
      <c r="F479" s="144" t="s">
        <v>388</v>
      </c>
      <c r="G479" s="185" t="s">
        <v>1240</v>
      </c>
      <c r="H479" s="91"/>
      <c r="I479" s="91"/>
      <c r="J479" s="91"/>
      <c r="K479" s="91"/>
      <c r="L479" s="149"/>
      <c r="M479" s="149"/>
      <c r="N479" s="63"/>
      <c r="O479" s="63"/>
      <c r="P479" s="63"/>
      <c r="Q479" s="63"/>
      <c r="R479" s="63"/>
      <c r="S479" s="63"/>
      <c r="T479" s="63"/>
    </row>
    <row r="480" spans="1:20" ht="15" customHeight="1" x14ac:dyDescent="0.2">
      <c r="A480" s="148"/>
      <c r="B480" s="148"/>
      <c r="C480" s="48" t="s">
        <v>1241</v>
      </c>
      <c r="D480" s="148" t="s">
        <v>193</v>
      </c>
      <c r="E480" s="46">
        <v>2</v>
      </c>
      <c r="F480" s="144"/>
      <c r="G480" s="147"/>
      <c r="H480" s="91"/>
      <c r="I480" s="91"/>
      <c r="J480" s="91"/>
      <c r="K480" s="91"/>
      <c r="L480" s="149"/>
      <c r="M480" s="149"/>
      <c r="N480" s="63"/>
      <c r="O480" s="63"/>
      <c r="P480" s="63"/>
      <c r="Q480" s="63"/>
      <c r="R480" s="63"/>
      <c r="S480" s="63"/>
      <c r="T480" s="63"/>
    </row>
    <row r="481" spans="1:20" ht="15" customHeight="1" x14ac:dyDescent="0.2">
      <c r="A481" s="143" t="s">
        <v>304</v>
      </c>
      <c r="B481" s="143" t="str">
        <f>IF(ISBLANK(A481),"",IF(AND(ISNA(VLOOKUP(A481,Interface_Platform!E:E,1,FALSE())),ISNA(VLOOKUP(A481,D:D,1,FALSE()))),"N","Y"))</f>
        <v>Y</v>
      </c>
      <c r="C481" s="75"/>
      <c r="D481" s="143" t="s">
        <v>484</v>
      </c>
      <c r="E481" s="40"/>
      <c r="F481" s="144" t="str">
        <f>IF(AND(ISNA(VLOOKUP(D481,A:A,1,FALSE())),ISNA(VLOOKUP(D481,BaseType!A:A,1,FALSE())),D481&lt;&gt;"Struct"),"N","Y")</f>
        <v>Y</v>
      </c>
      <c r="G481" s="146"/>
      <c r="H481" s="139">
        <v>0</v>
      </c>
      <c r="I481" s="139">
        <v>0</v>
      </c>
      <c r="J481" s="139">
        <v>0</v>
      </c>
      <c r="K481" s="139">
        <v>0</v>
      </c>
      <c r="L481" s="143">
        <v>0</v>
      </c>
      <c r="M481" s="143">
        <v>0</v>
      </c>
      <c r="N481" s="140"/>
      <c r="O481" s="140"/>
      <c r="P481" s="140"/>
      <c r="Q481" s="140"/>
      <c r="R481" s="140"/>
      <c r="S481" s="140"/>
      <c r="T481" s="140"/>
    </row>
    <row r="482" spans="1:20" ht="15" customHeight="1" x14ac:dyDescent="0.2">
      <c r="A482" s="141"/>
      <c r="B482" s="143" t="str">
        <f>IF(ISBLANK(A482),"",IF(AND(ISNA(VLOOKUP(A482,Interface_Platform!E:E,1,FALSE())),ISNA(VLOOKUP(A482,D:D,1,FALSE()))),"N","Y"))</f>
        <v/>
      </c>
      <c r="C482" s="48" t="s">
        <v>1242</v>
      </c>
      <c r="D482" s="48" t="s">
        <v>298</v>
      </c>
      <c r="E482" s="46">
        <v>1</v>
      </c>
      <c r="F482" s="144" t="str">
        <f>IF(AND(ISNA(VLOOKUP(D482,A:A,1,FALSE())),ISNA(VLOOKUP(D482,BaseType!A:A,1,FALSE())),D482&lt;&gt;"Struct"),"N","Y")</f>
        <v>Y</v>
      </c>
      <c r="G482" s="146"/>
      <c r="H482" s="139">
        <v>0</v>
      </c>
      <c r="I482" s="139">
        <v>0</v>
      </c>
      <c r="J482" s="139">
        <v>0</v>
      </c>
      <c r="K482" s="139">
        <v>0</v>
      </c>
      <c r="L482" s="143">
        <v>0</v>
      </c>
      <c r="M482" s="143">
        <v>0</v>
      </c>
      <c r="N482" s="140"/>
      <c r="O482" s="140"/>
      <c r="P482" s="140"/>
      <c r="Q482" s="140"/>
      <c r="R482" s="140"/>
      <c r="S482" s="140"/>
      <c r="T482" s="140"/>
    </row>
    <row r="483" spans="1:20" ht="15" customHeight="1" x14ac:dyDescent="0.2">
      <c r="A483" s="141"/>
      <c r="B483" s="143" t="str">
        <f>IF(ISBLANK(A483),"",IF(AND(ISNA(VLOOKUP(A483,Interface_Platform!E:E,1,FALSE())),ISNA(VLOOKUP(A483,D:D,1,FALSE()))),"N","Y"))</f>
        <v/>
      </c>
      <c r="C483" s="48" t="s">
        <v>1243</v>
      </c>
      <c r="D483" s="48" t="s">
        <v>193</v>
      </c>
      <c r="E483" s="46">
        <v>1</v>
      </c>
      <c r="F483" s="144" t="str">
        <f>IF(AND(ISNA(VLOOKUP(D483,A:A,1,FALSE())),ISNA(VLOOKUP(D483,BaseType!A:A,1,FALSE())),D483&lt;&gt;"Struct"),"N","Y")</f>
        <v>Y</v>
      </c>
      <c r="G483" s="146"/>
      <c r="H483" s="139">
        <v>0</v>
      </c>
      <c r="I483" s="139">
        <v>0</v>
      </c>
      <c r="J483" s="139">
        <v>0</v>
      </c>
      <c r="K483" s="139">
        <v>0</v>
      </c>
      <c r="L483" s="143">
        <v>0</v>
      </c>
      <c r="M483" s="143">
        <v>0</v>
      </c>
      <c r="N483" s="140"/>
      <c r="O483" s="140"/>
      <c r="P483" s="140"/>
      <c r="Q483" s="140"/>
      <c r="R483" s="140"/>
      <c r="S483" s="140"/>
      <c r="T483" s="140"/>
    </row>
    <row r="484" spans="1:20" ht="15" customHeight="1" x14ac:dyDescent="0.2">
      <c r="A484" s="141"/>
      <c r="B484" s="143" t="str">
        <f>IF(ISBLANK(A484),"",IF(AND(ISNA(VLOOKUP(A484,Interface_Platform!E:E,1,FALSE())),ISNA(VLOOKUP(A484,D:D,1,FALSE()))),"N","Y"))</f>
        <v/>
      </c>
      <c r="C484" s="48" t="s">
        <v>1244</v>
      </c>
      <c r="D484" s="48" t="s">
        <v>193</v>
      </c>
      <c r="E484" s="46">
        <v>1</v>
      </c>
      <c r="F484" s="144" t="str">
        <f>IF(AND(ISNA(VLOOKUP(D484,A:A,1,FALSE())),ISNA(VLOOKUP(D484,BaseType!A:A,1,FALSE())),D484&lt;&gt;"Struct"),"N","Y")</f>
        <v>Y</v>
      </c>
      <c r="G484" s="146"/>
      <c r="H484" s="139">
        <v>0</v>
      </c>
      <c r="I484" s="139">
        <v>0</v>
      </c>
      <c r="J484" s="139">
        <v>0</v>
      </c>
      <c r="K484" s="139">
        <v>0</v>
      </c>
      <c r="L484" s="143">
        <v>0</v>
      </c>
      <c r="M484" s="143">
        <v>0</v>
      </c>
      <c r="N484" s="140"/>
      <c r="O484" s="140"/>
      <c r="P484" s="140"/>
      <c r="Q484" s="140"/>
      <c r="R484" s="140"/>
      <c r="S484" s="140"/>
      <c r="T484" s="140"/>
    </row>
    <row r="485" spans="1:20" ht="15" customHeight="1" x14ac:dyDescent="0.2">
      <c r="A485" s="141"/>
      <c r="B485" s="143" t="str">
        <f>IF(ISBLANK(A485),"",IF(AND(ISNA(VLOOKUP(A485,Interface_Platform!E:E,1,FALSE())),ISNA(VLOOKUP(A485,D:D,1,FALSE()))),"N","Y"))</f>
        <v/>
      </c>
      <c r="C485" s="48" t="s">
        <v>1245</v>
      </c>
      <c r="D485" s="48" t="s">
        <v>193</v>
      </c>
      <c r="E485" s="46">
        <v>1</v>
      </c>
      <c r="F485" s="144" t="str">
        <f>IF(AND(ISNA(VLOOKUP(D485,A:A,1,FALSE())),ISNA(VLOOKUP(D485,BaseType!A:A,1,FALSE())),D485&lt;&gt;"Struct"),"N","Y")</f>
        <v>Y</v>
      </c>
      <c r="G485" s="146"/>
      <c r="H485" s="139">
        <v>0</v>
      </c>
      <c r="I485" s="139">
        <v>0</v>
      </c>
      <c r="J485" s="139">
        <v>0</v>
      </c>
      <c r="K485" s="139">
        <v>0</v>
      </c>
      <c r="L485" s="143">
        <v>0</v>
      </c>
      <c r="M485" s="143">
        <v>0</v>
      </c>
      <c r="N485" s="140"/>
      <c r="O485" s="140"/>
      <c r="P485" s="140"/>
      <c r="Q485" s="140"/>
      <c r="R485" s="140"/>
      <c r="S485" s="140"/>
      <c r="T485" s="140"/>
    </row>
    <row r="486" spans="1:20" ht="15" customHeight="1" x14ac:dyDescent="0.2">
      <c r="A486" s="141"/>
      <c r="B486" s="143" t="str">
        <f>IF(ISBLANK(A486),"",IF(AND(ISNA(VLOOKUP(A486,Interface_Platform!E:E,1,FALSE())),ISNA(VLOOKUP(A486,D:D,1,FALSE()))),"N","Y"))</f>
        <v/>
      </c>
      <c r="C486" s="48" t="s">
        <v>1246</v>
      </c>
      <c r="D486" s="48" t="s">
        <v>193</v>
      </c>
      <c r="E486" s="46">
        <v>1</v>
      </c>
      <c r="F486" s="144" t="str">
        <f>IF(AND(ISNA(VLOOKUP(D486,A:A,1,FALSE())),ISNA(VLOOKUP(D486,BaseType!A:A,1,FALSE())),D486&lt;&gt;"Struct"),"N","Y")</f>
        <v>Y</v>
      </c>
      <c r="G486" s="146"/>
      <c r="H486" s="139">
        <v>0</v>
      </c>
      <c r="I486" s="139">
        <v>0</v>
      </c>
      <c r="J486" s="139">
        <v>0</v>
      </c>
      <c r="K486" s="139">
        <v>0</v>
      </c>
      <c r="L486" s="143">
        <v>0</v>
      </c>
      <c r="M486" s="143">
        <v>0</v>
      </c>
      <c r="N486" s="140"/>
      <c r="O486" s="140"/>
      <c r="P486" s="140"/>
      <c r="Q486" s="140"/>
      <c r="R486" s="140"/>
      <c r="S486" s="140"/>
      <c r="T486" s="140"/>
    </row>
    <row r="487" spans="1:20" ht="15" customHeight="1" x14ac:dyDescent="0.2">
      <c r="A487" s="141"/>
      <c r="B487" s="143" t="str">
        <f>IF(ISBLANK(A487),"",IF(AND(ISNA(VLOOKUP(A487,Interface_Platform!E:E,1,FALSE())),ISNA(VLOOKUP(A487,D:D,1,FALSE()))),"N","Y"))</f>
        <v/>
      </c>
      <c r="C487" s="48" t="s">
        <v>1247</v>
      </c>
      <c r="D487" s="48" t="s">
        <v>193</v>
      </c>
      <c r="E487" s="46">
        <v>1</v>
      </c>
      <c r="F487" s="144" t="str">
        <f>IF(AND(ISNA(VLOOKUP(D487,A:A,1,FALSE())),ISNA(VLOOKUP(D487,BaseType!A:A,1,FALSE())),D487&lt;&gt;"Struct"),"N","Y")</f>
        <v>Y</v>
      </c>
      <c r="G487" s="146"/>
      <c r="H487" s="139">
        <v>0</v>
      </c>
      <c r="I487" s="139">
        <v>0</v>
      </c>
      <c r="J487" s="139">
        <v>0</v>
      </c>
      <c r="K487" s="139">
        <v>0</v>
      </c>
      <c r="L487" s="143">
        <v>0</v>
      </c>
      <c r="M487" s="143">
        <v>0</v>
      </c>
      <c r="N487" s="140"/>
      <c r="O487" s="140"/>
      <c r="P487" s="140"/>
      <c r="Q487" s="140"/>
      <c r="R487" s="140"/>
      <c r="S487" s="140"/>
      <c r="T487" s="140"/>
    </row>
    <row r="488" spans="1:20" ht="15" customHeight="1" x14ac:dyDescent="0.2">
      <c r="A488" s="141"/>
      <c r="B488" s="143" t="str">
        <f>IF(ISBLANK(A488),"",IF(AND(ISNA(VLOOKUP(A488,Interface_Platform!E:E,1,FALSE())),ISNA(VLOOKUP(A488,D:D,1,FALSE()))),"N","Y"))</f>
        <v/>
      </c>
      <c r="C488" s="48" t="s">
        <v>1248</v>
      </c>
      <c r="D488" s="48" t="s">
        <v>1249</v>
      </c>
      <c r="E488" s="46">
        <v>1</v>
      </c>
      <c r="F488" s="144" t="str">
        <f>IF(AND(ISNA(VLOOKUP(D488,A:A,1,FALSE())),ISNA(VLOOKUP(D488,BaseType!A:A,1,FALSE())),D488&lt;&gt;"Struct"),"N","Y")</f>
        <v>Y</v>
      </c>
      <c r="G488" s="146"/>
      <c r="H488" s="139">
        <v>0</v>
      </c>
      <c r="I488" s="139">
        <v>0</v>
      </c>
      <c r="J488" s="139">
        <v>0</v>
      </c>
      <c r="K488" s="139">
        <v>0</v>
      </c>
      <c r="L488" s="143">
        <v>0</v>
      </c>
      <c r="M488" s="143">
        <v>0</v>
      </c>
      <c r="N488" s="140"/>
      <c r="O488" s="140"/>
      <c r="P488" s="140"/>
      <c r="Q488" s="140"/>
      <c r="R488" s="140"/>
      <c r="S488" s="140"/>
      <c r="T488" s="140"/>
    </row>
    <row r="489" spans="1:20" ht="15" customHeight="1" x14ac:dyDescent="0.2">
      <c r="A489" s="141"/>
      <c r="B489" s="143" t="str">
        <f>IF(ISBLANK(A489),"",IF(AND(ISNA(VLOOKUP(A489,Interface_Platform!E:E,1,FALSE())),ISNA(VLOOKUP(A489,D:D,1,FALSE()))),"N","Y"))</f>
        <v/>
      </c>
      <c r="C489" s="48" t="s">
        <v>1250</v>
      </c>
      <c r="D489" s="48" t="s">
        <v>225</v>
      </c>
      <c r="E489" s="46">
        <v>1</v>
      </c>
      <c r="F489" s="144" t="str">
        <f>IF(AND(ISNA(VLOOKUP(D489,A:A,1,FALSE())),ISNA(VLOOKUP(D489,BaseType!A:A,1,FALSE())),D489&lt;&gt;"Struct"),"N","Y")</f>
        <v>Y</v>
      </c>
      <c r="G489" s="146"/>
      <c r="H489" s="139">
        <v>0</v>
      </c>
      <c r="I489" s="139">
        <v>0</v>
      </c>
      <c r="J489" s="139">
        <v>0</v>
      </c>
      <c r="K489" s="139">
        <v>0</v>
      </c>
      <c r="L489" s="143">
        <v>0</v>
      </c>
      <c r="M489" s="143">
        <v>0</v>
      </c>
      <c r="N489" s="140"/>
      <c r="O489" s="140"/>
      <c r="P489" s="140"/>
      <c r="Q489" s="140"/>
      <c r="R489" s="140"/>
      <c r="S489" s="140"/>
      <c r="T489" s="140"/>
    </row>
    <row r="490" spans="1:20" ht="15" customHeight="1" x14ac:dyDescent="0.2">
      <c r="A490" s="141"/>
      <c r="B490" s="143" t="str">
        <f>IF(ISBLANK(A490),"",IF(AND(ISNA(VLOOKUP(A490,Interface_Platform!E:E,1,FALSE())),ISNA(VLOOKUP(A490,D:D,1,FALSE()))),"N","Y"))</f>
        <v/>
      </c>
      <c r="C490" s="48" t="s">
        <v>1251</v>
      </c>
      <c r="D490" s="48" t="s">
        <v>193</v>
      </c>
      <c r="E490" s="46">
        <v>1</v>
      </c>
      <c r="F490" s="144" t="str">
        <f>IF(AND(ISNA(VLOOKUP(D490,A:A,1,FALSE())),ISNA(VLOOKUP(D490,BaseType!A:A,1,FALSE())),D490&lt;&gt;"Struct"),"N","Y")</f>
        <v>Y</v>
      </c>
      <c r="G490" s="146"/>
      <c r="H490" s="139">
        <v>0</v>
      </c>
      <c r="I490" s="139">
        <v>0</v>
      </c>
      <c r="J490" s="139">
        <v>0</v>
      </c>
      <c r="K490" s="139">
        <v>0</v>
      </c>
      <c r="L490" s="143">
        <v>0</v>
      </c>
      <c r="M490" s="143">
        <v>0</v>
      </c>
      <c r="N490" s="140"/>
      <c r="O490" s="140"/>
      <c r="P490" s="140"/>
      <c r="Q490" s="140"/>
      <c r="R490" s="140"/>
      <c r="S490" s="140"/>
      <c r="T490" s="140"/>
    </row>
    <row r="491" spans="1:20" ht="15" customHeight="1" x14ac:dyDescent="0.2">
      <c r="A491" s="141"/>
      <c r="B491" s="143" t="str">
        <f>IF(ISBLANK(A491),"",IF(AND(ISNA(VLOOKUP(A491,Interface_Platform!E:E,1,FALSE())),ISNA(VLOOKUP(A491,D:D,1,FALSE()))),"N","Y"))</f>
        <v/>
      </c>
      <c r="C491" s="48" t="s">
        <v>1252</v>
      </c>
      <c r="D491" s="48" t="s">
        <v>193</v>
      </c>
      <c r="E491" s="46">
        <v>1</v>
      </c>
      <c r="F491" s="144" t="str">
        <f>IF(AND(ISNA(VLOOKUP(D491,A:A,1,FALSE())),ISNA(VLOOKUP(D491,BaseType!A:A,1,FALSE())),D491&lt;&gt;"Struct"),"N","Y")</f>
        <v>Y</v>
      </c>
      <c r="G491" s="146"/>
      <c r="H491" s="139">
        <v>0</v>
      </c>
      <c r="I491" s="139">
        <v>0</v>
      </c>
      <c r="J491" s="139">
        <v>0</v>
      </c>
      <c r="K491" s="139">
        <v>0</v>
      </c>
      <c r="L491" s="143">
        <v>0</v>
      </c>
      <c r="M491" s="143">
        <v>0</v>
      </c>
      <c r="N491" s="140"/>
      <c r="O491" s="140"/>
      <c r="P491" s="140"/>
      <c r="Q491" s="140"/>
      <c r="R491" s="140"/>
      <c r="S491" s="140"/>
      <c r="T491" s="140"/>
    </row>
    <row r="492" spans="1:20" ht="15" customHeight="1" x14ac:dyDescent="0.2">
      <c r="A492" s="141"/>
      <c r="B492" s="143" t="str">
        <f>IF(ISBLANK(A492),"",IF(AND(ISNA(VLOOKUP(A492,Interface_Platform!E:E,1,FALSE())),ISNA(VLOOKUP(A492,D:D,1,FALSE()))),"N","Y"))</f>
        <v/>
      </c>
      <c r="C492" s="48" t="s">
        <v>1253</v>
      </c>
      <c r="D492" s="48" t="s">
        <v>225</v>
      </c>
      <c r="E492" s="46">
        <v>1</v>
      </c>
      <c r="F492" s="144" t="str">
        <f>IF(AND(ISNA(VLOOKUP(D492,A:A,1,FALSE())),ISNA(VLOOKUP(D492,BaseType!A:A,1,FALSE())),D492&lt;&gt;"Struct"),"N","Y")</f>
        <v>Y</v>
      </c>
      <c r="G492" s="146"/>
      <c r="H492" s="139">
        <v>0</v>
      </c>
      <c r="I492" s="139">
        <v>0</v>
      </c>
      <c r="J492" s="139">
        <v>0</v>
      </c>
      <c r="K492" s="139">
        <v>0</v>
      </c>
      <c r="L492" s="143">
        <v>0</v>
      </c>
      <c r="M492" s="143">
        <v>0</v>
      </c>
      <c r="N492" s="140"/>
      <c r="O492" s="140"/>
      <c r="P492" s="140"/>
      <c r="Q492" s="140"/>
      <c r="R492" s="140"/>
      <c r="S492" s="140"/>
      <c r="T492" s="140"/>
    </row>
    <row r="493" spans="1:20" ht="15" customHeight="1" x14ac:dyDescent="0.2">
      <c r="A493" s="141"/>
      <c r="B493" s="143" t="str">
        <f>IF(ISBLANK(A493),"",IF(AND(ISNA(VLOOKUP(A493,Interface_Platform!E:E,1,FALSE())),ISNA(VLOOKUP(A493,D:D,1,FALSE()))),"N","Y"))</f>
        <v/>
      </c>
      <c r="C493" s="48" t="s">
        <v>1254</v>
      </c>
      <c r="D493" s="48" t="s">
        <v>225</v>
      </c>
      <c r="E493" s="46">
        <v>1</v>
      </c>
      <c r="F493" s="144" t="str">
        <f>IF(AND(ISNA(VLOOKUP(D493,A:A,1,FALSE())),ISNA(VLOOKUP(D493,BaseType!A:A,1,FALSE())),D493&lt;&gt;"Struct"),"N","Y")</f>
        <v>Y</v>
      </c>
      <c r="G493" s="146"/>
      <c r="H493" s="139">
        <v>0</v>
      </c>
      <c r="I493" s="139">
        <v>0</v>
      </c>
      <c r="J493" s="139">
        <v>0</v>
      </c>
      <c r="K493" s="139">
        <v>0</v>
      </c>
      <c r="L493" s="143">
        <v>0</v>
      </c>
      <c r="M493" s="143">
        <v>0</v>
      </c>
      <c r="N493" s="140"/>
      <c r="O493" s="140"/>
      <c r="P493" s="140"/>
      <c r="Q493" s="140"/>
      <c r="R493" s="140"/>
      <c r="S493" s="140"/>
      <c r="T493" s="140"/>
    </row>
    <row r="494" spans="1:20" ht="15" customHeight="1" x14ac:dyDescent="0.2">
      <c r="A494" s="141"/>
      <c r="B494" s="143" t="str">
        <f>IF(ISBLANK(A494),"",IF(AND(ISNA(VLOOKUP(A494,Interface_Platform!E:E,1,FALSE())),ISNA(VLOOKUP(A494,D:D,1,FALSE()))),"N","Y"))</f>
        <v/>
      </c>
      <c r="C494" s="48" t="s">
        <v>1255</v>
      </c>
      <c r="D494" s="48" t="s">
        <v>193</v>
      </c>
      <c r="E494" s="46">
        <v>1</v>
      </c>
      <c r="F494" s="144" t="str">
        <f>IF(AND(ISNA(VLOOKUP(D494,A:A,1,FALSE())),ISNA(VLOOKUP(D494,BaseType!A:A,1,FALSE())),D494&lt;&gt;"Struct"),"N","Y")</f>
        <v>Y</v>
      </c>
      <c r="G494" s="146"/>
      <c r="H494" s="139">
        <v>0</v>
      </c>
      <c r="I494" s="139">
        <v>0</v>
      </c>
      <c r="J494" s="139">
        <v>0</v>
      </c>
      <c r="K494" s="139">
        <v>0</v>
      </c>
      <c r="L494" s="143">
        <v>0</v>
      </c>
      <c r="M494" s="143">
        <v>0</v>
      </c>
      <c r="N494" s="140"/>
      <c r="O494" s="140"/>
      <c r="P494" s="140"/>
      <c r="Q494" s="140"/>
      <c r="R494" s="140"/>
      <c r="S494" s="140"/>
      <c r="T494" s="140"/>
    </row>
    <row r="495" spans="1:20" ht="15" customHeight="1" x14ac:dyDescent="0.2">
      <c r="A495" s="141"/>
      <c r="B495" s="143" t="str">
        <f>IF(ISBLANK(A495),"",IF(AND(ISNA(VLOOKUP(A495,Interface_Platform!E:E,1,FALSE())),ISNA(VLOOKUP(A495,D:D,1,FALSE()))),"N","Y"))</f>
        <v/>
      </c>
      <c r="C495" s="48" t="s">
        <v>1256</v>
      </c>
      <c r="D495" s="48" t="s">
        <v>193</v>
      </c>
      <c r="E495" s="46">
        <v>1</v>
      </c>
      <c r="F495" s="144" t="str">
        <f>IF(AND(ISNA(VLOOKUP(D495,A:A,1,FALSE())),ISNA(VLOOKUP(D495,BaseType!A:A,1,FALSE())),D495&lt;&gt;"Struct"),"N","Y")</f>
        <v>Y</v>
      </c>
      <c r="G495" s="146"/>
      <c r="H495" s="139">
        <v>0</v>
      </c>
      <c r="I495" s="139">
        <v>0</v>
      </c>
      <c r="J495" s="139">
        <v>0</v>
      </c>
      <c r="K495" s="139">
        <v>0</v>
      </c>
      <c r="L495" s="143">
        <v>0</v>
      </c>
      <c r="M495" s="143">
        <v>0</v>
      </c>
      <c r="N495" s="140"/>
      <c r="O495" s="140"/>
      <c r="P495" s="140"/>
      <c r="Q495" s="140"/>
      <c r="R495" s="140"/>
      <c r="S495" s="140"/>
      <c r="T495" s="140"/>
    </row>
    <row r="496" spans="1:20" ht="15" customHeight="1" x14ac:dyDescent="0.2">
      <c r="A496" s="141"/>
      <c r="B496" s="143" t="str">
        <f>IF(ISBLANK(A496),"",IF(AND(ISNA(VLOOKUP(A496,Interface_Platform!E:E,1,FALSE())),ISNA(VLOOKUP(A496,D:D,1,FALSE()))),"N","Y"))</f>
        <v/>
      </c>
      <c r="C496" s="48" t="s">
        <v>1257</v>
      </c>
      <c r="D496" s="48" t="s">
        <v>298</v>
      </c>
      <c r="E496" s="46">
        <v>1</v>
      </c>
      <c r="F496" s="144" t="str">
        <f>IF(AND(ISNA(VLOOKUP(D496,A:A,1,FALSE())),ISNA(VLOOKUP(D496,BaseType!A:A,1,FALSE())),D496&lt;&gt;"Struct"),"N","Y")</f>
        <v>Y</v>
      </c>
      <c r="G496" s="146"/>
      <c r="H496" s="139">
        <v>0</v>
      </c>
      <c r="I496" s="139">
        <v>0</v>
      </c>
      <c r="J496" s="139">
        <v>0</v>
      </c>
      <c r="K496" s="139">
        <v>0</v>
      </c>
      <c r="L496" s="143">
        <v>0</v>
      </c>
      <c r="M496" s="143">
        <v>0</v>
      </c>
      <c r="N496" s="140"/>
      <c r="O496" s="140"/>
      <c r="P496" s="140"/>
      <c r="Q496" s="140"/>
      <c r="R496" s="140"/>
      <c r="S496" s="140"/>
      <c r="T496" s="140"/>
    </row>
    <row r="497" spans="1:20" ht="15" customHeight="1" x14ac:dyDescent="0.2">
      <c r="A497" s="141"/>
      <c r="B497" s="143" t="str">
        <f>IF(ISBLANK(A497),"",IF(AND(ISNA(VLOOKUP(A497,Interface_Platform!E:E,1,FALSE())),ISNA(VLOOKUP(A497,D:D,1,FALSE()))),"N","Y"))</f>
        <v/>
      </c>
      <c r="C497" s="48" t="s">
        <v>1258</v>
      </c>
      <c r="D497" s="48" t="s">
        <v>1249</v>
      </c>
      <c r="E497" s="46">
        <v>1</v>
      </c>
      <c r="F497" s="144" t="str">
        <f>IF(AND(ISNA(VLOOKUP(D497,A:A,1,FALSE())),ISNA(VLOOKUP(D497,BaseType!A:A,1,FALSE())),D497&lt;&gt;"Struct"),"N","Y")</f>
        <v>Y</v>
      </c>
      <c r="G497" s="146"/>
      <c r="H497" s="139">
        <v>0</v>
      </c>
      <c r="I497" s="139">
        <v>0</v>
      </c>
      <c r="J497" s="139">
        <v>0</v>
      </c>
      <c r="K497" s="139">
        <v>0</v>
      </c>
      <c r="L497" s="143">
        <v>0</v>
      </c>
      <c r="M497" s="143">
        <v>0</v>
      </c>
      <c r="N497" s="140"/>
      <c r="O497" s="140"/>
      <c r="P497" s="140"/>
      <c r="Q497" s="140"/>
      <c r="R497" s="140"/>
      <c r="S497" s="140"/>
      <c r="T497" s="140"/>
    </row>
    <row r="498" spans="1:20" ht="15" customHeight="1" x14ac:dyDescent="0.2">
      <c r="A498" s="141"/>
      <c r="B498" s="143" t="str">
        <f>IF(ISBLANK(A498),"",IF(AND(ISNA(VLOOKUP(A498,Interface_Platform!E:E,1,FALSE())),ISNA(VLOOKUP(A498,D:D,1,FALSE()))),"N","Y"))</f>
        <v/>
      </c>
      <c r="C498" s="48" t="s">
        <v>1259</v>
      </c>
      <c r="D498" s="48" t="s">
        <v>1249</v>
      </c>
      <c r="E498" s="46">
        <v>1</v>
      </c>
      <c r="F498" s="144" t="str">
        <f>IF(AND(ISNA(VLOOKUP(D498,A:A,1,FALSE())),ISNA(VLOOKUP(D498,BaseType!A:A,1,FALSE())),D498&lt;&gt;"Struct"),"N","Y")</f>
        <v>Y</v>
      </c>
      <c r="G498" s="146"/>
      <c r="H498" s="139">
        <v>0</v>
      </c>
      <c r="I498" s="139">
        <v>0</v>
      </c>
      <c r="J498" s="139">
        <v>0</v>
      </c>
      <c r="K498" s="139">
        <v>0</v>
      </c>
      <c r="L498" s="143">
        <v>0</v>
      </c>
      <c r="M498" s="143">
        <v>0</v>
      </c>
      <c r="N498" s="140"/>
      <c r="O498" s="140"/>
      <c r="P498" s="140"/>
      <c r="Q498" s="140"/>
      <c r="R498" s="140"/>
      <c r="S498" s="140"/>
      <c r="T498" s="140"/>
    </row>
    <row r="499" spans="1:20" ht="15" customHeight="1" x14ac:dyDescent="0.2">
      <c r="A499" s="141"/>
      <c r="B499" s="143" t="str">
        <f>IF(ISBLANK(A499),"",IF(AND(ISNA(VLOOKUP(A499,Interface_Platform!E:E,1,FALSE())),ISNA(VLOOKUP(A499,D:D,1,FALSE()))),"N","Y"))</f>
        <v/>
      </c>
      <c r="C499" s="48" t="s">
        <v>1260</v>
      </c>
      <c r="D499" s="48" t="s">
        <v>298</v>
      </c>
      <c r="E499" s="46">
        <v>1</v>
      </c>
      <c r="F499" s="144" t="str">
        <f>IF(AND(ISNA(VLOOKUP(D499,A:A,1,FALSE())),ISNA(VLOOKUP(D499,BaseType!A:A,1,FALSE())),D499&lt;&gt;"Struct"),"N","Y")</f>
        <v>Y</v>
      </c>
      <c r="G499" s="150"/>
      <c r="H499" s="141"/>
      <c r="I499" s="141"/>
      <c r="J499" s="141"/>
      <c r="K499" s="141"/>
      <c r="L499" s="141"/>
      <c r="M499" s="141"/>
      <c r="N499" s="140"/>
      <c r="O499" s="140"/>
      <c r="P499" s="140"/>
      <c r="Q499" s="140"/>
      <c r="R499" s="140"/>
      <c r="S499" s="140"/>
      <c r="T499" s="140"/>
    </row>
    <row r="500" spans="1:20" ht="15" customHeight="1" x14ac:dyDescent="0.2">
      <c r="A500" s="141"/>
      <c r="B500" s="143" t="str">
        <f>IF(ISBLANK(A500),"",IF(AND(ISNA(VLOOKUP(A500,Interface_Platform!E:E,1,FALSE())),ISNA(VLOOKUP(A500,D:D,1,FALSE()))),"N","Y"))</f>
        <v/>
      </c>
      <c r="C500" s="48" t="s">
        <v>1261</v>
      </c>
      <c r="D500" s="48" t="s">
        <v>193</v>
      </c>
      <c r="E500" s="46">
        <v>1</v>
      </c>
      <c r="F500" s="144" t="str">
        <f>IF(AND(ISNA(VLOOKUP(D500,A:A,1,FALSE())),ISNA(VLOOKUP(D500,BaseType!A:A,1,FALSE())),D500&lt;&gt;"Struct"),"N","Y")</f>
        <v>Y</v>
      </c>
      <c r="G500" s="150"/>
      <c r="H500" s="141"/>
      <c r="I500" s="141"/>
      <c r="J500" s="141"/>
      <c r="K500" s="141"/>
      <c r="L500" s="141"/>
      <c r="M500" s="141"/>
      <c r="N500" s="140"/>
      <c r="O500" s="140"/>
      <c r="P500" s="140"/>
      <c r="Q500" s="140"/>
      <c r="R500" s="140"/>
      <c r="S500" s="140"/>
      <c r="T500" s="140"/>
    </row>
    <row r="501" spans="1:20" ht="15" customHeight="1" x14ac:dyDescent="0.2">
      <c r="A501" s="141"/>
      <c r="B501" s="143" t="str">
        <f>IF(ISBLANK(A501),"",IF(AND(ISNA(VLOOKUP(A501,Interface_Platform!E:E,1,FALSE())),ISNA(VLOOKUP(A501,D:D,1,FALSE()))),"N","Y"))</f>
        <v/>
      </c>
      <c r="C501" s="48" t="s">
        <v>1262</v>
      </c>
      <c r="D501" s="48" t="s">
        <v>225</v>
      </c>
      <c r="E501" s="46">
        <v>20</v>
      </c>
      <c r="F501" s="144" t="str">
        <f>IF(AND(ISNA(VLOOKUP(D501,A:A,1,FALSE())),ISNA(VLOOKUP(D501,BaseType!A:A,1,FALSE())),D501&lt;&gt;"Struct"),"N","Y")</f>
        <v>Y</v>
      </c>
      <c r="G501" s="146"/>
      <c r="H501" s="141"/>
      <c r="I501" s="141"/>
      <c r="J501" s="141"/>
      <c r="K501" s="141"/>
      <c r="L501" s="141"/>
      <c r="M501" s="141"/>
      <c r="N501" s="140"/>
      <c r="O501" s="140"/>
      <c r="P501" s="140"/>
      <c r="Q501" s="140"/>
      <c r="R501" s="140"/>
      <c r="S501" s="140"/>
      <c r="T501" s="140"/>
    </row>
    <row r="502" spans="1:20" ht="15" customHeight="1" x14ac:dyDescent="0.2">
      <c r="A502" s="141"/>
      <c r="B502" s="143" t="str">
        <f>IF(ISBLANK(A502),"",IF(AND(ISNA(VLOOKUP(A502,Interface_Platform!E:E,1,FALSE())),ISNA(VLOOKUP(A502,D:D,1,FALSE()))),"N","Y"))</f>
        <v/>
      </c>
      <c r="C502" s="48" t="s">
        <v>1263</v>
      </c>
      <c r="D502" s="48" t="s">
        <v>1249</v>
      </c>
      <c r="E502" s="46">
        <v>20</v>
      </c>
      <c r="F502" s="144" t="str">
        <f>IF(AND(ISNA(VLOOKUP(D502,A:A,1,FALSE())),ISNA(VLOOKUP(D502,BaseType!A:A,1,FALSE())),D502&lt;&gt;"Struct"),"N","Y")</f>
        <v>Y</v>
      </c>
      <c r="G502" s="146"/>
      <c r="H502" s="141"/>
      <c r="I502" s="141"/>
      <c r="J502" s="141"/>
      <c r="K502" s="141"/>
      <c r="L502" s="141"/>
      <c r="M502" s="141"/>
      <c r="N502" s="140"/>
      <c r="O502" s="140"/>
      <c r="P502" s="140"/>
      <c r="Q502" s="140"/>
      <c r="R502" s="140"/>
      <c r="S502" s="140"/>
      <c r="T502" s="140"/>
    </row>
    <row r="503" spans="1:20" ht="15" customHeight="1" x14ac:dyDescent="0.2">
      <c r="A503" s="141"/>
      <c r="B503" s="143" t="str">
        <f>IF(ISBLANK(A503),"",IF(AND(ISNA(VLOOKUP(A503,Interface_Platform!E:E,1,FALSE())),ISNA(VLOOKUP(A503,D:D,1,FALSE()))),"N","Y"))</f>
        <v/>
      </c>
      <c r="C503" s="48" t="s">
        <v>1264</v>
      </c>
      <c r="D503" s="48" t="s">
        <v>193</v>
      </c>
      <c r="E503" s="46">
        <v>1</v>
      </c>
      <c r="F503" s="144" t="str">
        <f>IF(AND(ISNA(VLOOKUP(D503,A:A,1,FALSE())),ISNA(VLOOKUP(D503,BaseType!A:A,1,FALSE())),D503&lt;&gt;"Struct"),"N","Y")</f>
        <v>Y</v>
      </c>
      <c r="G503" s="146"/>
      <c r="H503" s="141"/>
      <c r="I503" s="141"/>
      <c r="J503" s="141"/>
      <c r="K503" s="141"/>
      <c r="L503" s="141"/>
      <c r="M503" s="141"/>
      <c r="N503" s="140"/>
      <c r="O503" s="140"/>
      <c r="P503" s="140"/>
      <c r="Q503" s="140"/>
      <c r="R503" s="140"/>
      <c r="S503" s="140"/>
      <c r="T503" s="140"/>
    </row>
    <row r="504" spans="1:20" ht="15" customHeight="1" x14ac:dyDescent="0.2">
      <c r="A504" s="141"/>
      <c r="B504" s="143" t="str">
        <f>IF(ISBLANK(A504),"",IF(AND(ISNA(VLOOKUP(A504,Interface_Platform!E:E,1,FALSE())),ISNA(VLOOKUP(A504,D:D,1,FALSE()))),"N","Y"))</f>
        <v/>
      </c>
      <c r="C504" s="48" t="s">
        <v>1265</v>
      </c>
      <c r="D504" s="48" t="s">
        <v>225</v>
      </c>
      <c r="E504" s="46">
        <v>1</v>
      </c>
      <c r="F504" s="144" t="str">
        <f>IF(AND(ISNA(VLOOKUP(D504,A:A,1,FALSE())),ISNA(VLOOKUP(D504,BaseType!A:A,1,FALSE())),D504&lt;&gt;"Struct"),"N","Y")</f>
        <v>Y</v>
      </c>
      <c r="G504" s="146"/>
      <c r="H504" s="141"/>
      <c r="I504" s="141"/>
      <c r="J504" s="141"/>
      <c r="K504" s="141"/>
      <c r="L504" s="141"/>
      <c r="M504" s="141"/>
      <c r="N504" s="140"/>
      <c r="O504" s="140"/>
      <c r="P504" s="140"/>
      <c r="Q504" s="140"/>
      <c r="R504" s="140"/>
      <c r="S504" s="140"/>
      <c r="T504" s="140"/>
    </row>
    <row r="505" spans="1:20" ht="15" customHeight="1" x14ac:dyDescent="0.2">
      <c r="A505" s="141"/>
      <c r="B505" s="143" t="str">
        <f>IF(ISBLANK(A505),"",IF(AND(ISNA(VLOOKUP(A505,Interface_Platform!E:E,1,FALSE())),ISNA(VLOOKUP(A505,D:D,1,FALSE()))),"N","Y"))</f>
        <v/>
      </c>
      <c r="C505" s="48" t="s">
        <v>1266</v>
      </c>
      <c r="D505" s="48" t="s">
        <v>1249</v>
      </c>
      <c r="E505" s="46">
        <v>1</v>
      </c>
      <c r="F505" s="144" t="str">
        <f>IF(AND(ISNA(VLOOKUP(D505,A:A,1,FALSE())),ISNA(VLOOKUP(D505,BaseType!A:A,1,FALSE())),D505&lt;&gt;"Struct"),"N","Y")</f>
        <v>Y</v>
      </c>
      <c r="G505" s="146"/>
      <c r="H505" s="141"/>
      <c r="I505" s="141"/>
      <c r="J505" s="141"/>
      <c r="K505" s="141"/>
      <c r="L505" s="141"/>
      <c r="M505" s="141"/>
      <c r="N505" s="140"/>
      <c r="O505" s="140"/>
      <c r="P505" s="140"/>
      <c r="Q505" s="140"/>
      <c r="R505" s="140"/>
      <c r="S505" s="140"/>
      <c r="T505" s="140"/>
    </row>
    <row r="506" spans="1:20" ht="15" customHeight="1" x14ac:dyDescent="0.2">
      <c r="A506" s="141"/>
      <c r="B506" s="143" t="str">
        <f>IF(ISBLANK(A506),"",IF(AND(ISNA(VLOOKUP(A506,Interface_Platform!E:E,1,FALSE())),ISNA(VLOOKUP(A506,D:D,1,FALSE()))),"N","Y"))</f>
        <v/>
      </c>
      <c r="C506" s="143" t="s">
        <v>1267</v>
      </c>
      <c r="D506" s="143" t="s">
        <v>193</v>
      </c>
      <c r="E506" s="142">
        <v>1</v>
      </c>
      <c r="F506" s="144" t="str">
        <f>IF(AND(ISNA(VLOOKUP(D506,A:A,1,FALSE())),ISNA(VLOOKUP(D506,BaseType!A:A,1,FALSE())),D506&lt;&gt;"Struct"),"N","Y")</f>
        <v>Y</v>
      </c>
      <c r="G506" s="146"/>
      <c r="H506" s="141"/>
      <c r="I506" s="141"/>
      <c r="J506" s="141"/>
      <c r="K506" s="141"/>
      <c r="L506" s="141"/>
      <c r="M506" s="141"/>
      <c r="N506" s="140"/>
      <c r="O506" s="140"/>
      <c r="P506" s="140"/>
      <c r="Q506" s="140"/>
      <c r="R506" s="140"/>
      <c r="S506" s="140"/>
      <c r="T506" s="140"/>
    </row>
    <row r="507" spans="1:20" ht="15" customHeight="1" x14ac:dyDescent="0.2">
      <c r="A507" s="143" t="s">
        <v>302</v>
      </c>
      <c r="B507" s="143" t="str">
        <f>IF(ISBLANK(A507),"",IF(AND(ISNA(VLOOKUP(A507,Interface_Platform!E:E,1,FALSE())),ISNA(VLOOKUP(A507,D:D,1,FALSE()))),"N","Y"))</f>
        <v>Y</v>
      </c>
      <c r="C507" s="75"/>
      <c r="D507" s="143" t="s">
        <v>484</v>
      </c>
      <c r="E507" s="40"/>
      <c r="F507" s="144" t="str">
        <f>IF(AND(ISNA(VLOOKUP(D507,A:A,1,FALSE())),ISNA(VLOOKUP(D507,BaseType!A:A,1,FALSE())),D507&lt;&gt;"Struct"),"N","Y")</f>
        <v>Y</v>
      </c>
      <c r="G507" s="146"/>
      <c r="H507" s="139">
        <v>0</v>
      </c>
      <c r="I507" s="139">
        <v>0</v>
      </c>
      <c r="J507" s="139">
        <v>0</v>
      </c>
      <c r="K507" s="139">
        <v>0</v>
      </c>
      <c r="L507" s="143">
        <v>0</v>
      </c>
      <c r="M507" s="143">
        <v>0</v>
      </c>
      <c r="N507" s="140"/>
      <c r="O507" s="140"/>
      <c r="P507" s="140"/>
      <c r="Q507" s="140"/>
      <c r="R507" s="140"/>
      <c r="S507" s="140"/>
      <c r="T507" s="140"/>
    </row>
    <row r="508" spans="1:20" ht="15" customHeight="1" x14ac:dyDescent="0.2">
      <c r="A508" s="141"/>
      <c r="B508" s="143" t="str">
        <f>IF(ISBLANK(A508),"",IF(AND(ISNA(VLOOKUP(A508,Interface_Platform!E:E,1,FALSE())),ISNA(VLOOKUP(A508,D:D,1,FALSE()))),"N","Y"))</f>
        <v/>
      </c>
      <c r="C508" s="48" t="s">
        <v>1268</v>
      </c>
      <c r="D508" s="48" t="s">
        <v>193</v>
      </c>
      <c r="E508" s="46">
        <v>1</v>
      </c>
      <c r="F508" s="144" t="str">
        <f>IF(AND(ISNA(VLOOKUP(D508,A:A,1,FALSE())),ISNA(VLOOKUP(D508,BaseType!A:A,1,FALSE())),D508&lt;&gt;"Struct"),"N","Y")</f>
        <v>Y</v>
      </c>
      <c r="G508" s="146"/>
      <c r="H508" s="139">
        <v>0</v>
      </c>
      <c r="I508" s="139">
        <v>0</v>
      </c>
      <c r="J508" s="139">
        <v>0</v>
      </c>
      <c r="K508" s="139">
        <v>0</v>
      </c>
      <c r="L508" s="143">
        <v>0</v>
      </c>
      <c r="M508" s="143">
        <v>0</v>
      </c>
      <c r="N508" s="140"/>
      <c r="O508" s="140"/>
      <c r="P508" s="140"/>
      <c r="Q508" s="140"/>
      <c r="R508" s="140"/>
      <c r="S508" s="140"/>
      <c r="T508" s="140"/>
    </row>
    <row r="509" spans="1:20" ht="15" customHeight="1" x14ac:dyDescent="0.2">
      <c r="A509" s="141"/>
      <c r="B509" s="143" t="str">
        <f>IF(ISBLANK(A509),"",IF(AND(ISNA(VLOOKUP(A509,Interface_Platform!E:E,1,FALSE())),ISNA(VLOOKUP(A509,D:D,1,FALSE()))),"N","Y"))</f>
        <v/>
      </c>
      <c r="C509" s="48" t="s">
        <v>1269</v>
      </c>
      <c r="D509" s="48" t="s">
        <v>193</v>
      </c>
      <c r="E509" s="46">
        <v>1</v>
      </c>
      <c r="F509" s="144" t="str">
        <f>IF(AND(ISNA(VLOOKUP(D509,A:A,1,FALSE())),ISNA(VLOOKUP(D509,BaseType!A:A,1,FALSE())),D509&lt;&gt;"Struct"),"N","Y")</f>
        <v>Y</v>
      </c>
      <c r="G509" s="146"/>
      <c r="H509" s="139">
        <v>0</v>
      </c>
      <c r="I509" s="139">
        <v>0</v>
      </c>
      <c r="J509" s="139">
        <v>0</v>
      </c>
      <c r="K509" s="139">
        <v>0</v>
      </c>
      <c r="L509" s="143">
        <v>0</v>
      </c>
      <c r="M509" s="143">
        <v>0</v>
      </c>
      <c r="N509" s="140"/>
      <c r="O509" s="140"/>
      <c r="P509" s="140"/>
      <c r="Q509" s="140"/>
      <c r="R509" s="140"/>
      <c r="S509" s="140"/>
      <c r="T509" s="140"/>
    </row>
    <row r="510" spans="1:20" ht="15" customHeight="1" x14ac:dyDescent="0.2">
      <c r="A510" s="141"/>
      <c r="B510" s="143" t="str">
        <f>IF(ISBLANK(A510),"",IF(AND(ISNA(VLOOKUP(A510,Interface_Platform!E:E,1,FALSE())),ISNA(VLOOKUP(A510,D:D,1,FALSE()))),"N","Y"))</f>
        <v/>
      </c>
      <c r="C510" s="48" t="s">
        <v>1270</v>
      </c>
      <c r="D510" s="48" t="s">
        <v>193</v>
      </c>
      <c r="E510" s="46">
        <v>1</v>
      </c>
      <c r="F510" s="144" t="str">
        <f>IF(AND(ISNA(VLOOKUP(D510,A:A,1,FALSE())),ISNA(VLOOKUP(D510,BaseType!A:A,1,FALSE())),D510&lt;&gt;"Struct"),"N","Y")</f>
        <v>Y</v>
      </c>
      <c r="G510" s="146"/>
      <c r="H510" s="139">
        <v>0</v>
      </c>
      <c r="I510" s="139">
        <v>0</v>
      </c>
      <c r="J510" s="139">
        <v>0</v>
      </c>
      <c r="K510" s="139">
        <v>0</v>
      </c>
      <c r="L510" s="143">
        <v>0</v>
      </c>
      <c r="M510" s="143">
        <v>0</v>
      </c>
      <c r="N510" s="140"/>
      <c r="O510" s="140"/>
      <c r="P510" s="140"/>
      <c r="Q510" s="140"/>
      <c r="R510" s="140"/>
      <c r="S510" s="140"/>
      <c r="T510" s="140"/>
    </row>
    <row r="511" spans="1:20" ht="15" customHeight="1" x14ac:dyDescent="0.2">
      <c r="A511" s="141"/>
      <c r="B511" s="143"/>
      <c r="C511" s="48" t="s">
        <v>1271</v>
      </c>
      <c r="D511" s="48" t="s">
        <v>193</v>
      </c>
      <c r="E511" s="46">
        <v>1</v>
      </c>
      <c r="F511" s="144" t="str">
        <f>IF(AND(ISNA(VLOOKUP(D511,A:A,1,FALSE())),ISNA(VLOOKUP(D511,BaseType!A:A,1,FALSE())),D511&lt;&gt;"Struct"),"N","Y")</f>
        <v>Y</v>
      </c>
      <c r="G511" s="146"/>
      <c r="H511" s="139">
        <v>0</v>
      </c>
      <c r="I511" s="139">
        <v>0</v>
      </c>
      <c r="J511" s="139">
        <v>0</v>
      </c>
      <c r="K511" s="139">
        <v>0</v>
      </c>
      <c r="L511" s="143">
        <v>0</v>
      </c>
      <c r="M511" s="143"/>
      <c r="N511" s="140"/>
      <c r="O511" s="140"/>
      <c r="P511" s="140"/>
      <c r="Q511" s="140"/>
      <c r="R511" s="140"/>
      <c r="S511" s="140"/>
      <c r="T511" s="140"/>
    </row>
    <row r="512" spans="1:20" ht="15" customHeight="1" x14ac:dyDescent="0.2">
      <c r="A512" s="141"/>
      <c r="B512" s="143" t="str">
        <f>IF(ISBLANK(A512),"",IF(AND(ISNA(VLOOKUP(A512,Interface_Platform!E:E,1,FALSE())),ISNA(VLOOKUP(A512,D:D,1,FALSE()))),"N","Y"))</f>
        <v/>
      </c>
      <c r="C512" s="48" t="s">
        <v>1272</v>
      </c>
      <c r="D512" s="48" t="s">
        <v>1249</v>
      </c>
      <c r="E512" s="46">
        <v>1</v>
      </c>
      <c r="F512" s="144" t="str">
        <f>IF(AND(ISNA(VLOOKUP(D512,A:A,1,FALSE())),ISNA(VLOOKUP(D512,BaseType!A:A,1,FALSE())),D512&lt;&gt;"Struct"),"N","Y")</f>
        <v>Y</v>
      </c>
      <c r="G512" s="146"/>
      <c r="H512" s="139">
        <v>0</v>
      </c>
      <c r="I512" s="139">
        <v>0</v>
      </c>
      <c r="J512" s="139">
        <v>0</v>
      </c>
      <c r="K512" s="139">
        <v>0</v>
      </c>
      <c r="L512" s="143">
        <v>0</v>
      </c>
      <c r="M512" s="143">
        <v>0</v>
      </c>
      <c r="N512" s="140"/>
      <c r="O512" s="140"/>
      <c r="P512" s="140"/>
      <c r="Q512" s="140"/>
      <c r="R512" s="140"/>
      <c r="S512" s="140"/>
      <c r="T512" s="140"/>
    </row>
    <row r="513" spans="1:20" ht="15" customHeight="1" x14ac:dyDescent="0.2">
      <c r="A513" s="141"/>
      <c r="B513" s="143" t="str">
        <f>IF(ISBLANK(A513),"",IF(AND(ISNA(VLOOKUP(A513,Interface_Platform!E:E,1,FALSE())),ISNA(VLOOKUP(A513,D:D,1,FALSE()))),"N","Y"))</f>
        <v/>
      </c>
      <c r="C513" s="48" t="s">
        <v>1273</v>
      </c>
      <c r="D513" s="48" t="s">
        <v>1249</v>
      </c>
      <c r="E513" s="46">
        <v>1</v>
      </c>
      <c r="F513" s="144" t="str">
        <f>IF(AND(ISNA(VLOOKUP(D513,A:A,1,FALSE())),ISNA(VLOOKUP(D513,BaseType!A:A,1,FALSE())),D513&lt;&gt;"Struct"),"N","Y")</f>
        <v>Y</v>
      </c>
      <c r="G513" s="146"/>
      <c r="H513" s="139">
        <v>0</v>
      </c>
      <c r="I513" s="139">
        <v>0</v>
      </c>
      <c r="J513" s="139">
        <v>0</v>
      </c>
      <c r="K513" s="139">
        <v>0</v>
      </c>
      <c r="L513" s="143">
        <v>0</v>
      </c>
      <c r="M513" s="143">
        <v>0</v>
      </c>
      <c r="N513" s="140"/>
      <c r="O513" s="140"/>
      <c r="P513" s="140"/>
      <c r="Q513" s="140"/>
      <c r="R513" s="140"/>
      <c r="S513" s="140"/>
      <c r="T513" s="140"/>
    </row>
    <row r="514" spans="1:20" ht="15" customHeight="1" x14ac:dyDescent="0.2">
      <c r="A514" s="143" t="s">
        <v>1274</v>
      </c>
      <c r="B514" s="143" t="str">
        <f>IF(ISBLANK(A514),"",IF(AND(ISNA(VLOOKUP(A514,Interface_Platform!E:E,1,FALSE())),ISNA(VLOOKUP(A514,D:D,1,FALSE()))),"N","Y"))</f>
        <v>Y</v>
      </c>
      <c r="C514" s="75"/>
      <c r="D514" s="143" t="s">
        <v>484</v>
      </c>
      <c r="E514" s="40"/>
      <c r="F514" s="144" t="str">
        <f>IF(AND(ISNA(VLOOKUP(D514,A:A,1,FALSE())),ISNA(VLOOKUP(D514,BaseType!A:A,1,FALSE())),D514&lt;&gt;"Struct"),"N","Y")</f>
        <v>Y</v>
      </c>
      <c r="G514" s="146"/>
      <c r="H514" s="139">
        <v>0</v>
      </c>
      <c r="I514" s="139">
        <v>0</v>
      </c>
      <c r="J514" s="139">
        <v>0</v>
      </c>
      <c r="K514" s="139">
        <v>0</v>
      </c>
      <c r="L514" s="143">
        <v>0</v>
      </c>
      <c r="M514" s="143">
        <v>0</v>
      </c>
      <c r="N514" s="140"/>
      <c r="O514" s="140"/>
      <c r="P514" s="140"/>
      <c r="Q514" s="140"/>
      <c r="R514" s="140"/>
      <c r="S514" s="140"/>
      <c r="T514" s="140"/>
    </row>
    <row r="515" spans="1:20" ht="15" customHeight="1" x14ac:dyDescent="0.2">
      <c r="A515" s="141"/>
      <c r="B515" s="143" t="str">
        <f>IF(ISBLANK(A515),"",IF(AND(ISNA(VLOOKUP(A515,Interface_Platform!E:E,1,FALSE())),ISNA(VLOOKUP(A515,D:D,1,FALSE()))),"N","Y"))</f>
        <v/>
      </c>
      <c r="C515" s="48" t="s">
        <v>1275</v>
      </c>
      <c r="D515" s="48" t="s">
        <v>298</v>
      </c>
      <c r="E515" s="46">
        <v>1</v>
      </c>
      <c r="F515" s="144" t="str">
        <f>IF(AND(ISNA(VLOOKUP(D515,A:A,1,FALSE())),ISNA(VLOOKUP(D515,BaseType!A:A,1,FALSE())),D515&lt;&gt;"Struct"),"N","Y")</f>
        <v>Y</v>
      </c>
      <c r="G515" s="146"/>
      <c r="H515" s="139">
        <v>0</v>
      </c>
      <c r="I515" s="139">
        <v>0</v>
      </c>
      <c r="J515" s="139">
        <v>0</v>
      </c>
      <c r="K515" s="139">
        <v>0</v>
      </c>
      <c r="L515" s="143">
        <v>0</v>
      </c>
      <c r="M515" s="143">
        <v>0</v>
      </c>
      <c r="N515" s="140"/>
      <c r="O515" s="140"/>
      <c r="P515" s="140"/>
      <c r="Q515" s="140"/>
      <c r="R515" s="140"/>
      <c r="S515" s="140"/>
      <c r="T515" s="140"/>
    </row>
    <row r="516" spans="1:20" ht="15" customHeight="1" x14ac:dyDescent="0.2">
      <c r="A516" s="141"/>
      <c r="B516" s="143"/>
      <c r="C516" s="48" t="s">
        <v>1276</v>
      </c>
      <c r="D516" s="48" t="s">
        <v>193</v>
      </c>
      <c r="E516" s="46">
        <v>1</v>
      </c>
      <c r="F516" s="144" t="str">
        <f>IF(AND(ISNA(VLOOKUP(D516,A:A,1,FALSE())),ISNA(VLOOKUP(D516,BaseType!A:A,1,FALSE())),D516&lt;&gt;"Struct"),"N","Y")</f>
        <v>Y</v>
      </c>
      <c r="G516" s="146"/>
      <c r="H516" s="139">
        <v>0</v>
      </c>
      <c r="I516" s="139">
        <v>0</v>
      </c>
      <c r="J516" s="139">
        <v>0</v>
      </c>
      <c r="K516" s="139">
        <v>0</v>
      </c>
      <c r="L516" s="143">
        <v>0</v>
      </c>
      <c r="M516" s="143">
        <v>0</v>
      </c>
      <c r="N516" s="140"/>
      <c r="O516" s="140"/>
      <c r="P516" s="140"/>
      <c r="Q516" s="140"/>
      <c r="R516" s="140"/>
      <c r="S516" s="140"/>
      <c r="T516" s="140"/>
    </row>
    <row r="517" spans="1:20" ht="15" customHeight="1" x14ac:dyDescent="0.2">
      <c r="A517" s="141"/>
      <c r="B517" s="143" t="str">
        <f>IF(ISBLANK(A517),"",IF(AND(ISNA(VLOOKUP(A517,Interface_Platform!E:E,1,FALSE())),ISNA(VLOOKUP(A517,D:D,1,FALSE()))),"N","Y"))</f>
        <v/>
      </c>
      <c r="C517" s="48" t="s">
        <v>1277</v>
      </c>
      <c r="D517" s="48" t="s">
        <v>193</v>
      </c>
      <c r="E517" s="46">
        <v>1</v>
      </c>
      <c r="F517" s="144" t="str">
        <f>IF(AND(ISNA(VLOOKUP(D517,A:A,1,FALSE())),ISNA(VLOOKUP(D517,BaseType!A:A,1,FALSE())),D517&lt;&gt;"Struct"),"N","Y")</f>
        <v>Y</v>
      </c>
      <c r="G517" s="146"/>
      <c r="H517" s="139">
        <v>0</v>
      </c>
      <c r="I517" s="139">
        <v>0</v>
      </c>
      <c r="J517" s="139">
        <v>0</v>
      </c>
      <c r="K517" s="139">
        <v>0</v>
      </c>
      <c r="L517" s="143">
        <v>0</v>
      </c>
      <c r="M517" s="143">
        <v>0</v>
      </c>
      <c r="N517" s="140"/>
      <c r="O517" s="140"/>
      <c r="P517" s="140"/>
      <c r="Q517" s="140"/>
      <c r="R517" s="140"/>
      <c r="S517" s="140"/>
      <c r="T517" s="140"/>
    </row>
    <row r="518" spans="1:20" ht="15" customHeight="1" x14ac:dyDescent="0.2">
      <c r="A518" s="141"/>
      <c r="B518" s="143" t="str">
        <f>IF(ISBLANK(A518),"",IF(AND(ISNA(VLOOKUP(A518,Interface_Platform!E:E,1,FALSE())),ISNA(VLOOKUP(A518,D:D,1,FALSE()))),"N","Y"))</f>
        <v/>
      </c>
      <c r="C518" s="48" t="s">
        <v>1278</v>
      </c>
      <c r="D518" s="48" t="s">
        <v>193</v>
      </c>
      <c r="E518" s="46">
        <v>10</v>
      </c>
      <c r="F518" s="144" t="str">
        <f>IF(AND(ISNA(VLOOKUP(D518,A:A,1,FALSE())),ISNA(VLOOKUP(D518,BaseType!A:A,1,FALSE())),D518&lt;&gt;"Struct"),"N","Y")</f>
        <v>Y</v>
      </c>
      <c r="G518" s="146"/>
      <c r="H518" s="139">
        <v>0</v>
      </c>
      <c r="I518" s="139">
        <v>0</v>
      </c>
      <c r="J518" s="139">
        <v>0</v>
      </c>
      <c r="K518" s="139">
        <v>0</v>
      </c>
      <c r="L518" s="143">
        <v>0</v>
      </c>
      <c r="M518" s="143">
        <v>0</v>
      </c>
      <c r="N518" s="140"/>
      <c r="O518" s="140"/>
      <c r="P518" s="140"/>
      <c r="Q518" s="140"/>
      <c r="R518" s="140"/>
      <c r="S518" s="140"/>
      <c r="T518" s="140"/>
    </row>
    <row r="519" spans="1:20" ht="15" customHeight="1" x14ac:dyDescent="0.2">
      <c r="A519" s="141"/>
      <c r="B519" s="143" t="str">
        <f>IF(ISBLANK(A519),"",IF(AND(ISNA(VLOOKUP(A519,Interface_Platform!E:E,1,FALSE())),ISNA(VLOOKUP(A519,D:D,1,FALSE()))),"N","Y"))</f>
        <v/>
      </c>
      <c r="C519" s="48" t="s">
        <v>1001</v>
      </c>
      <c r="D519" s="48" t="s">
        <v>193</v>
      </c>
      <c r="E519" s="46">
        <v>10</v>
      </c>
      <c r="F519" s="144" t="str">
        <f>IF(AND(ISNA(VLOOKUP(D519,A:A,1,FALSE())),ISNA(VLOOKUP(D519,BaseType!A:A,1,FALSE())),D519&lt;&gt;"Struct"),"N","Y")</f>
        <v>Y</v>
      </c>
      <c r="G519" s="146"/>
      <c r="H519" s="139">
        <v>0</v>
      </c>
      <c r="I519" s="139">
        <v>0</v>
      </c>
      <c r="J519" s="139">
        <v>0</v>
      </c>
      <c r="K519" s="139">
        <v>0</v>
      </c>
      <c r="L519" s="143">
        <v>0</v>
      </c>
      <c r="M519" s="143">
        <v>0</v>
      </c>
      <c r="N519" s="140"/>
      <c r="O519" s="140"/>
      <c r="P519" s="140"/>
      <c r="Q519" s="140"/>
      <c r="R519" s="140"/>
      <c r="S519" s="140"/>
      <c r="T519" s="140"/>
    </row>
    <row r="520" spans="1:20" ht="15" customHeight="1" x14ac:dyDescent="0.2">
      <c r="A520" s="141"/>
      <c r="B520" s="143"/>
      <c r="C520" s="189" t="s">
        <v>1279</v>
      </c>
      <c r="D520" s="189" t="s">
        <v>193</v>
      </c>
      <c r="E520" s="190">
        <v>10</v>
      </c>
      <c r="F520" s="144" t="str">
        <f>IF(AND(ISNA(VLOOKUP(D520,A:A,1,FALSE())),ISNA(VLOOKUP(D520,BaseType!A:A,1,FALSE())),D520&lt;&gt;"Struct"),"N","Y")</f>
        <v>Y</v>
      </c>
      <c r="G520" s="146" t="s">
        <v>1280</v>
      </c>
      <c r="H520" s="139">
        <v>0</v>
      </c>
      <c r="I520" s="139">
        <v>0</v>
      </c>
      <c r="J520" s="139">
        <v>0</v>
      </c>
      <c r="K520" s="139">
        <v>0</v>
      </c>
      <c r="L520" s="143">
        <v>0</v>
      </c>
      <c r="M520" s="143">
        <v>0</v>
      </c>
      <c r="N520" s="140"/>
      <c r="O520" s="140"/>
      <c r="P520" s="140"/>
      <c r="Q520" s="140"/>
      <c r="R520" s="140"/>
      <c r="S520" s="140"/>
      <c r="T520" s="140"/>
    </row>
    <row r="521" spans="1:20" ht="15" customHeight="1" x14ac:dyDescent="0.2">
      <c r="A521" s="141"/>
      <c r="B521" s="143"/>
      <c r="C521" s="189" t="s">
        <v>1281</v>
      </c>
      <c r="D521" s="189" t="s">
        <v>193</v>
      </c>
      <c r="E521" s="190">
        <v>10</v>
      </c>
      <c r="F521" s="144" t="str">
        <f>IF(AND(ISNA(VLOOKUP(D521,A:A,1,FALSE())),ISNA(VLOOKUP(D521,BaseType!A:A,1,FALSE())),D521&lt;&gt;"Struct"),"N","Y")</f>
        <v>Y</v>
      </c>
      <c r="G521" s="146" t="s">
        <v>1282</v>
      </c>
      <c r="H521" s="139">
        <v>0</v>
      </c>
      <c r="I521" s="139">
        <v>0</v>
      </c>
      <c r="J521" s="139">
        <v>0</v>
      </c>
      <c r="K521" s="139">
        <v>0</v>
      </c>
      <c r="L521" s="143">
        <v>0</v>
      </c>
      <c r="M521" s="143">
        <v>0</v>
      </c>
      <c r="N521" s="140"/>
      <c r="O521" s="140"/>
      <c r="P521" s="140"/>
      <c r="Q521" s="140"/>
      <c r="R521" s="140"/>
      <c r="S521" s="140"/>
      <c r="T521" s="140"/>
    </row>
    <row r="522" spans="1:20" ht="15" customHeight="1" x14ac:dyDescent="0.2">
      <c r="A522" s="141"/>
      <c r="B522" s="143"/>
      <c r="C522" s="189" t="s">
        <v>1283</v>
      </c>
      <c r="D522" s="189" t="s">
        <v>298</v>
      </c>
      <c r="E522" s="190">
        <v>10</v>
      </c>
      <c r="F522" s="144" t="str">
        <f>IF(AND(ISNA(VLOOKUP(D522,A:A,1,FALSE())),ISNA(VLOOKUP(D522,BaseType!A:A,1,FALSE())),D522&lt;&gt;"Struct"),"N","Y")</f>
        <v>Y</v>
      </c>
      <c r="G522" s="146" t="s">
        <v>1284</v>
      </c>
      <c r="H522" s="139">
        <v>0</v>
      </c>
      <c r="I522" s="139">
        <v>0</v>
      </c>
      <c r="J522" s="139">
        <v>0</v>
      </c>
      <c r="K522" s="139">
        <v>0</v>
      </c>
      <c r="L522" s="143">
        <v>0</v>
      </c>
      <c r="M522" s="143">
        <v>0</v>
      </c>
      <c r="N522" s="140"/>
      <c r="O522" s="140"/>
      <c r="P522" s="140"/>
      <c r="Q522" s="140"/>
      <c r="R522" s="140"/>
      <c r="S522" s="140"/>
      <c r="T522" s="140"/>
    </row>
    <row r="523" spans="1:20" ht="15" customHeight="1" x14ac:dyDescent="0.2">
      <c r="A523" s="141"/>
      <c r="B523" s="143"/>
      <c r="C523" s="189" t="s">
        <v>1285</v>
      </c>
      <c r="D523" s="189" t="s">
        <v>298</v>
      </c>
      <c r="E523" s="190">
        <v>10</v>
      </c>
      <c r="F523" s="144" t="str">
        <f>IF(AND(ISNA(VLOOKUP(D523,A:A,1,FALSE())),ISNA(VLOOKUP(D523,BaseType!A:A,1,FALSE())),D523&lt;&gt;"Struct"),"N","Y")</f>
        <v>Y</v>
      </c>
      <c r="G523" s="146" t="s">
        <v>1286</v>
      </c>
      <c r="H523" s="139">
        <v>0</v>
      </c>
      <c r="I523" s="139">
        <v>0</v>
      </c>
      <c r="J523" s="139">
        <v>0</v>
      </c>
      <c r="K523" s="139">
        <v>0</v>
      </c>
      <c r="L523" s="143">
        <v>0</v>
      </c>
      <c r="M523" s="143">
        <v>0</v>
      </c>
      <c r="N523" s="140"/>
      <c r="O523" s="140"/>
      <c r="P523" s="140"/>
      <c r="Q523" s="140"/>
      <c r="R523" s="140"/>
      <c r="S523" s="140"/>
      <c r="T523" s="140"/>
    </row>
    <row r="524" spans="1:20" ht="15" customHeight="1" x14ac:dyDescent="0.2">
      <c r="A524" s="141"/>
      <c r="B524" s="143"/>
      <c r="C524" s="189" t="s">
        <v>1287</v>
      </c>
      <c r="D524" s="189" t="s">
        <v>193</v>
      </c>
      <c r="E524" s="190">
        <v>10</v>
      </c>
      <c r="F524" s="144" t="str">
        <f>IF(AND(ISNA(VLOOKUP(D524,A:A,1,FALSE())),ISNA(VLOOKUP(D524,BaseType!A:A,1,FALSE())),D524&lt;&gt;"Struct"),"N","Y")</f>
        <v>Y</v>
      </c>
      <c r="G524" s="146"/>
      <c r="H524" s="139">
        <v>0</v>
      </c>
      <c r="I524" s="139">
        <v>0</v>
      </c>
      <c r="J524" s="139">
        <v>0</v>
      </c>
      <c r="K524" s="139">
        <v>0</v>
      </c>
      <c r="L524" s="143">
        <v>0</v>
      </c>
      <c r="M524" s="143">
        <v>0</v>
      </c>
      <c r="N524" s="140"/>
      <c r="O524" s="140"/>
      <c r="P524" s="140"/>
      <c r="Q524" s="140"/>
      <c r="R524" s="140"/>
      <c r="S524" s="140"/>
      <c r="T524" s="140"/>
    </row>
    <row r="525" spans="1:20" ht="15" customHeight="1" x14ac:dyDescent="0.2">
      <c r="A525" s="141"/>
      <c r="B525" s="143"/>
      <c r="C525" s="189" t="s">
        <v>1288</v>
      </c>
      <c r="D525" s="189" t="s">
        <v>193</v>
      </c>
      <c r="E525" s="190">
        <v>10</v>
      </c>
      <c r="F525" s="144" t="str">
        <f>IF(AND(ISNA(VLOOKUP(D525,A:A,1,FALSE())),ISNA(VLOOKUP(D525,BaseType!A:A,1,FALSE())),D525&lt;&gt;"Struct"),"N","Y")</f>
        <v>Y</v>
      </c>
      <c r="G525" s="146"/>
      <c r="H525" s="139">
        <v>0</v>
      </c>
      <c r="I525" s="139">
        <v>0</v>
      </c>
      <c r="J525" s="139">
        <v>0</v>
      </c>
      <c r="K525" s="139">
        <v>0</v>
      </c>
      <c r="L525" s="143">
        <v>0</v>
      </c>
      <c r="M525" s="143">
        <v>0</v>
      </c>
      <c r="N525" s="140"/>
      <c r="O525" s="140"/>
      <c r="P525" s="140"/>
      <c r="Q525" s="140"/>
      <c r="R525" s="140"/>
      <c r="S525" s="140"/>
      <c r="T525" s="140"/>
    </row>
    <row r="526" spans="1:20" ht="15" customHeight="1" x14ac:dyDescent="0.2">
      <c r="A526" s="141"/>
      <c r="B526" s="143" t="str">
        <f>IF(ISBLANK(A526),"",IF(AND(ISNA(VLOOKUP(A526,Interface_Platform!E:E,1,FALSE())),ISNA(VLOOKUP(A526,D:D,1,FALSE()))),"N","Y"))</f>
        <v/>
      </c>
      <c r="C526" s="48" t="s">
        <v>1289</v>
      </c>
      <c r="D526" s="48" t="s">
        <v>1249</v>
      </c>
      <c r="E526" s="46">
        <v>10</v>
      </c>
      <c r="F526" s="144" t="str">
        <f>IF(AND(ISNA(VLOOKUP(D526,A:A,1,FALSE())),ISNA(VLOOKUP(D526,BaseType!A:A,1,FALSE())),D526&lt;&gt;"Struct"),"N","Y")</f>
        <v>Y</v>
      </c>
      <c r="G526" s="146"/>
      <c r="H526" s="139">
        <v>0</v>
      </c>
      <c r="I526" s="139">
        <v>0</v>
      </c>
      <c r="J526" s="139">
        <v>0</v>
      </c>
      <c r="K526" s="139">
        <v>0</v>
      </c>
      <c r="L526" s="143">
        <v>0</v>
      </c>
      <c r="M526" s="143">
        <v>0</v>
      </c>
      <c r="N526" s="140"/>
      <c r="O526" s="140"/>
      <c r="P526" s="140"/>
      <c r="Q526" s="140"/>
      <c r="R526" s="140"/>
      <c r="S526" s="140"/>
      <c r="T526" s="140"/>
    </row>
    <row r="527" spans="1:20" ht="15" customHeight="1" x14ac:dyDescent="0.2">
      <c r="A527" s="141"/>
      <c r="B527" s="143" t="str">
        <f>IF(ISBLANK(A527),"",IF(AND(ISNA(VLOOKUP(A527,Interface_Platform!E:E,1,FALSE())),ISNA(VLOOKUP(A527,D:D,1,FALSE()))),"N","Y"))</f>
        <v/>
      </c>
      <c r="C527" s="48" t="s">
        <v>1290</v>
      </c>
      <c r="D527" s="48" t="s">
        <v>193</v>
      </c>
      <c r="E527" s="46">
        <v>10</v>
      </c>
      <c r="F527" s="144" t="str">
        <f>IF(AND(ISNA(VLOOKUP(D527,A:A,1,FALSE())),ISNA(VLOOKUP(D527,BaseType!A:A,1,FALSE())),D527&lt;&gt;"Struct"),"N","Y")</f>
        <v>Y</v>
      </c>
      <c r="G527" s="146"/>
      <c r="H527" s="139">
        <v>0</v>
      </c>
      <c r="I527" s="139">
        <v>0</v>
      </c>
      <c r="J527" s="139">
        <v>0</v>
      </c>
      <c r="K527" s="139">
        <v>0</v>
      </c>
      <c r="L527" s="143">
        <v>0</v>
      </c>
      <c r="M527" s="143">
        <v>0</v>
      </c>
      <c r="N527" s="140"/>
      <c r="O527" s="140"/>
      <c r="P527" s="140"/>
      <c r="Q527" s="140"/>
      <c r="R527" s="140"/>
      <c r="S527" s="140"/>
      <c r="T527" s="140"/>
    </row>
    <row r="528" spans="1:20" ht="15" customHeight="1" x14ac:dyDescent="0.2">
      <c r="A528" s="143" t="s">
        <v>310</v>
      </c>
      <c r="B528" s="143" t="str">
        <f>IF(ISBLANK(A528),"",IF(AND(ISNA(VLOOKUP(A528,Interface_Platform!E:E,1,FALSE())),ISNA(VLOOKUP(A528,D:D,1,FALSE()))),"N","Y"))</f>
        <v>Y</v>
      </c>
      <c r="C528" s="75"/>
      <c r="D528" s="143" t="s">
        <v>484</v>
      </c>
      <c r="E528" s="40"/>
      <c r="F528" s="144" t="str">
        <f>IF(AND(ISNA(VLOOKUP(D528,A:A,1,FALSE())),ISNA(VLOOKUP(D528,BaseType!A:A,1,FALSE())),D528&lt;&gt;"Struct"),"N","Y")</f>
        <v>Y</v>
      </c>
      <c r="G528" s="146"/>
      <c r="H528" s="139">
        <v>0</v>
      </c>
      <c r="I528" s="139">
        <v>0</v>
      </c>
      <c r="J528" s="139">
        <v>0</v>
      </c>
      <c r="K528" s="139">
        <v>0</v>
      </c>
      <c r="L528" s="143">
        <v>0</v>
      </c>
      <c r="M528" s="143">
        <v>0</v>
      </c>
      <c r="N528" s="140"/>
      <c r="O528" s="140"/>
      <c r="P528" s="140"/>
      <c r="Q528" s="140"/>
      <c r="R528" s="140"/>
      <c r="S528" s="140"/>
      <c r="T528" s="140"/>
    </row>
    <row r="529" spans="1:20" ht="15" customHeight="1" x14ac:dyDescent="0.2">
      <c r="A529" s="141"/>
      <c r="B529" s="143" t="str">
        <f>IF(ISBLANK(A529),"",IF(AND(ISNA(VLOOKUP(A529,Interface_Platform!E:E,1,FALSE())),ISNA(VLOOKUP(A529,D:D,1,FALSE()))),"N","Y"))</f>
        <v/>
      </c>
      <c r="C529" s="48" t="s">
        <v>1291</v>
      </c>
      <c r="D529" s="48" t="s">
        <v>193</v>
      </c>
      <c r="E529" s="46">
        <v>1</v>
      </c>
      <c r="F529" s="144" t="str">
        <f>IF(AND(ISNA(VLOOKUP(D529,A:A,1,FALSE())),ISNA(VLOOKUP(D529,BaseType!A:A,1,FALSE())),D529&lt;&gt;"Struct"),"N","Y")</f>
        <v>Y</v>
      </c>
      <c r="G529" s="146"/>
      <c r="H529" s="139">
        <v>0</v>
      </c>
      <c r="I529" s="139">
        <v>0</v>
      </c>
      <c r="J529" s="139">
        <v>0</v>
      </c>
      <c r="K529" s="139">
        <v>0</v>
      </c>
      <c r="L529" s="143">
        <v>0</v>
      </c>
      <c r="M529" s="143">
        <v>0</v>
      </c>
      <c r="N529" s="140"/>
      <c r="O529" s="140"/>
      <c r="P529" s="140"/>
      <c r="Q529" s="140"/>
      <c r="R529" s="140"/>
      <c r="S529" s="140"/>
      <c r="T529" s="140"/>
    </row>
    <row r="530" spans="1:20" ht="15" customHeight="1" x14ac:dyDescent="0.2">
      <c r="A530" s="141"/>
      <c r="B530" s="143" t="str">
        <f>IF(ISBLANK(A530),"",IF(AND(ISNA(VLOOKUP(A530,Interface_Platform!E:E,1,FALSE())),ISNA(VLOOKUP(A530,D:D,1,FALSE()))),"N","Y"))</f>
        <v/>
      </c>
      <c r="C530" s="48" t="s">
        <v>1292</v>
      </c>
      <c r="D530" s="48" t="s">
        <v>193</v>
      </c>
      <c r="E530" s="46">
        <v>1</v>
      </c>
      <c r="F530" s="144" t="str">
        <f>IF(AND(ISNA(VLOOKUP(D530,A:A,1,FALSE())),ISNA(VLOOKUP(D530,BaseType!A:A,1,FALSE())),D530&lt;&gt;"Struct"),"N","Y")</f>
        <v>Y</v>
      </c>
      <c r="G530" s="146"/>
      <c r="H530" s="139">
        <v>0</v>
      </c>
      <c r="I530" s="139">
        <v>0</v>
      </c>
      <c r="J530" s="139">
        <v>0</v>
      </c>
      <c r="K530" s="139">
        <v>0</v>
      </c>
      <c r="L530" s="143">
        <v>0</v>
      </c>
      <c r="M530" s="143">
        <v>0</v>
      </c>
      <c r="N530" s="140"/>
      <c r="O530" s="140"/>
      <c r="P530" s="140"/>
      <c r="Q530" s="140"/>
      <c r="R530" s="140"/>
      <c r="S530" s="140"/>
      <c r="T530" s="140"/>
    </row>
    <row r="531" spans="1:20" ht="15" customHeight="1" x14ac:dyDescent="0.2">
      <c r="A531" s="141"/>
      <c r="B531" s="143" t="str">
        <f>IF(ISBLANK(A531),"",IF(AND(ISNA(VLOOKUP(A531,Interface_Platform!E:E,1,FALSE())),ISNA(VLOOKUP(A531,D:D,1,FALSE()))),"N","Y"))</f>
        <v/>
      </c>
      <c r="C531" s="48" t="s">
        <v>1293</v>
      </c>
      <c r="D531" s="48" t="s">
        <v>1294</v>
      </c>
      <c r="E531" s="46">
        <v>10</v>
      </c>
      <c r="F531" s="144" t="str">
        <f>IF(AND(ISNA(VLOOKUP(D531,A:A,1,FALSE())),ISNA(VLOOKUP(D531,BaseType!A:A,1,FALSE())),D531&lt;&gt;"Struct"),"N","Y")</f>
        <v>Y</v>
      </c>
      <c r="G531" s="146"/>
      <c r="H531" s="139">
        <v>0</v>
      </c>
      <c r="I531" s="139">
        <v>0</v>
      </c>
      <c r="J531" s="139">
        <v>0</v>
      </c>
      <c r="K531" s="139">
        <v>0</v>
      </c>
      <c r="L531" s="143">
        <v>0</v>
      </c>
      <c r="M531" s="143">
        <v>0</v>
      </c>
      <c r="N531" s="140"/>
      <c r="O531" s="140"/>
      <c r="P531" s="140"/>
      <c r="Q531" s="140"/>
      <c r="R531" s="140"/>
      <c r="S531" s="140"/>
      <c r="T531" s="140"/>
    </row>
    <row r="532" spans="1:20" ht="15" customHeight="1" x14ac:dyDescent="0.2">
      <c r="A532" s="143" t="s">
        <v>1294</v>
      </c>
      <c r="B532" s="143" t="str">
        <f>IF(ISBLANK(A532),"",IF(AND(ISNA(VLOOKUP(A532,Interface_Platform!E:E,1,FALSE())),ISNA(VLOOKUP(A532,D:D,1,FALSE()))),"N","Y"))</f>
        <v>Y</v>
      </c>
      <c r="C532" s="75"/>
      <c r="D532" s="143" t="s">
        <v>484</v>
      </c>
      <c r="E532" s="40"/>
      <c r="F532" s="144" t="str">
        <f>IF(AND(ISNA(VLOOKUP(D532,A:A,1,FALSE())),ISNA(VLOOKUP(D532,BaseType!A:A,1,FALSE())),D532&lt;&gt;"Struct"),"N","Y")</f>
        <v>Y</v>
      </c>
      <c r="G532" s="146"/>
      <c r="H532" s="139">
        <v>0</v>
      </c>
      <c r="I532" s="139">
        <v>0</v>
      </c>
      <c r="J532" s="139">
        <v>0</v>
      </c>
      <c r="K532" s="139">
        <v>0</v>
      </c>
      <c r="L532" s="143">
        <v>0</v>
      </c>
      <c r="M532" s="143">
        <v>0</v>
      </c>
      <c r="N532" s="140"/>
      <c r="O532" s="140"/>
      <c r="P532" s="140"/>
      <c r="Q532" s="140"/>
      <c r="R532" s="140"/>
      <c r="S532" s="140"/>
      <c r="T532" s="140"/>
    </row>
    <row r="533" spans="1:20" ht="15" customHeight="1" x14ac:dyDescent="0.2">
      <c r="A533" s="141"/>
      <c r="B533" s="143" t="str">
        <f>IF(ISBLANK(A533),"",IF(AND(ISNA(VLOOKUP(A533,Interface_Platform!E:E,1,FALSE())),ISNA(VLOOKUP(A533,D:D,1,FALSE()))),"N","Y"))</f>
        <v/>
      </c>
      <c r="C533" s="48" t="s">
        <v>1295</v>
      </c>
      <c r="D533" s="48" t="s">
        <v>298</v>
      </c>
      <c r="E533" s="46">
        <v>1</v>
      </c>
      <c r="F533" s="144" t="str">
        <f>IF(AND(ISNA(VLOOKUP(D533,A:A,1,FALSE())),ISNA(VLOOKUP(D533,BaseType!A:A,1,FALSE())),D533&lt;&gt;"Struct"),"N","Y")</f>
        <v>Y</v>
      </c>
      <c r="G533" s="146"/>
      <c r="H533" s="139">
        <v>0</v>
      </c>
      <c r="I533" s="139">
        <v>0</v>
      </c>
      <c r="J533" s="139">
        <v>0</v>
      </c>
      <c r="K533" s="139">
        <v>0</v>
      </c>
      <c r="L533" s="143">
        <v>0</v>
      </c>
      <c r="M533" s="143">
        <v>0</v>
      </c>
      <c r="N533" s="140"/>
      <c r="O533" s="140"/>
      <c r="P533" s="140"/>
      <c r="Q533" s="140"/>
      <c r="R533" s="140"/>
      <c r="S533" s="140"/>
      <c r="T533" s="140"/>
    </row>
    <row r="534" spans="1:20" ht="15" customHeight="1" x14ac:dyDescent="0.2">
      <c r="A534" s="141"/>
      <c r="B534" s="143" t="str">
        <f>IF(ISBLANK(A534),"",IF(AND(ISNA(VLOOKUP(A534,Interface_Platform!E:E,1,FALSE())),ISNA(VLOOKUP(A534,D:D,1,FALSE()))),"N","Y"))</f>
        <v/>
      </c>
      <c r="C534" s="48" t="s">
        <v>1296</v>
      </c>
      <c r="D534" s="48" t="s">
        <v>298</v>
      </c>
      <c r="E534" s="46">
        <v>1</v>
      </c>
      <c r="F534" s="144" t="str">
        <f>IF(AND(ISNA(VLOOKUP(D534,A:A,1,FALSE())),ISNA(VLOOKUP(D534,BaseType!A:A,1,FALSE())),D534&lt;&gt;"Struct"),"N","Y")</f>
        <v>Y</v>
      </c>
      <c r="G534" s="146"/>
      <c r="H534" s="139">
        <v>0</v>
      </c>
      <c r="I534" s="139">
        <v>0</v>
      </c>
      <c r="J534" s="139">
        <v>0</v>
      </c>
      <c r="K534" s="139">
        <v>0</v>
      </c>
      <c r="L534" s="143">
        <v>0</v>
      </c>
      <c r="M534" s="143">
        <v>0</v>
      </c>
      <c r="N534" s="140"/>
      <c r="O534" s="140"/>
      <c r="P534" s="140"/>
      <c r="Q534" s="140"/>
      <c r="R534" s="140"/>
      <c r="S534" s="140"/>
      <c r="T534" s="140"/>
    </row>
    <row r="535" spans="1:20" ht="15" customHeight="1" x14ac:dyDescent="0.2">
      <c r="A535" s="141"/>
      <c r="B535" s="143" t="str">
        <f>IF(ISBLANK(A535),"",IF(AND(ISNA(VLOOKUP(A535,Interface_Platform!E:E,1,FALSE())),ISNA(VLOOKUP(A535,D:D,1,FALSE()))),"N","Y"))</f>
        <v/>
      </c>
      <c r="C535" s="48" t="s">
        <v>1297</v>
      </c>
      <c r="D535" s="48" t="s">
        <v>193</v>
      </c>
      <c r="E535" s="46">
        <v>1</v>
      </c>
      <c r="F535" s="144" t="str">
        <f>IF(AND(ISNA(VLOOKUP(D535,A:A,1,FALSE())),ISNA(VLOOKUP(D535,BaseType!A:A,1,FALSE())),D535&lt;&gt;"Struct"),"N","Y")</f>
        <v>Y</v>
      </c>
      <c r="G535" s="146"/>
      <c r="H535" s="139">
        <v>0</v>
      </c>
      <c r="I535" s="139">
        <v>0</v>
      </c>
      <c r="J535" s="139">
        <v>0</v>
      </c>
      <c r="K535" s="139">
        <v>0</v>
      </c>
      <c r="L535" s="143">
        <v>0</v>
      </c>
      <c r="M535" s="143">
        <v>0</v>
      </c>
      <c r="N535" s="140"/>
      <c r="O535" s="140"/>
      <c r="P535" s="140"/>
      <c r="Q535" s="140"/>
      <c r="R535" s="140"/>
      <c r="S535" s="140"/>
      <c r="T535" s="140"/>
    </row>
    <row r="536" spans="1:20" ht="15" customHeight="1" x14ac:dyDescent="0.2">
      <c r="A536" s="141"/>
      <c r="B536" s="143"/>
      <c r="C536" s="48" t="s">
        <v>1298</v>
      </c>
      <c r="D536" s="48" t="s">
        <v>193</v>
      </c>
      <c r="E536" s="46">
        <v>1</v>
      </c>
      <c r="F536" s="144" t="str">
        <f>IF(AND(ISNA(VLOOKUP(D536,A:A,1,FALSE())),ISNA(VLOOKUP(D536,BaseType!A:A,1,FALSE())),D536&lt;&gt;"Struct"),"N","Y")</f>
        <v>Y</v>
      </c>
      <c r="G536" s="146" t="s">
        <v>1299</v>
      </c>
      <c r="H536" s="139">
        <v>0</v>
      </c>
      <c r="I536" s="139">
        <v>0</v>
      </c>
      <c r="J536" s="139">
        <v>0</v>
      </c>
      <c r="K536" s="139">
        <v>0</v>
      </c>
      <c r="L536" s="143">
        <v>0</v>
      </c>
      <c r="M536" s="143">
        <v>0</v>
      </c>
      <c r="N536" s="140"/>
      <c r="O536" s="140"/>
      <c r="P536" s="140"/>
      <c r="Q536" s="140"/>
      <c r="R536" s="140"/>
      <c r="S536" s="140"/>
      <c r="T536" s="140"/>
    </row>
    <row r="537" spans="1:20" ht="15" customHeight="1" x14ac:dyDescent="0.2">
      <c r="A537" s="141"/>
      <c r="B537" s="143" t="str">
        <f>IF(ISBLANK(A537),"",IF(AND(ISNA(VLOOKUP(A537,Interface_Platform!E:E,1,FALSE())),ISNA(VLOOKUP(A537,D:D,1,FALSE()))),"N","Y"))</f>
        <v/>
      </c>
      <c r="C537" s="48" t="s">
        <v>1300</v>
      </c>
      <c r="D537" s="48" t="s">
        <v>1249</v>
      </c>
      <c r="E537" s="46">
        <v>1</v>
      </c>
      <c r="F537" s="144" t="str">
        <f>IF(AND(ISNA(VLOOKUP(D537,A:A,1,FALSE())),ISNA(VLOOKUP(D537,BaseType!A:A,1,FALSE())),D537&lt;&gt;"Struct"),"N","Y")</f>
        <v>Y</v>
      </c>
      <c r="G537" s="146"/>
      <c r="H537" s="139">
        <v>0</v>
      </c>
      <c r="I537" s="139">
        <v>0</v>
      </c>
      <c r="J537" s="139">
        <v>0</v>
      </c>
      <c r="K537" s="139">
        <v>0</v>
      </c>
      <c r="L537" s="143">
        <v>0</v>
      </c>
      <c r="M537" s="143">
        <v>0</v>
      </c>
      <c r="N537" s="140"/>
      <c r="O537" s="140"/>
      <c r="P537" s="140"/>
      <c r="Q537" s="140"/>
      <c r="R537" s="140"/>
      <c r="S537" s="140"/>
      <c r="T537" s="140"/>
    </row>
    <row r="538" spans="1:20" ht="15" customHeight="1" x14ac:dyDescent="0.2">
      <c r="A538" s="141"/>
      <c r="B538" s="143" t="str">
        <f>IF(ISBLANK(A538),"",IF(AND(ISNA(VLOOKUP(A538,Interface_Platform!E:E,1,FALSE())),ISNA(VLOOKUP(A538,D:D,1,FALSE()))),"N","Y"))</f>
        <v/>
      </c>
      <c r="C538" s="48" t="s">
        <v>1301</v>
      </c>
      <c r="D538" s="48" t="s">
        <v>1249</v>
      </c>
      <c r="E538" s="46">
        <v>1</v>
      </c>
      <c r="F538" s="144" t="str">
        <f>IF(AND(ISNA(VLOOKUP(D538,A:A,1,FALSE())),ISNA(VLOOKUP(D538,BaseType!A:A,1,FALSE())),D538&lt;&gt;"Struct"),"N","Y")</f>
        <v>Y</v>
      </c>
      <c r="G538" s="146"/>
      <c r="H538" s="139">
        <v>0</v>
      </c>
      <c r="I538" s="139">
        <v>0</v>
      </c>
      <c r="J538" s="139">
        <v>0</v>
      </c>
      <c r="K538" s="139">
        <v>0</v>
      </c>
      <c r="L538" s="143">
        <v>0</v>
      </c>
      <c r="M538" s="143">
        <v>0</v>
      </c>
      <c r="N538" s="140"/>
      <c r="O538" s="140"/>
      <c r="P538" s="140"/>
      <c r="Q538" s="140"/>
      <c r="R538" s="140"/>
      <c r="S538" s="140"/>
      <c r="T538" s="140"/>
    </row>
    <row r="539" spans="1:20" ht="15" customHeight="1" x14ac:dyDescent="0.2">
      <c r="A539" s="143"/>
      <c r="B539" s="143" t="str">
        <f>IF(ISBLANK(A539),"",IF(AND(ISNA(VLOOKUP(A539,Interface_Platform!E:E,1,FALSE())),ISNA(VLOOKUP(A539,D:D,1,FALSE()))),"N","Y"))</f>
        <v/>
      </c>
      <c r="C539" s="48" t="s">
        <v>1302</v>
      </c>
      <c r="D539" s="48" t="s">
        <v>193</v>
      </c>
      <c r="E539" s="46">
        <v>1</v>
      </c>
      <c r="F539" s="144" t="str">
        <f>IF(AND(ISNA(VLOOKUP(D539,A:A,1,FALSE())),ISNA(VLOOKUP(D539,BaseType!A:A,1,FALSE())),D539&lt;&gt;"Struct"),"N","Y")</f>
        <v>Y</v>
      </c>
      <c r="G539" s="146"/>
      <c r="H539" s="139"/>
      <c r="I539" s="139"/>
      <c r="J539" s="139"/>
      <c r="K539" s="139"/>
      <c r="L539" s="143"/>
      <c r="M539" s="143"/>
      <c r="N539" s="140"/>
      <c r="O539" s="140"/>
      <c r="P539" s="140"/>
      <c r="Q539" s="140"/>
      <c r="R539" s="140"/>
      <c r="S539" s="140"/>
      <c r="T539" s="140"/>
    </row>
    <row r="540" spans="1:20" ht="15" customHeight="1" x14ac:dyDescent="0.2">
      <c r="A540" s="143"/>
      <c r="B540" s="143" t="str">
        <f>IF(ISBLANK(A540),"",IF(AND(ISNA(VLOOKUP(A540,Interface_Platform!E:E,1,FALSE())),ISNA(VLOOKUP(A540,D:D,1,FALSE()))),"N","Y"))</f>
        <v/>
      </c>
      <c r="C540" s="48" t="s">
        <v>1303</v>
      </c>
      <c r="D540" s="48" t="s">
        <v>193</v>
      </c>
      <c r="E540" s="46">
        <v>1</v>
      </c>
      <c r="F540" s="144" t="str">
        <f>IF(AND(ISNA(VLOOKUP(D540,A:A,1,FALSE())),ISNA(VLOOKUP(D540,BaseType!A:A,1,FALSE())),D540&lt;&gt;"Struct"),"N","Y")</f>
        <v>Y</v>
      </c>
      <c r="G540" s="146"/>
      <c r="H540" s="139"/>
      <c r="I540" s="139"/>
      <c r="J540" s="139"/>
      <c r="K540" s="139"/>
      <c r="L540" s="143"/>
      <c r="M540" s="143"/>
      <c r="N540" s="140"/>
      <c r="O540" s="140"/>
      <c r="P540" s="140"/>
      <c r="Q540" s="140"/>
      <c r="R540" s="140"/>
      <c r="S540" s="140"/>
      <c r="T540" s="140"/>
    </row>
    <row r="541" spans="1:20" ht="15" customHeight="1" x14ac:dyDescent="0.2">
      <c r="A541" s="143"/>
      <c r="B541" s="143"/>
      <c r="C541" s="48" t="s">
        <v>1304</v>
      </c>
      <c r="D541" s="48" t="s">
        <v>918</v>
      </c>
      <c r="E541" s="46">
        <v>1</v>
      </c>
      <c r="F541" s="144" t="str">
        <f>IF(AND(ISNA(VLOOKUP(D541,A:A,1,FALSE())),ISNA(VLOOKUP(D541,BaseType!A:A,1,FALSE())),D541&lt;&gt;"Struct"),"N","Y")</f>
        <v>Y</v>
      </c>
      <c r="G541" s="146" t="s">
        <v>1305</v>
      </c>
      <c r="H541" s="139"/>
      <c r="I541" s="139"/>
      <c r="J541" s="139"/>
      <c r="K541" s="139"/>
      <c r="L541" s="143"/>
      <c r="M541" s="143"/>
      <c r="N541" s="140"/>
      <c r="O541" s="140"/>
      <c r="P541" s="140"/>
      <c r="Q541" s="140"/>
      <c r="R541" s="140"/>
      <c r="S541" s="140"/>
      <c r="T541" s="140"/>
    </row>
    <row r="542" spans="1:20" ht="15" customHeight="1" x14ac:dyDescent="0.2">
      <c r="A542" s="143" t="s">
        <v>1306</v>
      </c>
      <c r="B542" s="143" t="str">
        <f>IF(ISBLANK(A542),"",IF(AND(ISNA(VLOOKUP(A542,Interface_Platform!E:E,1,FALSE())),ISNA(VLOOKUP(A542,D:D,1,FALSE()))),"N","Y"))</f>
        <v>Y</v>
      </c>
      <c r="C542" s="75"/>
      <c r="D542" s="143" t="s">
        <v>484</v>
      </c>
      <c r="E542" s="40"/>
      <c r="F542" s="144" t="str">
        <f>IF(AND(ISNA(VLOOKUP(D542,A:A,1,FALSE())),ISNA(VLOOKUP(D542,BaseType!A:A,1,FALSE())),D542&lt;&gt;"Struct"),"N","Y")</f>
        <v>Y</v>
      </c>
      <c r="G542" s="146"/>
      <c r="H542" s="139">
        <v>0</v>
      </c>
      <c r="I542" s="139">
        <v>0</v>
      </c>
      <c r="J542" s="139">
        <v>0</v>
      </c>
      <c r="K542" s="139">
        <v>0</v>
      </c>
      <c r="L542" s="143">
        <v>0</v>
      </c>
      <c r="M542" s="143">
        <v>0</v>
      </c>
      <c r="N542" s="140"/>
      <c r="O542" s="140"/>
      <c r="P542" s="140"/>
      <c r="Q542" s="140"/>
      <c r="R542" s="140"/>
      <c r="S542" s="140"/>
      <c r="T542" s="140"/>
    </row>
    <row r="543" spans="1:20" ht="15" customHeight="1" x14ac:dyDescent="0.2">
      <c r="A543" s="141"/>
      <c r="B543" s="143" t="str">
        <f>IF(ISBLANK(A543),"",IF(AND(ISNA(VLOOKUP(A543,Interface_Platform!E:E,1,FALSE())),ISNA(VLOOKUP(A543,D:D,1,FALSE()))),"N","Y"))</f>
        <v/>
      </c>
      <c r="C543" s="48" t="s">
        <v>1257</v>
      </c>
      <c r="D543" s="48" t="s">
        <v>298</v>
      </c>
      <c r="E543" s="46">
        <v>1</v>
      </c>
      <c r="F543" s="144" t="str">
        <f>IF(AND(ISNA(VLOOKUP(D543,A:A,1,FALSE())),ISNA(VLOOKUP(D543,BaseType!A:A,1,FALSE())),D543&lt;&gt;"Struct"),"N","Y")</f>
        <v>Y</v>
      </c>
      <c r="G543" s="146"/>
      <c r="H543" s="139">
        <v>0</v>
      </c>
      <c r="I543" s="139">
        <v>0</v>
      </c>
      <c r="J543" s="139">
        <v>0</v>
      </c>
      <c r="K543" s="139">
        <v>0</v>
      </c>
      <c r="L543" s="143">
        <v>0</v>
      </c>
      <c r="M543" s="143">
        <v>0</v>
      </c>
      <c r="N543" s="140"/>
      <c r="O543" s="140"/>
      <c r="P543" s="140"/>
      <c r="Q543" s="140"/>
      <c r="R543" s="140"/>
      <c r="S543" s="140"/>
      <c r="T543" s="140"/>
    </row>
    <row r="544" spans="1:20" ht="15" customHeight="1" x14ac:dyDescent="0.2">
      <c r="A544" s="141"/>
      <c r="B544" s="143" t="str">
        <f>IF(ISBLANK(A544),"",IF(AND(ISNA(VLOOKUP(A544,Interface_Platform!E:E,1,FALSE())),ISNA(VLOOKUP(A544,D:D,1,FALSE()))),"N","Y"))</f>
        <v/>
      </c>
      <c r="C544" s="48" t="s">
        <v>1258</v>
      </c>
      <c r="D544" s="48" t="s">
        <v>1249</v>
      </c>
      <c r="E544" s="46">
        <v>1</v>
      </c>
      <c r="F544" s="144" t="str">
        <f>IF(AND(ISNA(VLOOKUP(D544,A:A,1,FALSE())),ISNA(VLOOKUP(D544,BaseType!A:A,1,FALSE())),D544&lt;&gt;"Struct"),"N","Y")</f>
        <v>Y</v>
      </c>
      <c r="G544" s="146"/>
      <c r="H544" s="139">
        <v>0</v>
      </c>
      <c r="I544" s="139">
        <v>0</v>
      </c>
      <c r="J544" s="139">
        <v>0</v>
      </c>
      <c r="K544" s="139">
        <v>0</v>
      </c>
      <c r="L544" s="143">
        <v>0</v>
      </c>
      <c r="M544" s="143">
        <v>0</v>
      </c>
      <c r="N544" s="140"/>
      <c r="O544" s="140"/>
      <c r="P544" s="140"/>
      <c r="Q544" s="140"/>
      <c r="R544" s="140"/>
      <c r="S544" s="140"/>
      <c r="T544" s="140"/>
    </row>
    <row r="545" spans="1:20" ht="15" customHeight="1" x14ac:dyDescent="0.2">
      <c r="A545" s="141"/>
      <c r="B545" s="143" t="str">
        <f>IF(ISBLANK(A545),"",IF(AND(ISNA(VLOOKUP(A545,Interface_Platform!E:E,1,FALSE())),ISNA(VLOOKUP(A545,D:D,1,FALSE()))),"N","Y"))</f>
        <v/>
      </c>
      <c r="C545" s="48" t="s">
        <v>1259</v>
      </c>
      <c r="D545" s="48" t="s">
        <v>1249</v>
      </c>
      <c r="E545" s="46">
        <v>1</v>
      </c>
      <c r="F545" s="144" t="str">
        <f>IF(AND(ISNA(VLOOKUP(D545,A:A,1,FALSE())),ISNA(VLOOKUP(D545,BaseType!A:A,1,FALSE())),D545&lt;&gt;"Struct"),"N","Y")</f>
        <v>Y</v>
      </c>
      <c r="G545" s="146"/>
      <c r="H545" s="139">
        <v>0</v>
      </c>
      <c r="I545" s="139">
        <v>0</v>
      </c>
      <c r="J545" s="139">
        <v>0</v>
      </c>
      <c r="K545" s="139">
        <v>0</v>
      </c>
      <c r="L545" s="143">
        <v>0</v>
      </c>
      <c r="M545" s="143">
        <v>0</v>
      </c>
      <c r="N545" s="140"/>
      <c r="O545" s="140"/>
      <c r="P545" s="140"/>
      <c r="Q545" s="140"/>
      <c r="R545" s="140"/>
      <c r="S545" s="140"/>
      <c r="T545" s="140"/>
    </row>
    <row r="546" spans="1:20" ht="15" customHeight="1" x14ac:dyDescent="0.2">
      <c r="A546" s="141"/>
      <c r="B546" s="143" t="str">
        <f>IF(ISBLANK(A546),"",IF(AND(ISNA(VLOOKUP(A546,Interface_Platform!E:E,1,FALSE())),ISNA(VLOOKUP(A546,D:D,1,FALSE()))),"N","Y"))</f>
        <v/>
      </c>
      <c r="C546" s="48" t="s">
        <v>1260</v>
      </c>
      <c r="D546" s="48" t="s">
        <v>298</v>
      </c>
      <c r="E546" s="46">
        <v>1</v>
      </c>
      <c r="F546" s="144" t="str">
        <f>IF(AND(ISNA(VLOOKUP(D546,A:A,1,FALSE())),ISNA(VLOOKUP(D546,BaseType!A:A,1,FALSE())),D546&lt;&gt;"Struct"),"N","Y")</f>
        <v>Y</v>
      </c>
      <c r="G546" s="146"/>
      <c r="H546" s="139">
        <v>0</v>
      </c>
      <c r="I546" s="139">
        <v>0</v>
      </c>
      <c r="J546" s="139">
        <v>0</v>
      </c>
      <c r="K546" s="139">
        <v>0</v>
      </c>
      <c r="L546" s="143">
        <v>0</v>
      </c>
      <c r="M546" s="143">
        <v>0</v>
      </c>
      <c r="N546" s="140"/>
      <c r="O546" s="140"/>
      <c r="P546" s="140"/>
      <c r="Q546" s="140"/>
      <c r="R546" s="140"/>
      <c r="S546" s="140"/>
      <c r="T546" s="140"/>
    </row>
    <row r="547" spans="1:20" ht="15" customHeight="1" x14ac:dyDescent="0.2">
      <c r="A547" s="141"/>
      <c r="B547" s="143" t="str">
        <f>IF(ISBLANK(A547),"",IF(AND(ISNA(VLOOKUP(A547,Interface_Platform!E:E,1,FALSE())),ISNA(VLOOKUP(A547,D:D,1,FALSE()))),"N","Y"))</f>
        <v/>
      </c>
      <c r="C547" s="48" t="s">
        <v>1261</v>
      </c>
      <c r="D547" s="48" t="s">
        <v>193</v>
      </c>
      <c r="E547" s="46">
        <v>1</v>
      </c>
      <c r="F547" s="144" t="str">
        <f>IF(AND(ISNA(VLOOKUP(D547,A:A,1,FALSE())),ISNA(VLOOKUP(D547,BaseType!A:A,1,FALSE())),D547&lt;&gt;"Struct"),"N","Y")</f>
        <v>Y</v>
      </c>
      <c r="G547" s="146"/>
      <c r="H547" s="139">
        <v>0</v>
      </c>
      <c r="I547" s="139">
        <v>0</v>
      </c>
      <c r="J547" s="139">
        <v>0</v>
      </c>
      <c r="K547" s="139">
        <v>0</v>
      </c>
      <c r="L547" s="143">
        <v>0</v>
      </c>
      <c r="M547" s="143">
        <v>0</v>
      </c>
      <c r="N547" s="140"/>
      <c r="O547" s="140"/>
      <c r="P547" s="140"/>
      <c r="Q547" s="140"/>
      <c r="R547" s="140"/>
      <c r="S547" s="140"/>
      <c r="T547" s="140"/>
    </row>
    <row r="548" spans="1:20" ht="15" customHeight="1" x14ac:dyDescent="0.2">
      <c r="A548" s="141"/>
      <c r="B548" s="143" t="str">
        <f>IF(ISBLANK(A548),"",IF(AND(ISNA(VLOOKUP(A548,Interface_Platform!E:E,1,FALSE())),ISNA(VLOOKUP(A548,D:D,1,FALSE()))),"N","Y"))</f>
        <v/>
      </c>
      <c r="C548" s="48" t="s">
        <v>1265</v>
      </c>
      <c r="D548" s="48" t="s">
        <v>225</v>
      </c>
      <c r="E548" s="46">
        <v>1</v>
      </c>
      <c r="F548" s="144" t="str">
        <f>IF(AND(ISNA(VLOOKUP(D548,A:A,1,FALSE())),ISNA(VLOOKUP(D548,BaseType!A:A,1,FALSE())),D548&lt;&gt;"Struct"),"N","Y")</f>
        <v>Y</v>
      </c>
      <c r="G548" s="146"/>
      <c r="H548" s="139">
        <v>0</v>
      </c>
      <c r="I548" s="139">
        <v>0</v>
      </c>
      <c r="J548" s="139">
        <v>0</v>
      </c>
      <c r="K548" s="139">
        <v>0</v>
      </c>
      <c r="L548" s="143">
        <v>0</v>
      </c>
      <c r="M548" s="143">
        <v>0</v>
      </c>
      <c r="N548" s="140"/>
      <c r="O548" s="140"/>
      <c r="P548" s="140"/>
      <c r="Q548" s="140"/>
      <c r="R548" s="140"/>
      <c r="S548" s="140"/>
      <c r="T548" s="140"/>
    </row>
    <row r="549" spans="1:20" ht="15" customHeight="1" x14ac:dyDescent="0.2">
      <c r="A549" s="141"/>
      <c r="B549" s="143" t="str">
        <f>IF(ISBLANK(A549),"",IF(AND(ISNA(VLOOKUP(A549,Interface_Platform!E:E,1,FALSE())),ISNA(VLOOKUP(A549,D:D,1,FALSE()))),"N","Y"))</f>
        <v/>
      </c>
      <c r="C549" s="48" t="s">
        <v>1266</v>
      </c>
      <c r="D549" s="48" t="s">
        <v>1249</v>
      </c>
      <c r="E549" s="46">
        <v>1</v>
      </c>
      <c r="F549" s="144" t="str">
        <f>IF(AND(ISNA(VLOOKUP(D549,A:A,1,FALSE())),ISNA(VLOOKUP(D549,BaseType!A:A,1,FALSE())),D549&lt;&gt;"Struct"),"N","Y")</f>
        <v>Y</v>
      </c>
      <c r="G549" s="146"/>
      <c r="H549" s="139">
        <v>0</v>
      </c>
      <c r="I549" s="139">
        <v>0</v>
      </c>
      <c r="J549" s="139">
        <v>0</v>
      </c>
      <c r="K549" s="139">
        <v>0</v>
      </c>
      <c r="L549" s="143">
        <v>0</v>
      </c>
      <c r="M549" s="143">
        <v>0</v>
      </c>
      <c r="N549" s="140"/>
      <c r="O549" s="140"/>
      <c r="P549" s="140"/>
      <c r="Q549" s="140"/>
      <c r="R549" s="140"/>
      <c r="S549" s="140"/>
      <c r="T549" s="140"/>
    </row>
    <row r="550" spans="1:20" ht="15" customHeight="1" x14ac:dyDescent="0.2">
      <c r="A550" s="141"/>
      <c r="B550" s="143"/>
      <c r="C550" s="48" t="s">
        <v>1307</v>
      </c>
      <c r="D550" s="48" t="s">
        <v>193</v>
      </c>
      <c r="E550" s="46">
        <v>1</v>
      </c>
      <c r="F550" s="144" t="str">
        <f>IF(AND(ISNA(VLOOKUP(D550,A:A,1,FALSE())),ISNA(VLOOKUP(D550,BaseType!A:A,1,FALSE())),D550&lt;&gt;"Struct"),"N","Y")</f>
        <v>Y</v>
      </c>
      <c r="G550" s="146" t="s">
        <v>1308</v>
      </c>
      <c r="H550" s="139">
        <v>0</v>
      </c>
      <c r="I550" s="139">
        <v>0</v>
      </c>
      <c r="J550" s="139">
        <v>0</v>
      </c>
      <c r="K550" s="139">
        <v>0</v>
      </c>
      <c r="L550" s="143">
        <v>0</v>
      </c>
      <c r="M550" s="143">
        <v>0</v>
      </c>
      <c r="N550" s="140"/>
      <c r="O550" s="140"/>
      <c r="P550" s="140"/>
      <c r="Q550" s="140"/>
      <c r="R550" s="140"/>
      <c r="S550" s="140"/>
      <c r="T550" s="140"/>
    </row>
    <row r="551" spans="1:20" ht="15" customHeight="1" x14ac:dyDescent="0.2">
      <c r="A551" s="141"/>
      <c r="B551" s="143"/>
      <c r="C551" s="48" t="s">
        <v>1309</v>
      </c>
      <c r="D551" s="48" t="s">
        <v>193</v>
      </c>
      <c r="E551" s="46">
        <v>1</v>
      </c>
      <c r="F551" s="144" t="str">
        <f>IF(AND(ISNA(VLOOKUP(D551,A:A,1,FALSE())),ISNA(VLOOKUP(D551,BaseType!A:A,1,FALSE())),D551&lt;&gt;"Struct"),"N","Y")</f>
        <v>Y</v>
      </c>
      <c r="G551" s="146" t="s">
        <v>1310</v>
      </c>
      <c r="H551" s="139"/>
      <c r="I551" s="139"/>
      <c r="J551" s="139"/>
      <c r="K551" s="139"/>
      <c r="L551" s="143"/>
      <c r="M551" s="143"/>
      <c r="N551" s="140"/>
      <c r="O551" s="140"/>
      <c r="P551" s="140"/>
      <c r="Q551" s="140"/>
      <c r="R551" s="140"/>
      <c r="S551" s="140"/>
      <c r="T551" s="140"/>
    </row>
    <row r="552" spans="1:20" ht="15" customHeight="1" x14ac:dyDescent="0.2">
      <c r="A552" s="141"/>
      <c r="B552" s="143"/>
      <c r="C552" s="48" t="s">
        <v>1311</v>
      </c>
      <c r="D552" s="48" t="s">
        <v>193</v>
      </c>
      <c r="E552" s="46">
        <v>1</v>
      </c>
      <c r="F552" s="144" t="str">
        <f>IF(AND(ISNA(VLOOKUP(D552,A:A,1,FALSE())),ISNA(VLOOKUP(D552,BaseType!A:A,1,FALSE())),D552&lt;&gt;"Struct"),"N","Y")</f>
        <v>Y</v>
      </c>
      <c r="G552" s="146" t="s">
        <v>1310</v>
      </c>
      <c r="H552" s="139"/>
      <c r="I552" s="139"/>
      <c r="J552" s="139"/>
      <c r="K552" s="139"/>
      <c r="L552" s="143"/>
      <c r="M552" s="143"/>
      <c r="N552" s="140"/>
      <c r="O552" s="140"/>
      <c r="P552" s="140"/>
      <c r="Q552" s="140"/>
      <c r="R552" s="140"/>
      <c r="S552" s="140"/>
      <c r="T552" s="140"/>
    </row>
    <row r="553" spans="1:20" ht="15" customHeight="1" x14ac:dyDescent="0.2">
      <c r="A553" s="141"/>
      <c r="B553" s="143" t="str">
        <f>IF(ISBLANK(A553),"",IF(AND(ISNA(VLOOKUP(A553,Interface_Platform!E:E,1,FALSE())),ISNA(VLOOKUP(A553,D:D,1,FALSE()))),"N","Y"))</f>
        <v/>
      </c>
      <c r="C553" s="48" t="s">
        <v>1256</v>
      </c>
      <c r="D553" s="48" t="s">
        <v>193</v>
      </c>
      <c r="E553" s="46">
        <v>1</v>
      </c>
      <c r="F553" s="144" t="str">
        <f>IF(AND(ISNA(VLOOKUP(D553,A:A,1,FALSE())),ISNA(VLOOKUP(D553,BaseType!A:A,1,FALSE())),D553&lt;&gt;"Struct"),"N","Y")</f>
        <v>Y</v>
      </c>
      <c r="G553" s="146"/>
      <c r="H553" s="139">
        <v>0</v>
      </c>
      <c r="I553" s="139">
        <v>0</v>
      </c>
      <c r="J553" s="139">
        <v>0</v>
      </c>
      <c r="K553" s="139">
        <v>0</v>
      </c>
      <c r="L553" s="143">
        <v>0</v>
      </c>
      <c r="M553" s="143">
        <v>0</v>
      </c>
      <c r="N553" s="140"/>
      <c r="O553" s="140"/>
      <c r="P553" s="140"/>
      <c r="Q553" s="140"/>
      <c r="R553" s="140"/>
      <c r="S553" s="140"/>
      <c r="T553" s="140"/>
    </row>
    <row r="554" spans="1:20" ht="15" customHeight="1" x14ac:dyDescent="0.2">
      <c r="A554" s="141" t="s">
        <v>1312</v>
      </c>
      <c r="B554" s="143" t="str">
        <f>IF(ISBLANK(A554),"",IF(AND(ISNA(VLOOKUP(A554,Interface_Platform!E:E,1,FALSE())),ISNA(VLOOKUP(A554,D:D,1,FALSE()))),"N","Y"))</f>
        <v>Y</v>
      </c>
      <c r="C554" s="48"/>
      <c r="D554" s="143" t="s">
        <v>484</v>
      </c>
      <c r="E554" s="46"/>
      <c r="F554" s="144" t="str">
        <f>IF(AND(ISNA(VLOOKUP(D554,A:A,1,FALSE())),ISNA(VLOOKUP(D554,BaseType!A:A,1,FALSE())),D554&lt;&gt;"Struct"),"N","Y")</f>
        <v>Y</v>
      </c>
      <c r="G554" s="146"/>
      <c r="H554" s="139"/>
      <c r="I554" s="139"/>
      <c r="J554" s="139"/>
      <c r="K554" s="139"/>
      <c r="L554" s="143"/>
      <c r="M554" s="143"/>
      <c r="N554" s="140"/>
      <c r="O554" s="140"/>
      <c r="P554" s="140"/>
      <c r="Q554" s="140"/>
      <c r="R554" s="140"/>
      <c r="S554" s="140"/>
      <c r="T554" s="140"/>
    </row>
    <row r="555" spans="1:20" ht="15" customHeight="1" x14ac:dyDescent="0.2">
      <c r="A555" s="141"/>
      <c r="B555" s="143"/>
      <c r="C555" s="48" t="s">
        <v>1313</v>
      </c>
      <c r="D555" s="48" t="s">
        <v>298</v>
      </c>
      <c r="E555" s="46">
        <v>1</v>
      </c>
      <c r="F555" s="144" t="str">
        <f>IF(AND(ISNA(VLOOKUP(D555,A:A,1,FALSE())),ISNA(VLOOKUP(D555,BaseType!A:A,1,FALSE())),D555&lt;&gt;"Struct"),"N","Y")</f>
        <v>Y</v>
      </c>
      <c r="G555" s="146"/>
      <c r="H555" s="139"/>
      <c r="I555" s="139"/>
      <c r="J555" s="139"/>
      <c r="K555" s="139"/>
      <c r="L555" s="143"/>
      <c r="M555" s="143"/>
      <c r="N555" s="140"/>
      <c r="O555" s="140"/>
      <c r="P555" s="140"/>
      <c r="Q555" s="140"/>
      <c r="R555" s="140"/>
      <c r="S555" s="140"/>
      <c r="T555" s="140"/>
    </row>
    <row r="556" spans="1:20" ht="15" customHeight="1" x14ac:dyDescent="0.2">
      <c r="A556" s="141"/>
      <c r="B556" s="143"/>
      <c r="C556" s="48" t="s">
        <v>132</v>
      </c>
      <c r="D556" s="48" t="s">
        <v>1314</v>
      </c>
      <c r="E556" s="46">
        <v>1</v>
      </c>
      <c r="F556" s="144" t="str">
        <f>IF(AND(ISNA(VLOOKUP(D556,A:A,1,FALSE())),ISNA(VLOOKUP(D556,BaseType!A:A,1,FALSE())),D556&lt;&gt;"Struct"),"N","Y")</f>
        <v>Y</v>
      </c>
      <c r="G556" s="146"/>
      <c r="H556" s="139"/>
      <c r="I556" s="139"/>
      <c r="J556" s="139"/>
      <c r="K556" s="139"/>
      <c r="L556" s="143"/>
      <c r="M556" s="143"/>
      <c r="N556" s="140"/>
      <c r="O556" s="140"/>
      <c r="P556" s="140"/>
      <c r="Q556" s="140"/>
      <c r="R556" s="140"/>
      <c r="S556" s="140"/>
      <c r="T556" s="140"/>
    </row>
    <row r="557" spans="1:20" ht="15" customHeight="1" x14ac:dyDescent="0.2">
      <c r="A557" s="141"/>
      <c r="B557" s="143"/>
      <c r="C557" s="48" t="s">
        <v>1315</v>
      </c>
      <c r="D557" s="48" t="s">
        <v>1314</v>
      </c>
      <c r="E557" s="46">
        <v>1</v>
      </c>
      <c r="F557" s="144" t="str">
        <f>IF(AND(ISNA(VLOOKUP(D557,A:A,1,FALSE())),ISNA(VLOOKUP(D557,BaseType!A:A,1,FALSE())),D557&lt;&gt;"Struct"),"N","Y")</f>
        <v>Y</v>
      </c>
      <c r="G557" s="146"/>
      <c r="H557" s="139"/>
      <c r="I557" s="139"/>
      <c r="J557" s="139"/>
      <c r="K557" s="139"/>
      <c r="L557" s="143"/>
      <c r="M557" s="143"/>
      <c r="N557" s="140"/>
      <c r="O557" s="140"/>
      <c r="P557" s="140"/>
      <c r="Q557" s="140"/>
      <c r="R557" s="140"/>
      <c r="S557" s="140"/>
      <c r="T557" s="140"/>
    </row>
    <row r="558" spans="1:20" ht="15" customHeight="1" x14ac:dyDescent="0.2">
      <c r="A558" s="141"/>
      <c r="B558" s="143"/>
      <c r="C558" s="48" t="s">
        <v>1316</v>
      </c>
      <c r="D558" s="48" t="s">
        <v>1314</v>
      </c>
      <c r="E558" s="46">
        <v>1</v>
      </c>
      <c r="F558" s="144" t="str">
        <f>IF(AND(ISNA(VLOOKUP(D558,A:A,1,FALSE())),ISNA(VLOOKUP(D558,BaseType!A:A,1,FALSE())),D558&lt;&gt;"Struct"),"N","Y")</f>
        <v>Y</v>
      </c>
      <c r="G558" s="146"/>
      <c r="H558" s="139"/>
      <c r="I558" s="139"/>
      <c r="J558" s="139"/>
      <c r="K558" s="139"/>
      <c r="L558" s="143"/>
      <c r="M558" s="143"/>
      <c r="N558" s="140"/>
      <c r="O558" s="140"/>
      <c r="P558" s="140"/>
      <c r="Q558" s="140"/>
      <c r="R558" s="140"/>
      <c r="S558" s="140"/>
      <c r="T558" s="140"/>
    </row>
    <row r="559" spans="1:20" ht="15" customHeight="1" x14ac:dyDescent="0.2">
      <c r="A559" s="141"/>
      <c r="B559" s="143"/>
      <c r="C559" s="48" t="s">
        <v>1317</v>
      </c>
      <c r="D559" s="48" t="s">
        <v>1314</v>
      </c>
      <c r="E559" s="46">
        <v>1</v>
      </c>
      <c r="F559" s="144" t="str">
        <f>IF(AND(ISNA(VLOOKUP(D559,A:A,1,FALSE())),ISNA(VLOOKUP(D559,BaseType!A:A,1,FALSE())),D559&lt;&gt;"Struct"),"N","Y")</f>
        <v>Y</v>
      </c>
      <c r="G559" s="146"/>
      <c r="H559" s="139"/>
      <c r="I559" s="139"/>
      <c r="J559" s="139"/>
      <c r="K559" s="139"/>
      <c r="L559" s="143"/>
      <c r="M559" s="143"/>
      <c r="N559" s="140"/>
      <c r="O559" s="140"/>
      <c r="P559" s="140"/>
      <c r="Q559" s="140"/>
      <c r="R559" s="140"/>
      <c r="S559" s="140"/>
      <c r="T559" s="140"/>
    </row>
    <row r="560" spans="1:20" ht="15" customHeight="1" x14ac:dyDescent="0.2">
      <c r="A560" s="141" t="s">
        <v>1318</v>
      </c>
      <c r="B560" s="143" t="str">
        <f>IF(ISBLANK(A560),"",IF(AND(ISNA(VLOOKUP(A560,Interface_Platform!E:E,1,FALSE())),ISNA(VLOOKUP(A560,D:D,1,FALSE()))),"N","Y"))</f>
        <v>Y</v>
      </c>
      <c r="C560" s="48"/>
      <c r="D560" s="143" t="s">
        <v>484</v>
      </c>
      <c r="E560" s="46"/>
      <c r="F560" s="144" t="str">
        <f>IF(AND(ISNA(VLOOKUP(D560,A:A,1,FALSE())),ISNA(VLOOKUP(D560,BaseType!A:A,1,FALSE())),D560&lt;&gt;"Struct"),"N","Y")</f>
        <v>Y</v>
      </c>
      <c r="G560" s="146"/>
      <c r="H560" s="139"/>
      <c r="I560" s="139"/>
      <c r="J560" s="139"/>
      <c r="K560" s="139"/>
      <c r="L560" s="143"/>
      <c r="M560" s="143"/>
      <c r="N560" s="140"/>
      <c r="O560" s="140"/>
      <c r="P560" s="140"/>
      <c r="Q560" s="140"/>
      <c r="R560" s="140"/>
      <c r="S560" s="140"/>
      <c r="T560" s="140"/>
    </row>
    <row r="561" spans="1:20" ht="15" customHeight="1" x14ac:dyDescent="0.2">
      <c r="A561" s="141"/>
      <c r="B561" s="143"/>
      <c r="C561" s="48" t="s">
        <v>1319</v>
      </c>
      <c r="D561" s="48" t="s">
        <v>1249</v>
      </c>
      <c r="E561" s="46">
        <v>1</v>
      </c>
      <c r="F561" s="144" t="str">
        <f>IF(AND(ISNA(VLOOKUP(D561,A:A,1,FALSE())),ISNA(VLOOKUP(D561,BaseType!A:A,1,FALSE())),D561&lt;&gt;"Struct"),"N","Y")</f>
        <v>Y</v>
      </c>
      <c r="G561" s="146"/>
      <c r="H561" s="139"/>
      <c r="I561" s="139"/>
      <c r="J561" s="139"/>
      <c r="K561" s="139"/>
      <c r="L561" s="143"/>
      <c r="M561" s="143"/>
      <c r="N561" s="140"/>
      <c r="O561" s="140"/>
      <c r="P561" s="140"/>
      <c r="Q561" s="140"/>
      <c r="R561" s="140"/>
      <c r="S561" s="140"/>
      <c r="T561" s="140"/>
    </row>
    <row r="562" spans="1:20" ht="15" customHeight="1" x14ac:dyDescent="0.2">
      <c r="A562" s="141"/>
      <c r="B562" s="143"/>
      <c r="C562" s="48" t="s">
        <v>1320</v>
      </c>
      <c r="D562" s="48" t="s">
        <v>298</v>
      </c>
      <c r="E562" s="46">
        <v>1</v>
      </c>
      <c r="F562" s="144" t="str">
        <f>IF(AND(ISNA(VLOOKUP(D562,A:A,1,FALSE())),ISNA(VLOOKUP(D562,BaseType!A:A,1,FALSE())),D562&lt;&gt;"Struct"),"N","Y")</f>
        <v>Y</v>
      </c>
      <c r="G562" s="146"/>
      <c r="H562" s="139"/>
      <c r="I562" s="139"/>
      <c r="J562" s="139"/>
      <c r="K562" s="139"/>
      <c r="L562" s="143"/>
      <c r="M562" s="143"/>
      <c r="N562" s="140"/>
      <c r="O562" s="140"/>
      <c r="P562" s="140"/>
      <c r="Q562" s="140"/>
      <c r="R562" s="140"/>
      <c r="S562" s="140"/>
      <c r="T562" s="140"/>
    </row>
    <row r="563" spans="1:20" ht="15" customHeight="1" x14ac:dyDescent="0.2">
      <c r="A563" s="141"/>
      <c r="B563" s="143"/>
      <c r="C563" s="48" t="s">
        <v>1321</v>
      </c>
      <c r="D563" s="48" t="s">
        <v>298</v>
      </c>
      <c r="E563" s="46">
        <v>1</v>
      </c>
      <c r="F563" s="144" t="str">
        <f>IF(AND(ISNA(VLOOKUP(D563,A:A,1,FALSE())),ISNA(VLOOKUP(D563,BaseType!A:A,1,FALSE())),D563&lt;&gt;"Struct"),"N","Y")</f>
        <v>Y</v>
      </c>
      <c r="G563" s="146"/>
      <c r="H563" s="139"/>
      <c r="I563" s="139"/>
      <c r="J563" s="139"/>
      <c r="K563" s="139"/>
      <c r="L563" s="143"/>
      <c r="M563" s="143"/>
      <c r="N563" s="140"/>
      <c r="O563" s="140"/>
      <c r="P563" s="140"/>
      <c r="Q563" s="140"/>
      <c r="R563" s="140"/>
      <c r="S563" s="140"/>
      <c r="T563" s="140"/>
    </row>
    <row r="564" spans="1:20" ht="15" customHeight="1" x14ac:dyDescent="0.2">
      <c r="A564" s="141"/>
      <c r="B564" s="143"/>
      <c r="C564" s="48" t="s">
        <v>1322</v>
      </c>
      <c r="D564" s="48" t="s">
        <v>298</v>
      </c>
      <c r="E564" s="46">
        <v>1</v>
      </c>
      <c r="F564" s="144" t="str">
        <f>IF(AND(ISNA(VLOOKUP(D564,A:A,1,FALSE())),ISNA(VLOOKUP(D564,BaseType!A:A,1,FALSE())),D564&lt;&gt;"Struct"),"N","Y")</f>
        <v>Y</v>
      </c>
      <c r="G564" s="146"/>
      <c r="H564" s="139"/>
      <c r="I564" s="139"/>
      <c r="J564" s="139"/>
      <c r="K564" s="139"/>
      <c r="L564" s="143"/>
      <c r="M564" s="143"/>
      <c r="N564" s="140"/>
      <c r="O564" s="140"/>
      <c r="P564" s="140"/>
      <c r="Q564" s="140"/>
      <c r="R564" s="140"/>
      <c r="S564" s="140"/>
      <c r="T564" s="140"/>
    </row>
    <row r="565" spans="1:20" ht="15" customHeight="1" x14ac:dyDescent="0.2">
      <c r="A565" s="141"/>
      <c r="B565" s="143"/>
      <c r="C565" s="48" t="s">
        <v>1323</v>
      </c>
      <c r="D565" s="48" t="s">
        <v>1249</v>
      </c>
      <c r="E565" s="46">
        <v>1</v>
      </c>
      <c r="F565" s="144" t="str">
        <f>IF(AND(ISNA(VLOOKUP(D565,A:A,1,FALSE())),ISNA(VLOOKUP(D565,BaseType!A:A,1,FALSE())),D565&lt;&gt;"Struct"),"N","Y")</f>
        <v>Y</v>
      </c>
      <c r="G565" s="146"/>
      <c r="H565" s="139"/>
      <c r="I565" s="139"/>
      <c r="J565" s="139"/>
      <c r="K565" s="139"/>
      <c r="L565" s="143"/>
      <c r="M565" s="143"/>
      <c r="N565" s="140"/>
      <c r="O565" s="140"/>
      <c r="P565" s="140"/>
      <c r="Q565" s="140"/>
      <c r="R565" s="140"/>
      <c r="S565" s="140"/>
      <c r="T565" s="140"/>
    </row>
    <row r="566" spans="1:20" ht="15" customHeight="1" x14ac:dyDescent="0.2">
      <c r="A566" s="141"/>
      <c r="B566" s="143"/>
      <c r="C566" s="48" t="s">
        <v>1324</v>
      </c>
      <c r="D566" s="48" t="s">
        <v>298</v>
      </c>
      <c r="E566" s="46">
        <v>1</v>
      </c>
      <c r="F566" s="144" t="str">
        <f>IF(AND(ISNA(VLOOKUP(D566,A:A,1,FALSE())),ISNA(VLOOKUP(D566,BaseType!A:A,1,FALSE())),D566&lt;&gt;"Struct"),"N","Y")</f>
        <v>Y</v>
      </c>
      <c r="G566" s="146"/>
      <c r="H566" s="139"/>
      <c r="I566" s="139"/>
      <c r="J566" s="139"/>
      <c r="K566" s="139"/>
      <c r="L566" s="143"/>
      <c r="M566" s="143"/>
      <c r="N566" s="140"/>
      <c r="O566" s="140"/>
      <c r="P566" s="140"/>
      <c r="Q566" s="140"/>
      <c r="R566" s="140"/>
      <c r="S566" s="140"/>
      <c r="T566" s="140"/>
    </row>
    <row r="567" spans="1:20" ht="15" customHeight="1" x14ac:dyDescent="0.2">
      <c r="A567" s="141"/>
      <c r="B567" s="143"/>
      <c r="C567" s="48" t="s">
        <v>1325</v>
      </c>
      <c r="D567" s="48" t="s">
        <v>298</v>
      </c>
      <c r="E567" s="46">
        <v>1</v>
      </c>
      <c r="F567" s="144" t="str">
        <f>IF(AND(ISNA(VLOOKUP(D567,A:A,1,FALSE())),ISNA(VLOOKUP(D567,BaseType!A:A,1,FALSE())),D567&lt;&gt;"Struct"),"N","Y")</f>
        <v>Y</v>
      </c>
      <c r="G567" s="146"/>
      <c r="H567" s="139"/>
      <c r="I567" s="139"/>
      <c r="J567" s="139"/>
      <c r="K567" s="139"/>
      <c r="L567" s="143"/>
      <c r="M567" s="143"/>
      <c r="N567" s="140"/>
      <c r="O567" s="140"/>
      <c r="P567" s="140"/>
      <c r="Q567" s="140"/>
      <c r="R567" s="140"/>
      <c r="S567" s="140"/>
      <c r="T567" s="140"/>
    </row>
    <row r="568" spans="1:20" ht="15" customHeight="1" x14ac:dyDescent="0.2">
      <c r="A568" s="141"/>
      <c r="B568" s="143"/>
      <c r="C568" s="48" t="s">
        <v>1326</v>
      </c>
      <c r="D568" s="48" t="s">
        <v>298</v>
      </c>
      <c r="E568" s="46">
        <v>1</v>
      </c>
      <c r="F568" s="144" t="str">
        <f>IF(AND(ISNA(VLOOKUP(D568,A:A,1,FALSE())),ISNA(VLOOKUP(D568,BaseType!A:A,1,FALSE())),D568&lt;&gt;"Struct"),"N","Y")</f>
        <v>Y</v>
      </c>
      <c r="G568" s="146"/>
      <c r="H568" s="139"/>
      <c r="I568" s="139"/>
      <c r="J568" s="139"/>
      <c r="K568" s="139"/>
      <c r="L568" s="143"/>
      <c r="M568" s="143"/>
      <c r="N568" s="140"/>
      <c r="O568" s="140"/>
      <c r="P568" s="140"/>
      <c r="Q568" s="140"/>
      <c r="R568" s="140"/>
      <c r="S568" s="140"/>
      <c r="T568" s="140"/>
    </row>
    <row r="569" spans="1:20" ht="15" customHeight="1" x14ac:dyDescent="0.2">
      <c r="A569" s="141"/>
      <c r="B569" s="143"/>
      <c r="C569" s="48" t="s">
        <v>1327</v>
      </c>
      <c r="D569" s="48" t="s">
        <v>1249</v>
      </c>
      <c r="E569" s="46">
        <v>1</v>
      </c>
      <c r="F569" s="144" t="str">
        <f>IF(AND(ISNA(VLOOKUP(D569,A:A,1,FALSE())),ISNA(VLOOKUP(D569,BaseType!A:A,1,FALSE())),D569&lt;&gt;"Struct"),"N","Y")</f>
        <v>Y</v>
      </c>
      <c r="G569" s="146"/>
      <c r="H569" s="139"/>
      <c r="I569" s="139"/>
      <c r="J569" s="139"/>
      <c r="K569" s="139"/>
      <c r="L569" s="143"/>
      <c r="M569" s="143"/>
      <c r="N569" s="140"/>
      <c r="O569" s="140"/>
      <c r="P569" s="140"/>
      <c r="Q569" s="140"/>
      <c r="R569" s="140"/>
      <c r="S569" s="140"/>
      <c r="T569" s="140"/>
    </row>
    <row r="570" spans="1:20" ht="15" customHeight="1" x14ac:dyDescent="0.2">
      <c r="A570" s="141"/>
      <c r="B570" s="143"/>
      <c r="C570" s="48" t="s">
        <v>1328</v>
      </c>
      <c r="D570" s="48" t="s">
        <v>1314</v>
      </c>
      <c r="E570" s="46">
        <v>1</v>
      </c>
      <c r="F570" s="144" t="str">
        <f>IF(AND(ISNA(VLOOKUP(D570,A:A,1,FALSE())),ISNA(VLOOKUP(D570,BaseType!A:A,1,FALSE())),D570&lt;&gt;"Struct"),"N","Y")</f>
        <v>Y</v>
      </c>
      <c r="G570" s="146"/>
      <c r="H570" s="139"/>
      <c r="I570" s="139"/>
      <c r="J570" s="139"/>
      <c r="K570" s="139"/>
      <c r="L570" s="143"/>
      <c r="M570" s="143"/>
      <c r="N570" s="140"/>
      <c r="O570" s="140"/>
      <c r="P570" s="140"/>
      <c r="Q570" s="140"/>
      <c r="R570" s="140"/>
      <c r="S570" s="140"/>
      <c r="T570" s="140"/>
    </row>
    <row r="571" spans="1:20" ht="15" customHeight="1" x14ac:dyDescent="0.2">
      <c r="A571" s="141"/>
      <c r="B571" s="143"/>
      <c r="C571" s="48" t="s">
        <v>1329</v>
      </c>
      <c r="D571" s="48" t="s">
        <v>1314</v>
      </c>
      <c r="E571" s="46">
        <v>2</v>
      </c>
      <c r="F571" s="144" t="str">
        <f>IF(AND(ISNA(VLOOKUP(D571,A:A,1,FALSE())),ISNA(VLOOKUP(D571,BaseType!A:A,1,FALSE())),D571&lt;&gt;"Struct"),"N","Y")</f>
        <v>Y</v>
      </c>
      <c r="G571" s="146"/>
      <c r="H571" s="139"/>
      <c r="I571" s="139"/>
      <c r="J571" s="139"/>
      <c r="K571" s="139"/>
      <c r="L571" s="143"/>
      <c r="M571" s="143"/>
      <c r="N571" s="140"/>
      <c r="O571" s="140"/>
      <c r="P571" s="140"/>
      <c r="Q571" s="140"/>
      <c r="R571" s="140"/>
      <c r="S571" s="140"/>
      <c r="T571" s="140"/>
    </row>
    <row r="572" spans="1:20" ht="15" customHeight="1" x14ac:dyDescent="0.2">
      <c r="A572" s="141"/>
      <c r="B572" s="143"/>
      <c r="C572" s="48" t="s">
        <v>1330</v>
      </c>
      <c r="D572" s="48" t="s">
        <v>1249</v>
      </c>
      <c r="E572" s="46">
        <v>1</v>
      </c>
      <c r="F572" s="144" t="str">
        <f>IF(AND(ISNA(VLOOKUP(D572,A:A,1,FALSE())),ISNA(VLOOKUP(D572,BaseType!A:A,1,FALSE())),D572&lt;&gt;"Struct"),"N","Y")</f>
        <v>Y</v>
      </c>
      <c r="G572" s="146"/>
      <c r="H572" s="139"/>
      <c r="I572" s="139"/>
      <c r="J572" s="139"/>
      <c r="K572" s="139"/>
      <c r="L572" s="143"/>
      <c r="M572" s="143"/>
      <c r="N572" s="140"/>
      <c r="O572" s="140"/>
      <c r="P572" s="140"/>
      <c r="Q572" s="140"/>
      <c r="R572" s="140"/>
      <c r="S572" s="140"/>
      <c r="T572" s="140"/>
    </row>
    <row r="573" spans="1:20" ht="15" customHeight="1" x14ac:dyDescent="0.2">
      <c r="A573" s="141"/>
      <c r="B573" s="143"/>
      <c r="C573" s="48" t="s">
        <v>1331</v>
      </c>
      <c r="D573" s="48" t="s">
        <v>193</v>
      </c>
      <c r="E573" s="46">
        <v>1</v>
      </c>
      <c r="F573" s="144" t="str">
        <f>IF(AND(ISNA(VLOOKUP(D573,A:A,1,FALSE())),ISNA(VLOOKUP(D573,BaseType!A:A,1,FALSE())),D573&lt;&gt;"Struct"),"N","Y")</f>
        <v>Y</v>
      </c>
      <c r="G573" s="146"/>
      <c r="H573" s="139"/>
      <c r="I573" s="139"/>
      <c r="J573" s="139"/>
      <c r="K573" s="139"/>
      <c r="L573" s="143"/>
      <c r="M573" s="143"/>
      <c r="N573" s="140"/>
      <c r="O573" s="140"/>
      <c r="P573" s="140"/>
      <c r="Q573" s="140"/>
      <c r="R573" s="140"/>
      <c r="S573" s="140"/>
      <c r="T573" s="140"/>
    </row>
    <row r="574" spans="1:20" ht="15" customHeight="1" x14ac:dyDescent="0.2">
      <c r="A574" s="48" t="s">
        <v>1332</v>
      </c>
      <c r="B574" s="143" t="str">
        <f>IF(ISBLANK(A574),"",IF(AND(ISNA(VLOOKUP(A574,Interface_Platform!E:E,1,FALSE())),ISNA(VLOOKUP(A574,D:D,1,FALSE()))),"N","Y"))</f>
        <v>Y</v>
      </c>
      <c r="C574" s="48"/>
      <c r="D574" s="200" t="s">
        <v>1333</v>
      </c>
      <c r="E574" s="46"/>
      <c r="F574" s="144" t="str">
        <f>IF(AND(ISNA(VLOOKUP(D574,A:A,1,FALSE())),ISNA(VLOOKUP(D574,BaseType!A:A,1,FALSE())),D574&lt;&gt;"Struct"),"N","Y")</f>
        <v>N</v>
      </c>
      <c r="G574" s="146"/>
      <c r="H574" s="139"/>
      <c r="I574" s="139"/>
      <c r="J574" s="139"/>
      <c r="K574" s="139"/>
      <c r="L574" s="143"/>
      <c r="M574" s="143"/>
      <c r="N574" s="140"/>
      <c r="O574" s="140"/>
      <c r="P574" s="140"/>
      <c r="Q574" s="140"/>
      <c r="R574" s="140"/>
      <c r="S574" s="140"/>
      <c r="T574" s="140"/>
    </row>
    <row r="575" spans="1:20" ht="15" customHeight="1" x14ac:dyDescent="0.2">
      <c r="A575" s="48"/>
      <c r="B575" s="143"/>
      <c r="C575" s="48" t="s">
        <v>1334</v>
      </c>
      <c r="D575" s="143">
        <v>0</v>
      </c>
      <c r="E575" s="46"/>
      <c r="F575" s="144" t="str">
        <f>IF(AND(ISNA(VLOOKUP(D575,A:A,1,FALSE())),ISNA(VLOOKUP(D575,BaseType!A:A,1,FALSE())),D575&lt;&gt;"Struct"),"N","Y")</f>
        <v>N</v>
      </c>
      <c r="G575" s="146"/>
      <c r="H575" s="139"/>
      <c r="I575" s="139"/>
      <c r="J575" s="139"/>
      <c r="K575" s="139"/>
      <c r="L575" s="143"/>
      <c r="M575" s="143"/>
      <c r="N575" s="140"/>
      <c r="O575" s="140"/>
      <c r="P575" s="140"/>
      <c r="Q575" s="140"/>
      <c r="R575" s="140"/>
      <c r="S575" s="140"/>
      <c r="T575" s="140"/>
    </row>
    <row r="576" spans="1:20" ht="15" customHeight="1" x14ac:dyDescent="0.2">
      <c r="A576" s="48"/>
      <c r="B576" s="143"/>
      <c r="C576" s="48" t="s">
        <v>1335</v>
      </c>
      <c r="D576" s="143">
        <v>1</v>
      </c>
      <c r="E576" s="46"/>
      <c r="F576" s="144" t="str">
        <f>IF(AND(ISNA(VLOOKUP(D576,A:A,1,FALSE())),ISNA(VLOOKUP(D576,BaseType!A:A,1,FALSE())),D576&lt;&gt;"Struct"),"N","Y")</f>
        <v>N</v>
      </c>
      <c r="G576" s="146"/>
      <c r="H576" s="139"/>
      <c r="I576" s="139"/>
      <c r="J576" s="139"/>
      <c r="K576" s="139"/>
      <c r="L576" s="143"/>
      <c r="M576" s="143"/>
      <c r="N576" s="140"/>
      <c r="O576" s="140"/>
      <c r="P576" s="140"/>
      <c r="Q576" s="140"/>
      <c r="R576" s="140"/>
      <c r="S576" s="140"/>
      <c r="T576" s="140"/>
    </row>
    <row r="577" spans="1:20" ht="15" customHeight="1" x14ac:dyDescent="0.2">
      <c r="A577" s="48"/>
      <c r="B577" s="143"/>
      <c r="C577" s="48" t="s">
        <v>1336</v>
      </c>
      <c r="D577" s="143">
        <v>2</v>
      </c>
      <c r="E577" s="46"/>
      <c r="F577" s="144" t="str">
        <f>IF(AND(ISNA(VLOOKUP(D577,A:A,1,FALSE())),ISNA(VLOOKUP(D577,BaseType!A:A,1,FALSE())),D577&lt;&gt;"Struct"),"N","Y")</f>
        <v>N</v>
      </c>
      <c r="G577" s="146"/>
      <c r="H577" s="139"/>
      <c r="I577" s="139"/>
      <c r="J577" s="139"/>
      <c r="K577" s="139"/>
      <c r="L577" s="143"/>
      <c r="M577" s="143"/>
      <c r="N577" s="140"/>
      <c r="O577" s="140"/>
      <c r="P577" s="140"/>
      <c r="Q577" s="140"/>
      <c r="R577" s="140"/>
      <c r="S577" s="140"/>
      <c r="T577" s="140"/>
    </row>
    <row r="578" spans="1:20" ht="15" customHeight="1" x14ac:dyDescent="0.2">
      <c r="A578" s="141" t="s">
        <v>1337</v>
      </c>
      <c r="B578" s="143" t="str">
        <f>IF(ISBLANK(A578),"",IF(AND(ISNA(VLOOKUP(A578,Interface_Platform!E:E,1,FALSE())),ISNA(VLOOKUP(A578,D:D,1,FALSE()))),"N","Y"))</f>
        <v>Y</v>
      </c>
      <c r="C578" s="48"/>
      <c r="D578" s="143" t="s">
        <v>484</v>
      </c>
      <c r="E578" s="46"/>
      <c r="F578" s="144" t="str">
        <f>IF(AND(ISNA(VLOOKUP(D578,A:A,1,FALSE())),ISNA(VLOOKUP(D578,BaseType!A:A,1,FALSE())),D578&lt;&gt;"Struct"),"N","Y")</f>
        <v>Y</v>
      </c>
      <c r="G578" s="146"/>
      <c r="H578" s="139"/>
      <c r="I578" s="139"/>
      <c r="J578" s="139"/>
      <c r="K578" s="139"/>
      <c r="L578" s="143"/>
      <c r="M578" s="143"/>
      <c r="N578" s="140"/>
      <c r="O578" s="140"/>
      <c r="P578" s="140"/>
      <c r="Q578" s="140"/>
      <c r="R578" s="140"/>
      <c r="S578" s="140"/>
      <c r="T578" s="140"/>
    </row>
    <row r="579" spans="1:20" ht="15" customHeight="1" x14ac:dyDescent="0.2">
      <c r="A579" s="141"/>
      <c r="B579" s="143"/>
      <c r="C579" s="48" t="s">
        <v>973</v>
      </c>
      <c r="D579" s="141" t="s">
        <v>193</v>
      </c>
      <c r="E579" s="46">
        <v>128</v>
      </c>
      <c r="F579" s="144" t="str">
        <f>IF(AND(ISNA(VLOOKUP(D579,A:A,1,FALSE())),ISNA(VLOOKUP(D579,BaseType!A:A,1,FALSE())),D579&lt;&gt;"Struct"),"N","Y")</f>
        <v>Y</v>
      </c>
      <c r="G579" s="146"/>
      <c r="H579" s="139"/>
      <c r="I579" s="139"/>
      <c r="J579" s="139"/>
      <c r="K579" s="139"/>
      <c r="L579" s="143"/>
      <c r="M579" s="143"/>
      <c r="N579" s="140"/>
      <c r="O579" s="140"/>
      <c r="P579" s="140"/>
      <c r="Q579" s="140"/>
      <c r="R579" s="140"/>
      <c r="S579" s="140"/>
      <c r="T579" s="140"/>
    </row>
    <row r="580" spans="1:20" ht="15" customHeight="1" x14ac:dyDescent="0.2">
      <c r="A580" s="141"/>
      <c r="B580" s="143"/>
      <c r="C580" s="48" t="s">
        <v>132</v>
      </c>
      <c r="D580" s="48" t="s">
        <v>1314</v>
      </c>
      <c r="E580" s="46">
        <v>1</v>
      </c>
      <c r="F580" s="144" t="str">
        <f>IF(AND(ISNA(VLOOKUP(D580,A:A,1,FALSE())),ISNA(VLOOKUP(D580,BaseType!A:A,1,FALSE())),D580&lt;&gt;"Struct"),"N","Y")</f>
        <v>Y</v>
      </c>
      <c r="G580" s="146"/>
      <c r="H580" s="139"/>
      <c r="I580" s="139"/>
      <c r="J580" s="139"/>
      <c r="K580" s="139"/>
      <c r="L580" s="143"/>
      <c r="M580" s="143"/>
      <c r="N580" s="140"/>
      <c r="O580" s="140"/>
      <c r="P580" s="140"/>
      <c r="Q580" s="140"/>
      <c r="R580" s="140"/>
      <c r="S580" s="140"/>
      <c r="T580" s="140"/>
    </row>
    <row r="581" spans="1:20" ht="15" customHeight="1" x14ac:dyDescent="0.2">
      <c r="A581" s="141"/>
      <c r="B581" s="143"/>
      <c r="C581" s="48" t="s">
        <v>1315</v>
      </c>
      <c r="D581" s="48" t="s">
        <v>1314</v>
      </c>
      <c r="E581" s="46">
        <v>1</v>
      </c>
      <c r="F581" s="144" t="str">
        <f>IF(AND(ISNA(VLOOKUP(D581,A:A,1,FALSE())),ISNA(VLOOKUP(D581,BaseType!A:A,1,FALSE())),D581&lt;&gt;"Struct"),"N","Y")</f>
        <v>Y</v>
      </c>
      <c r="G581" s="146"/>
      <c r="H581" s="139"/>
      <c r="I581" s="139"/>
      <c r="J581" s="139"/>
      <c r="K581" s="139"/>
      <c r="L581" s="143"/>
      <c r="M581" s="143"/>
      <c r="N581" s="140"/>
      <c r="O581" s="140"/>
      <c r="P581" s="140"/>
      <c r="Q581" s="140"/>
      <c r="R581" s="140"/>
      <c r="S581" s="140"/>
      <c r="T581" s="140"/>
    </row>
    <row r="582" spans="1:20" ht="15" customHeight="1" x14ac:dyDescent="0.2">
      <c r="A582" s="141"/>
      <c r="B582" s="143"/>
      <c r="C582" s="141" t="s">
        <v>1001</v>
      </c>
      <c r="D582" s="48" t="s">
        <v>1332</v>
      </c>
      <c r="E582" s="46">
        <v>1</v>
      </c>
      <c r="F582" s="144" t="str">
        <f>IF(AND(ISNA(VLOOKUP(D582,A:A,1,FALSE())),ISNA(VLOOKUP(D582,BaseType!A:A,1,FALSE())),D582&lt;&gt;"Struct"),"N","Y")</f>
        <v>Y</v>
      </c>
      <c r="G582" s="146"/>
      <c r="H582" s="139"/>
      <c r="I582" s="139"/>
      <c r="J582" s="139"/>
      <c r="K582" s="139"/>
      <c r="L582" s="143"/>
      <c r="M582" s="143"/>
      <c r="N582" s="140"/>
      <c r="O582" s="140"/>
      <c r="P582" s="140"/>
      <c r="Q582" s="140"/>
      <c r="R582" s="140"/>
      <c r="S582" s="140"/>
      <c r="T582" s="140"/>
    </row>
    <row r="583" spans="1:20" ht="15" customHeight="1" x14ac:dyDescent="0.2">
      <c r="A583" s="48" t="s">
        <v>1338</v>
      </c>
      <c r="B583" s="143" t="str">
        <f>IF(ISBLANK(A583),"",IF(AND(ISNA(VLOOKUP(A583,Interface_Platform!E:E,1,FALSE())),ISNA(VLOOKUP(A583,D:D,1,FALSE()))),"N","Y"))</f>
        <v>Y</v>
      </c>
      <c r="C583" s="48"/>
      <c r="D583" s="143" t="s">
        <v>484</v>
      </c>
      <c r="E583" s="46"/>
      <c r="F583" s="144" t="str">
        <f>IF(AND(ISNA(VLOOKUP(D583,A:A,1,FALSE())),ISNA(VLOOKUP(D583,BaseType!A:A,1,FALSE())),D583&lt;&gt;"Struct"),"N","Y")</f>
        <v>Y</v>
      </c>
      <c r="G583" s="146"/>
      <c r="H583" s="139"/>
      <c r="I583" s="139"/>
      <c r="J583" s="139"/>
      <c r="K583" s="139"/>
      <c r="L583" s="143"/>
      <c r="M583" s="143"/>
      <c r="N583" s="140"/>
      <c r="O583" s="140"/>
      <c r="P583" s="140"/>
      <c r="Q583" s="140"/>
      <c r="R583" s="140"/>
      <c r="S583" s="140"/>
      <c r="T583" s="140"/>
    </row>
    <row r="584" spans="1:20" ht="15" customHeight="1" x14ac:dyDescent="0.2">
      <c r="A584" s="48"/>
      <c r="B584" s="143"/>
      <c r="C584" s="48" t="s">
        <v>1313</v>
      </c>
      <c r="D584" s="48" t="s">
        <v>1249</v>
      </c>
      <c r="E584" s="46">
        <v>1</v>
      </c>
      <c r="F584" s="144" t="str">
        <f>IF(AND(ISNA(VLOOKUP(D584,A:A,1,FALSE())),ISNA(VLOOKUP(D584,BaseType!A:A,1,FALSE())),D584&lt;&gt;"Struct"),"N","Y")</f>
        <v>Y</v>
      </c>
      <c r="G584" s="146"/>
      <c r="H584" s="139"/>
      <c r="I584" s="139"/>
      <c r="J584" s="139"/>
      <c r="K584" s="139"/>
      <c r="L584" s="143"/>
      <c r="M584" s="143"/>
      <c r="N584" s="140"/>
      <c r="O584" s="140"/>
      <c r="P584" s="140"/>
      <c r="Q584" s="140"/>
      <c r="R584" s="140"/>
      <c r="S584" s="140"/>
      <c r="T584" s="140"/>
    </row>
    <row r="585" spans="1:20" ht="15" customHeight="1" x14ac:dyDescent="0.2">
      <c r="A585" s="48"/>
      <c r="B585" s="143"/>
      <c r="C585" s="48" t="s">
        <v>1001</v>
      </c>
      <c r="D585" s="48" t="s">
        <v>1249</v>
      </c>
      <c r="E585" s="46">
        <v>1</v>
      </c>
      <c r="F585" s="144" t="str">
        <f>IF(AND(ISNA(VLOOKUP(D585,A:A,1,FALSE())),ISNA(VLOOKUP(D585,BaseType!A:A,1,FALSE())),D585&lt;&gt;"Struct"),"N","Y")</f>
        <v>Y</v>
      </c>
      <c r="G585" s="146"/>
      <c r="H585" s="139"/>
      <c r="I585" s="139"/>
      <c r="J585" s="139"/>
      <c r="K585" s="139"/>
      <c r="L585" s="143"/>
      <c r="M585" s="143"/>
      <c r="N585" s="140"/>
      <c r="O585" s="140"/>
      <c r="P585" s="140"/>
      <c r="Q585" s="140"/>
      <c r="R585" s="140"/>
      <c r="S585" s="140"/>
      <c r="T585" s="140"/>
    </row>
    <row r="586" spans="1:20" ht="15" customHeight="1" x14ac:dyDescent="0.2">
      <c r="A586" s="48"/>
      <c r="B586" s="143"/>
      <c r="C586" s="48" t="s">
        <v>1339</v>
      </c>
      <c r="D586" s="48" t="s">
        <v>1249</v>
      </c>
      <c r="E586" s="46">
        <v>1</v>
      </c>
      <c r="F586" s="144" t="str">
        <f>IF(AND(ISNA(VLOOKUP(D586,A:A,1,FALSE())),ISNA(VLOOKUP(D586,BaseType!A:A,1,FALSE())),D586&lt;&gt;"Struct"),"N","Y")</f>
        <v>Y</v>
      </c>
      <c r="G586" s="146"/>
      <c r="H586" s="139"/>
      <c r="I586" s="139"/>
      <c r="J586" s="139"/>
      <c r="K586" s="139"/>
      <c r="L586" s="143"/>
      <c r="M586" s="143"/>
      <c r="N586" s="140"/>
      <c r="O586" s="140"/>
      <c r="P586" s="140"/>
      <c r="Q586" s="140"/>
      <c r="R586" s="140"/>
      <c r="S586" s="140"/>
      <c r="T586" s="140"/>
    </row>
    <row r="587" spans="1:20" ht="15" customHeight="1" x14ac:dyDescent="0.2">
      <c r="A587" s="48"/>
      <c r="B587" s="143"/>
      <c r="C587" s="48" t="s">
        <v>1003</v>
      </c>
      <c r="D587" s="48" t="s">
        <v>1249</v>
      </c>
      <c r="E587" s="46">
        <v>1</v>
      </c>
      <c r="F587" s="144" t="str">
        <f>IF(AND(ISNA(VLOOKUP(D587,A:A,1,FALSE())),ISNA(VLOOKUP(D587,BaseType!A:A,1,FALSE())),D587&lt;&gt;"Struct"),"N","Y")</f>
        <v>Y</v>
      </c>
      <c r="G587" s="146"/>
      <c r="H587" s="139"/>
      <c r="I587" s="139"/>
      <c r="J587" s="139"/>
      <c r="K587" s="139"/>
      <c r="L587" s="143"/>
      <c r="M587" s="143"/>
      <c r="N587" s="140"/>
      <c r="O587" s="140"/>
      <c r="P587" s="140"/>
      <c r="Q587" s="140"/>
      <c r="R587" s="140"/>
      <c r="S587" s="140"/>
      <c r="T587" s="140"/>
    </row>
    <row r="588" spans="1:20" ht="15" customHeight="1" x14ac:dyDescent="0.2">
      <c r="A588" s="48"/>
      <c r="B588" s="143"/>
      <c r="C588" s="48" t="s">
        <v>1340</v>
      </c>
      <c r="D588" s="48" t="s">
        <v>1249</v>
      </c>
      <c r="E588" s="46">
        <v>1</v>
      </c>
      <c r="F588" s="144" t="str">
        <f>IF(AND(ISNA(VLOOKUP(D588,A:A,1,FALSE())),ISNA(VLOOKUP(D588,BaseType!A:A,1,FALSE())),D588&lt;&gt;"Struct"),"N","Y")</f>
        <v>Y</v>
      </c>
      <c r="G588" s="146"/>
      <c r="H588" s="139"/>
      <c r="I588" s="139"/>
      <c r="J588" s="139"/>
      <c r="K588" s="139"/>
      <c r="L588" s="143"/>
      <c r="M588" s="143"/>
      <c r="N588" s="140"/>
      <c r="O588" s="140"/>
      <c r="P588" s="140"/>
      <c r="Q588" s="140"/>
      <c r="R588" s="140"/>
      <c r="S588" s="140"/>
      <c r="T588" s="140"/>
    </row>
    <row r="589" spans="1:20" ht="15" customHeight="1" x14ac:dyDescent="0.2">
      <c r="A589" s="48"/>
      <c r="B589" s="143"/>
      <c r="C589" s="48" t="s">
        <v>132</v>
      </c>
      <c r="D589" s="143" t="s">
        <v>225</v>
      </c>
      <c r="E589" s="46">
        <v>1</v>
      </c>
      <c r="F589" s="144" t="str">
        <f>IF(AND(ISNA(VLOOKUP(D589,A:A,1,FALSE())),ISNA(VLOOKUP(D589,BaseType!A:A,1,FALSE())),D589&lt;&gt;"Struct"),"N","Y")</f>
        <v>Y</v>
      </c>
      <c r="G589" s="146"/>
      <c r="H589" s="139"/>
      <c r="I589" s="139"/>
      <c r="J589" s="139"/>
      <c r="K589" s="139"/>
      <c r="L589" s="143"/>
      <c r="M589" s="143"/>
      <c r="N589" s="140"/>
      <c r="O589" s="140"/>
      <c r="P589" s="140"/>
      <c r="Q589" s="140"/>
      <c r="R589" s="140"/>
      <c r="S589" s="140"/>
      <c r="T589" s="140"/>
    </row>
    <row r="590" spans="1:20" ht="15" customHeight="1" x14ac:dyDescent="0.2">
      <c r="A590" s="48"/>
      <c r="B590" s="143"/>
      <c r="C590" s="48" t="s">
        <v>1315</v>
      </c>
      <c r="D590" s="143" t="s">
        <v>225</v>
      </c>
      <c r="E590" s="46">
        <v>1</v>
      </c>
      <c r="F590" s="144" t="str">
        <f>IF(AND(ISNA(VLOOKUP(D590,A:A,1,FALSE())),ISNA(VLOOKUP(D590,BaseType!A:A,1,FALSE())),D590&lt;&gt;"Struct"),"N","Y")</f>
        <v>Y</v>
      </c>
      <c r="G590" s="146"/>
      <c r="H590" s="139"/>
      <c r="I590" s="139"/>
      <c r="J590" s="139"/>
      <c r="K590" s="139"/>
      <c r="L590" s="143"/>
      <c r="M590" s="143"/>
      <c r="N590" s="140"/>
      <c r="O590" s="140"/>
      <c r="P590" s="140"/>
      <c r="Q590" s="140"/>
      <c r="R590" s="140"/>
      <c r="S590" s="140"/>
      <c r="T590" s="140"/>
    </row>
    <row r="591" spans="1:20" ht="15" customHeight="1" x14ac:dyDescent="0.2">
      <c r="A591" s="48"/>
      <c r="B591" s="143"/>
      <c r="C591" s="48" t="s">
        <v>1341</v>
      </c>
      <c r="D591" s="143" t="s">
        <v>193</v>
      </c>
      <c r="E591" s="46">
        <v>1</v>
      </c>
      <c r="F591" s="144" t="str">
        <f>IF(AND(ISNA(VLOOKUP(D591,A:A,1,FALSE())),ISNA(VLOOKUP(D591,BaseType!A:A,1,FALSE())),D591&lt;&gt;"Struct"),"N","Y")</f>
        <v>Y</v>
      </c>
      <c r="G591" s="146"/>
      <c r="H591" s="139"/>
      <c r="I591" s="139"/>
      <c r="J591" s="139"/>
      <c r="K591" s="139"/>
      <c r="L591" s="143"/>
      <c r="M591" s="143"/>
      <c r="N591" s="140"/>
      <c r="O591" s="140"/>
      <c r="P591" s="140"/>
      <c r="Q591" s="140"/>
      <c r="R591" s="140"/>
      <c r="S591" s="140"/>
      <c r="T591" s="140"/>
    </row>
    <row r="592" spans="1:20" ht="15" customHeight="1" x14ac:dyDescent="0.2">
      <c r="A592" s="141" t="s">
        <v>380</v>
      </c>
      <c r="B592" s="143" t="str">
        <f>IF(ISBLANK(A592),"",IF(AND(ISNA(VLOOKUP(A592,Interface_Platform!E:E,1,FALSE())),ISNA(VLOOKUP(A592,D:D,1,FALSE()))),"N","Y"))</f>
        <v>Y</v>
      </c>
      <c r="C592" s="48"/>
      <c r="D592" s="143" t="s">
        <v>484</v>
      </c>
      <c r="E592" s="46"/>
      <c r="F592" s="144" t="str">
        <f>IF(AND(ISNA(VLOOKUP(D592,A:A,1,FALSE())),ISNA(VLOOKUP(D592,BaseType!A:A,1,FALSE())),D592&lt;&gt;"Struct"),"N","Y")</f>
        <v>Y</v>
      </c>
      <c r="G592" s="146"/>
      <c r="H592" s="139"/>
      <c r="I592" s="139"/>
      <c r="J592" s="139"/>
      <c r="K592" s="139"/>
      <c r="L592" s="143"/>
      <c r="M592" s="143"/>
      <c r="N592" s="140"/>
      <c r="O592" s="140"/>
      <c r="P592" s="140"/>
      <c r="Q592" s="140"/>
      <c r="R592" s="140"/>
      <c r="S592" s="140"/>
      <c r="T592" s="140"/>
    </row>
    <row r="593" spans="1:20" ht="15" customHeight="1" x14ac:dyDescent="0.2">
      <c r="A593" s="141"/>
      <c r="B593" s="143"/>
      <c r="C593" s="48" t="s">
        <v>1342</v>
      </c>
      <c r="D593" s="143" t="s">
        <v>631</v>
      </c>
      <c r="E593" s="46">
        <v>1</v>
      </c>
      <c r="F593" s="144" t="str">
        <f>IF(AND(ISNA(VLOOKUP(D593,A:A,1,FALSE())),ISNA(VLOOKUP(D593,BaseType!A:A,1,FALSE())),D593&lt;&gt;"Struct"),"N","Y")</f>
        <v>Y</v>
      </c>
      <c r="G593" s="146"/>
      <c r="H593" s="139"/>
      <c r="I593" s="139"/>
      <c r="J593" s="139"/>
      <c r="K593" s="139"/>
      <c r="L593" s="143"/>
      <c r="M593" s="143"/>
      <c r="N593" s="140"/>
      <c r="O593" s="140"/>
      <c r="P593" s="140"/>
      <c r="Q593" s="140"/>
      <c r="R593" s="140"/>
      <c r="S593" s="140"/>
      <c r="T593" s="140"/>
    </row>
    <row r="594" spans="1:20" ht="15" customHeight="1" x14ac:dyDescent="0.2">
      <c r="A594" s="141"/>
      <c r="B594" s="143"/>
      <c r="C594" s="48" t="s">
        <v>1343</v>
      </c>
      <c r="D594" s="48" t="s">
        <v>1249</v>
      </c>
      <c r="E594" s="46">
        <v>1</v>
      </c>
      <c r="F594" s="144" t="str">
        <f>IF(AND(ISNA(VLOOKUP(D594,A:A,1,FALSE())),ISNA(VLOOKUP(D594,BaseType!A:A,1,FALSE())),D594&lt;&gt;"Struct"),"N","Y")</f>
        <v>Y</v>
      </c>
      <c r="G594" s="146"/>
      <c r="H594" s="139"/>
      <c r="I594" s="139"/>
      <c r="J594" s="139"/>
      <c r="K594" s="139"/>
      <c r="L594" s="143"/>
      <c r="M594" s="143"/>
      <c r="N594" s="140"/>
      <c r="O594" s="140"/>
      <c r="P594" s="140"/>
      <c r="Q594" s="140"/>
      <c r="R594" s="140"/>
      <c r="S594" s="140"/>
      <c r="T594" s="140"/>
    </row>
    <row r="595" spans="1:20" ht="15" customHeight="1" x14ac:dyDescent="0.2">
      <c r="A595" s="141"/>
      <c r="B595" s="143"/>
      <c r="C595" s="48" t="s">
        <v>1344</v>
      </c>
      <c r="D595" s="141" t="s">
        <v>1312</v>
      </c>
      <c r="E595" s="46">
        <v>10</v>
      </c>
      <c r="F595" s="144" t="str">
        <f>IF(AND(ISNA(VLOOKUP(D595,A:A,1,FALSE())),ISNA(VLOOKUP(D595,BaseType!A:A,1,FALSE())),D595&lt;&gt;"Struct"),"N","Y")</f>
        <v>Y</v>
      </c>
      <c r="G595" s="146"/>
      <c r="H595" s="139"/>
      <c r="I595" s="139"/>
      <c r="J595" s="139"/>
      <c r="K595" s="139"/>
      <c r="L595" s="143"/>
      <c r="M595" s="143"/>
      <c r="N595" s="140"/>
      <c r="O595" s="140"/>
      <c r="P595" s="140"/>
      <c r="Q595" s="140"/>
      <c r="R595" s="140"/>
      <c r="S595" s="140"/>
      <c r="T595" s="140"/>
    </row>
    <row r="596" spans="1:20" ht="15" customHeight="1" x14ac:dyDescent="0.2">
      <c r="A596" s="141"/>
      <c r="B596" s="143"/>
      <c r="C596" s="48" t="s">
        <v>1345</v>
      </c>
      <c r="D596" s="48" t="s">
        <v>1249</v>
      </c>
      <c r="E596" s="46">
        <v>1</v>
      </c>
      <c r="F596" s="144" t="str">
        <f>IF(AND(ISNA(VLOOKUP(D596,A:A,1,FALSE())),ISNA(VLOOKUP(D596,BaseType!A:A,1,FALSE())),D596&lt;&gt;"Struct"),"N","Y")</f>
        <v>Y</v>
      </c>
      <c r="G596" s="146"/>
      <c r="H596" s="139"/>
      <c r="I596" s="139"/>
      <c r="J596" s="139"/>
      <c r="K596" s="139"/>
      <c r="L596" s="143"/>
      <c r="M596" s="143"/>
      <c r="N596" s="140"/>
      <c r="O596" s="140"/>
      <c r="P596" s="140"/>
      <c r="Q596" s="140"/>
      <c r="R596" s="140"/>
      <c r="S596" s="140"/>
      <c r="T596" s="140"/>
    </row>
    <row r="597" spans="1:20" ht="15" customHeight="1" x14ac:dyDescent="0.2">
      <c r="A597" s="141"/>
      <c r="B597" s="143"/>
      <c r="C597" s="48" t="s">
        <v>1346</v>
      </c>
      <c r="D597" s="141" t="s">
        <v>1312</v>
      </c>
      <c r="E597" s="46">
        <v>10</v>
      </c>
      <c r="F597" s="144" t="str">
        <f>IF(AND(ISNA(VLOOKUP(D597,A:A,1,FALSE())),ISNA(VLOOKUP(D597,BaseType!A:A,1,FALSE())),D597&lt;&gt;"Struct"),"N","Y")</f>
        <v>Y</v>
      </c>
      <c r="G597" s="146"/>
      <c r="H597" s="139"/>
      <c r="I597" s="139"/>
      <c r="J597" s="139"/>
      <c r="K597" s="139"/>
      <c r="L597" s="143"/>
      <c r="M597" s="143"/>
      <c r="N597" s="140"/>
      <c r="O597" s="140"/>
      <c r="P597" s="140"/>
      <c r="Q597" s="140"/>
      <c r="R597" s="140"/>
      <c r="S597" s="140"/>
      <c r="T597" s="140"/>
    </row>
    <row r="598" spans="1:20" ht="15" customHeight="1" x14ac:dyDescent="0.2">
      <c r="A598" s="141"/>
      <c r="B598" s="143"/>
      <c r="C598" s="48" t="s">
        <v>1347</v>
      </c>
      <c r="D598" s="48" t="s">
        <v>1249</v>
      </c>
      <c r="E598" s="46">
        <v>1</v>
      </c>
      <c r="F598" s="144" t="str">
        <f>IF(AND(ISNA(VLOOKUP(D598,A:A,1,FALSE())),ISNA(VLOOKUP(D598,BaseType!A:A,1,FALSE())),D598&lt;&gt;"Struct"),"N","Y")</f>
        <v>Y</v>
      </c>
      <c r="G598" s="146"/>
      <c r="H598" s="139"/>
      <c r="I598" s="139"/>
      <c r="J598" s="139"/>
      <c r="K598" s="139"/>
      <c r="L598" s="143"/>
      <c r="M598" s="143"/>
      <c r="N598" s="140"/>
      <c r="O598" s="140"/>
      <c r="P598" s="140"/>
      <c r="Q598" s="140"/>
      <c r="R598" s="140"/>
      <c r="S598" s="140"/>
      <c r="T598" s="140"/>
    </row>
    <row r="599" spans="1:20" ht="15" customHeight="1" x14ac:dyDescent="0.2">
      <c r="A599" s="141"/>
      <c r="B599" s="143"/>
      <c r="C599" s="48" t="s">
        <v>1348</v>
      </c>
      <c r="D599" s="141" t="s">
        <v>1312</v>
      </c>
      <c r="E599" s="46">
        <v>10</v>
      </c>
      <c r="F599" s="144" t="str">
        <f>IF(AND(ISNA(VLOOKUP(D599,A:A,1,FALSE())),ISNA(VLOOKUP(D599,BaseType!A:A,1,FALSE())),D599&lt;&gt;"Struct"),"N","Y")</f>
        <v>Y</v>
      </c>
      <c r="G599" s="146"/>
      <c r="H599" s="139"/>
      <c r="I599" s="139"/>
      <c r="J599" s="139"/>
      <c r="K599" s="139"/>
      <c r="L599" s="143"/>
      <c r="M599" s="143"/>
      <c r="N599" s="140"/>
      <c r="O599" s="140"/>
      <c r="P599" s="140"/>
      <c r="Q599" s="140"/>
      <c r="R599" s="140"/>
      <c r="S599" s="140"/>
      <c r="T599" s="140"/>
    </row>
    <row r="600" spans="1:20" ht="15" customHeight="1" x14ac:dyDescent="0.2">
      <c r="A600" s="141"/>
      <c r="B600" s="143"/>
      <c r="C600" s="48" t="s">
        <v>1349</v>
      </c>
      <c r="D600" s="48" t="s">
        <v>1249</v>
      </c>
      <c r="E600" s="46">
        <v>1</v>
      </c>
      <c r="F600" s="144" t="str">
        <f>IF(AND(ISNA(VLOOKUP(D600,A:A,1,FALSE())),ISNA(VLOOKUP(D600,BaseType!A:A,1,FALSE())),D600&lt;&gt;"Struct"),"N","Y")</f>
        <v>Y</v>
      </c>
      <c r="G600" s="146"/>
      <c r="H600" s="139"/>
      <c r="I600" s="139"/>
      <c r="J600" s="139"/>
      <c r="K600" s="139"/>
      <c r="L600" s="143"/>
      <c r="M600" s="143"/>
      <c r="N600" s="140"/>
      <c r="O600" s="140"/>
      <c r="P600" s="140"/>
      <c r="Q600" s="140"/>
      <c r="R600" s="140"/>
      <c r="S600" s="140"/>
      <c r="T600" s="140"/>
    </row>
    <row r="601" spans="1:20" ht="15" customHeight="1" x14ac:dyDescent="0.2">
      <c r="A601" s="141"/>
      <c r="B601" s="143"/>
      <c r="C601" s="48" t="s">
        <v>1350</v>
      </c>
      <c r="D601" s="141" t="s">
        <v>1318</v>
      </c>
      <c r="E601" s="46">
        <v>10</v>
      </c>
      <c r="F601" s="144" t="str">
        <f>IF(AND(ISNA(VLOOKUP(D601,A:A,1,FALSE())),ISNA(VLOOKUP(D601,BaseType!A:A,1,FALSE())),D601&lt;&gt;"Struct"),"N","Y")</f>
        <v>Y</v>
      </c>
      <c r="G601" s="146"/>
      <c r="H601" s="139"/>
      <c r="I601" s="139"/>
      <c r="J601" s="139"/>
      <c r="K601" s="139"/>
      <c r="L601" s="143"/>
      <c r="M601" s="143"/>
      <c r="N601" s="140"/>
      <c r="O601" s="140"/>
      <c r="P601" s="140"/>
      <c r="Q601" s="140"/>
      <c r="R601" s="140"/>
      <c r="S601" s="140"/>
      <c r="T601" s="140"/>
    </row>
    <row r="602" spans="1:20" ht="15" customHeight="1" x14ac:dyDescent="0.2">
      <c r="A602" s="141"/>
      <c r="B602" s="143"/>
      <c r="C602" s="48" t="s">
        <v>1351</v>
      </c>
      <c r="D602" s="48" t="s">
        <v>1249</v>
      </c>
      <c r="E602" s="46">
        <v>1</v>
      </c>
      <c r="F602" s="144" t="str">
        <f>IF(AND(ISNA(VLOOKUP(D602,A:A,1,FALSE())),ISNA(VLOOKUP(D602,BaseType!A:A,1,FALSE())),D602&lt;&gt;"Struct"),"N","Y")</f>
        <v>Y</v>
      </c>
      <c r="G602" s="146"/>
      <c r="H602" s="139"/>
      <c r="I602" s="139"/>
      <c r="J602" s="139"/>
      <c r="K602" s="139"/>
      <c r="L602" s="143"/>
      <c r="M602" s="143"/>
      <c r="N602" s="140"/>
      <c r="O602" s="140"/>
      <c r="P602" s="140"/>
      <c r="Q602" s="140"/>
      <c r="R602" s="140"/>
      <c r="S602" s="140"/>
      <c r="T602" s="140"/>
    </row>
    <row r="603" spans="1:20" ht="15" customHeight="1" x14ac:dyDescent="0.2">
      <c r="A603" s="141"/>
      <c r="B603" s="143"/>
      <c r="C603" s="48" t="s">
        <v>1352</v>
      </c>
      <c r="D603" s="91" t="s">
        <v>1337</v>
      </c>
      <c r="E603" s="46">
        <v>2</v>
      </c>
      <c r="F603" s="144" t="str">
        <f>IF(AND(ISNA(VLOOKUP(D603,A:A,1,FALSE())),ISNA(VLOOKUP(D603,BaseType!A:A,1,FALSE())),D603&lt;&gt;"Struct"),"N","Y")</f>
        <v>Y</v>
      </c>
      <c r="G603" s="146"/>
      <c r="H603" s="139"/>
      <c r="I603" s="139"/>
      <c r="J603" s="139"/>
      <c r="K603" s="139"/>
      <c r="L603" s="143"/>
      <c r="M603" s="143"/>
      <c r="N603" s="140"/>
      <c r="O603" s="140"/>
      <c r="P603" s="140"/>
      <c r="Q603" s="140"/>
      <c r="R603" s="140"/>
      <c r="S603" s="140"/>
      <c r="T603" s="140"/>
    </row>
    <row r="604" spans="1:20" ht="15" customHeight="1" x14ac:dyDescent="0.2">
      <c r="A604" s="141"/>
      <c r="B604" s="143"/>
      <c r="C604" s="48" t="s">
        <v>1353</v>
      </c>
      <c r="D604" s="48" t="s">
        <v>1249</v>
      </c>
      <c r="E604" s="46">
        <v>1</v>
      </c>
      <c r="F604" s="144" t="str">
        <f>IF(AND(ISNA(VLOOKUP(D604,A:A,1,FALSE())),ISNA(VLOOKUP(D604,BaseType!A:A,1,FALSE())),D604&lt;&gt;"Struct"),"N","Y")</f>
        <v>Y</v>
      </c>
      <c r="G604" s="146"/>
      <c r="H604" s="139"/>
      <c r="I604" s="139"/>
      <c r="J604" s="139"/>
      <c r="K604" s="139"/>
      <c r="L604" s="143"/>
      <c r="M604" s="143"/>
      <c r="N604" s="140"/>
      <c r="O604" s="140"/>
      <c r="P604" s="140"/>
      <c r="Q604" s="140"/>
      <c r="R604" s="140"/>
      <c r="S604" s="140"/>
      <c r="T604" s="140"/>
    </row>
    <row r="605" spans="1:20" ht="15" customHeight="1" x14ac:dyDescent="0.2">
      <c r="A605" s="141"/>
      <c r="B605" s="143"/>
      <c r="C605" s="48" t="s">
        <v>1354</v>
      </c>
      <c r="D605" s="48" t="s">
        <v>1338</v>
      </c>
      <c r="E605" s="46">
        <v>2</v>
      </c>
      <c r="F605" s="144" t="str">
        <f>IF(AND(ISNA(VLOOKUP(D605,A:A,1,FALSE())),ISNA(VLOOKUP(D605,BaseType!A:A,1,FALSE())),D605&lt;&gt;"Struct"),"N","Y")</f>
        <v>Y</v>
      </c>
      <c r="G605" s="146"/>
      <c r="H605" s="139"/>
      <c r="I605" s="139"/>
      <c r="J605" s="139"/>
      <c r="K605" s="139"/>
      <c r="L605" s="143"/>
      <c r="M605" s="143"/>
      <c r="N605" s="140"/>
      <c r="O605" s="140"/>
      <c r="P605" s="140"/>
      <c r="Q605" s="140"/>
      <c r="R605" s="140"/>
      <c r="S605" s="140"/>
      <c r="T605" s="140"/>
    </row>
    <row r="606" spans="1:20" ht="15" customHeight="1" x14ac:dyDescent="0.2">
      <c r="A606" s="141" t="s">
        <v>378</v>
      </c>
      <c r="B606" s="143" t="str">
        <f>IF(ISBLANK(A606),"",IF(AND(ISNA(VLOOKUP(A606,Interface_Platform!E:E,1,FALSE())),ISNA(VLOOKUP(A606,D:D,1,FALSE()))),"N","Y"))</f>
        <v>Y</v>
      </c>
      <c r="C606" s="48"/>
      <c r="D606" s="143" t="s">
        <v>484</v>
      </c>
      <c r="E606" s="46"/>
      <c r="F606" s="144" t="str">
        <f>IF(AND(ISNA(VLOOKUP(D606,A:A,1,FALSE())),ISNA(VLOOKUP(D606,BaseType!A:A,1,FALSE())),D606&lt;&gt;"Struct"),"N","Y")</f>
        <v>Y</v>
      </c>
      <c r="G606" s="146"/>
      <c r="H606" s="139"/>
      <c r="I606" s="139"/>
      <c r="J606" s="139"/>
      <c r="K606" s="139"/>
      <c r="L606" s="143"/>
      <c r="M606" s="143"/>
      <c r="N606" s="140"/>
      <c r="O606" s="140"/>
      <c r="P606" s="140"/>
      <c r="Q606" s="140"/>
      <c r="R606" s="140"/>
      <c r="S606" s="140"/>
      <c r="T606" s="140"/>
    </row>
    <row r="607" spans="1:20" ht="15" customHeight="1" x14ac:dyDescent="0.2">
      <c r="A607" s="141"/>
      <c r="B607" s="143"/>
      <c r="C607" s="48" t="s">
        <v>1355</v>
      </c>
      <c r="D607" s="143" t="s">
        <v>631</v>
      </c>
      <c r="E607" s="46">
        <v>1</v>
      </c>
      <c r="F607" s="144" t="str">
        <f>IF(AND(ISNA(VLOOKUP(D607,A:A,1,FALSE())),ISNA(VLOOKUP(D607,BaseType!A:A,1,FALSE())),D607&lt;&gt;"Struct"),"N","Y")</f>
        <v>Y</v>
      </c>
      <c r="G607" s="146"/>
      <c r="H607" s="139"/>
      <c r="I607" s="139"/>
      <c r="J607" s="139"/>
      <c r="K607" s="139"/>
      <c r="L607" s="143"/>
      <c r="M607" s="143"/>
      <c r="N607" s="140"/>
      <c r="O607" s="140"/>
      <c r="P607" s="140"/>
      <c r="Q607" s="140"/>
      <c r="R607" s="140"/>
      <c r="S607" s="140"/>
      <c r="T607" s="140"/>
    </row>
    <row r="608" spans="1:20" ht="15" customHeight="1" x14ac:dyDescent="0.2">
      <c r="A608" s="141"/>
      <c r="B608" s="143"/>
      <c r="C608" s="48" t="s">
        <v>1356</v>
      </c>
      <c r="D608" s="48" t="s">
        <v>1314</v>
      </c>
      <c r="E608" s="46">
        <v>1</v>
      </c>
      <c r="F608" s="144" t="str">
        <f>IF(AND(ISNA(VLOOKUP(D608,A:A,1,FALSE())),ISNA(VLOOKUP(D608,BaseType!A:A,1,FALSE())),D608&lt;&gt;"Struct"),"N","Y")</f>
        <v>Y</v>
      </c>
      <c r="G608" s="146"/>
      <c r="H608" s="139"/>
      <c r="I608" s="139"/>
      <c r="J608" s="139"/>
      <c r="K608" s="139"/>
      <c r="L608" s="143"/>
      <c r="M608" s="143"/>
      <c r="N608" s="140"/>
      <c r="O608" s="140"/>
      <c r="P608" s="140"/>
      <c r="Q608" s="140"/>
      <c r="R608" s="140"/>
      <c r="S608" s="140"/>
      <c r="T608" s="140"/>
    </row>
    <row r="609" spans="1:20" ht="15" customHeight="1" x14ac:dyDescent="0.2">
      <c r="A609" s="141"/>
      <c r="B609" s="143"/>
      <c r="C609" s="48" t="s">
        <v>1357</v>
      </c>
      <c r="D609" s="48" t="s">
        <v>1314</v>
      </c>
      <c r="E609" s="46">
        <v>1</v>
      </c>
      <c r="F609" s="144" t="str">
        <f>IF(AND(ISNA(VLOOKUP(D609,A:A,1,FALSE())),ISNA(VLOOKUP(D609,BaseType!A:A,1,FALSE())),D609&lt;&gt;"Struct"),"N","Y")</f>
        <v>Y</v>
      </c>
      <c r="G609" s="146"/>
      <c r="H609" s="139"/>
      <c r="I609" s="139"/>
      <c r="J609" s="139"/>
      <c r="K609" s="139"/>
      <c r="L609" s="143"/>
      <c r="M609" s="143"/>
      <c r="N609" s="140"/>
      <c r="O609" s="140"/>
      <c r="P609" s="140"/>
      <c r="Q609" s="140"/>
      <c r="R609" s="140"/>
      <c r="S609" s="140"/>
      <c r="T609" s="140"/>
    </row>
    <row r="610" spans="1:20" ht="15" customHeight="1" x14ac:dyDescent="0.2">
      <c r="A610" s="141"/>
      <c r="B610" s="143"/>
      <c r="C610" s="48" t="s">
        <v>1358</v>
      </c>
      <c r="D610" s="48" t="s">
        <v>1314</v>
      </c>
      <c r="E610" s="46">
        <v>1</v>
      </c>
      <c r="F610" s="144" t="str">
        <f>IF(AND(ISNA(VLOOKUP(D610,A:A,1,FALSE())),ISNA(VLOOKUP(D610,BaseType!A:A,1,FALSE())),D610&lt;&gt;"Struct"),"N","Y")</f>
        <v>Y</v>
      </c>
      <c r="G610" s="146"/>
      <c r="H610" s="139"/>
      <c r="I610" s="139"/>
      <c r="J610" s="139"/>
      <c r="K610" s="139"/>
      <c r="L610" s="143"/>
      <c r="M610" s="143"/>
      <c r="N610" s="140"/>
      <c r="O610" s="140"/>
      <c r="P610" s="140"/>
      <c r="Q610" s="140"/>
      <c r="R610" s="140"/>
      <c r="S610" s="140"/>
      <c r="T610" s="140"/>
    </row>
    <row r="611" spans="1:20" ht="15" customHeight="1" x14ac:dyDescent="0.2">
      <c r="A611" s="141"/>
      <c r="B611" s="143"/>
      <c r="C611" s="48" t="s">
        <v>1359</v>
      </c>
      <c r="D611" s="48" t="s">
        <v>1249</v>
      </c>
      <c r="E611" s="46">
        <v>1</v>
      </c>
      <c r="F611" s="144" t="str">
        <f>IF(AND(ISNA(VLOOKUP(D611,A:A,1,FALSE())),ISNA(VLOOKUP(D611,BaseType!A:A,1,FALSE())),D611&lt;&gt;"Struct"),"N","Y")</f>
        <v>Y</v>
      </c>
      <c r="G611" s="146"/>
      <c r="H611" s="139"/>
      <c r="I611" s="139"/>
      <c r="J611" s="139"/>
      <c r="K611" s="139"/>
      <c r="L611" s="143"/>
      <c r="M611" s="143"/>
      <c r="N611" s="140"/>
      <c r="O611" s="140"/>
      <c r="P611" s="140"/>
      <c r="Q611" s="140"/>
      <c r="R611" s="140"/>
      <c r="S611" s="140"/>
      <c r="T611" s="140"/>
    </row>
    <row r="612" spans="1:20" ht="15" customHeight="1" x14ac:dyDescent="0.2">
      <c r="A612" s="141"/>
      <c r="B612" s="143"/>
      <c r="C612" s="48" t="s">
        <v>1360</v>
      </c>
      <c r="D612" s="48" t="s">
        <v>225</v>
      </c>
      <c r="E612" s="46">
        <v>1</v>
      </c>
      <c r="F612" s="144" t="str">
        <f>IF(AND(ISNA(VLOOKUP(D612,A:A,1,FALSE())),ISNA(VLOOKUP(D612,BaseType!A:A,1,FALSE())),D612&lt;&gt;"Struct"),"N","Y")</f>
        <v>Y</v>
      </c>
      <c r="G612" s="146"/>
      <c r="H612" s="139"/>
      <c r="I612" s="139"/>
      <c r="J612" s="139"/>
      <c r="K612" s="139"/>
      <c r="L612" s="143"/>
      <c r="M612" s="143"/>
      <c r="N612" s="140"/>
      <c r="O612" s="140"/>
      <c r="P612" s="140"/>
      <c r="Q612" s="140"/>
      <c r="R612" s="140"/>
      <c r="S612" s="140"/>
      <c r="T612" s="140"/>
    </row>
    <row r="613" spans="1:20" ht="15" customHeight="1" x14ac:dyDescent="0.2">
      <c r="A613" s="141"/>
      <c r="B613" s="143"/>
      <c r="C613" s="48" t="s">
        <v>1361</v>
      </c>
      <c r="D613" s="48" t="s">
        <v>225</v>
      </c>
      <c r="E613" s="46">
        <v>1</v>
      </c>
      <c r="F613" s="144" t="str">
        <f>IF(AND(ISNA(VLOOKUP(D613,A:A,1,FALSE())),ISNA(VLOOKUP(D613,BaseType!A:A,1,FALSE())),D613&lt;&gt;"Struct"),"N","Y")</f>
        <v>Y</v>
      </c>
      <c r="G613" s="146"/>
      <c r="H613" s="139"/>
      <c r="I613" s="139"/>
      <c r="J613" s="139"/>
      <c r="K613" s="139"/>
      <c r="L613" s="143"/>
      <c r="M613" s="143"/>
      <c r="N613" s="140"/>
      <c r="O613" s="140"/>
      <c r="P613" s="140"/>
      <c r="Q613" s="140"/>
      <c r="R613" s="140"/>
      <c r="S613" s="140"/>
      <c r="T613" s="140"/>
    </row>
    <row r="614" spans="1:20" ht="15" customHeight="1" x14ac:dyDescent="0.2">
      <c r="A614" s="141"/>
      <c r="B614" s="143"/>
      <c r="C614" s="48" t="s">
        <v>1362</v>
      </c>
      <c r="D614" s="48" t="s">
        <v>225</v>
      </c>
      <c r="E614" s="46">
        <v>1</v>
      </c>
      <c r="F614" s="144" t="str">
        <f>IF(AND(ISNA(VLOOKUP(D614,A:A,1,FALSE())),ISNA(VLOOKUP(D614,BaseType!A:A,1,FALSE())),D614&lt;&gt;"Struct"),"N","Y")</f>
        <v>Y</v>
      </c>
      <c r="G614" s="146"/>
      <c r="H614" s="139"/>
      <c r="I614" s="139"/>
      <c r="J614" s="139"/>
      <c r="K614" s="139"/>
      <c r="L614" s="143"/>
      <c r="M614" s="143"/>
      <c r="N614" s="140"/>
      <c r="O614" s="140"/>
      <c r="P614" s="140"/>
      <c r="Q614" s="140"/>
      <c r="R614" s="140"/>
      <c r="S614" s="140"/>
      <c r="T614" s="140"/>
    </row>
    <row r="615" spans="1:20" ht="15" customHeight="1" x14ac:dyDescent="0.2">
      <c r="A615" s="141"/>
      <c r="B615" s="143"/>
      <c r="C615" s="48" t="s">
        <v>1363</v>
      </c>
      <c r="D615" s="48" t="s">
        <v>225</v>
      </c>
      <c r="E615" s="46">
        <v>1</v>
      </c>
      <c r="F615" s="144" t="str">
        <f>IF(AND(ISNA(VLOOKUP(D615,A:A,1,FALSE())),ISNA(VLOOKUP(D615,BaseType!A:A,1,FALSE())),D615&lt;&gt;"Struct"),"N","Y")</f>
        <v>Y</v>
      </c>
      <c r="G615" s="146"/>
      <c r="H615" s="139"/>
      <c r="I615" s="139"/>
      <c r="J615" s="139"/>
      <c r="K615" s="139"/>
      <c r="L615" s="143"/>
      <c r="M615" s="143"/>
      <c r="N615" s="140"/>
      <c r="O615" s="140"/>
      <c r="P615" s="140"/>
      <c r="Q615" s="140"/>
      <c r="R615" s="140"/>
      <c r="S615" s="140"/>
      <c r="T615" s="140"/>
    </row>
    <row r="616" spans="1:20" ht="15" customHeight="1" x14ac:dyDescent="0.2">
      <c r="A616" s="141"/>
      <c r="B616" s="143"/>
      <c r="C616" s="48" t="s">
        <v>1364</v>
      </c>
      <c r="D616" s="48" t="s">
        <v>225</v>
      </c>
      <c r="E616" s="46">
        <v>1</v>
      </c>
      <c r="F616" s="144" t="str">
        <f>IF(AND(ISNA(VLOOKUP(D616,A:A,1,FALSE())),ISNA(VLOOKUP(D616,BaseType!A:A,1,FALSE())),D616&lt;&gt;"Struct"),"N","Y")</f>
        <v>Y</v>
      </c>
      <c r="G616" s="146"/>
      <c r="H616" s="139"/>
      <c r="I616" s="139"/>
      <c r="J616" s="139"/>
      <c r="K616" s="139"/>
      <c r="L616" s="143"/>
      <c r="M616" s="143"/>
      <c r="N616" s="140"/>
      <c r="O616" s="140"/>
      <c r="P616" s="140"/>
      <c r="Q616" s="140"/>
      <c r="R616" s="140"/>
      <c r="S616" s="140"/>
      <c r="T616" s="140"/>
    </row>
    <row r="617" spans="1:20" ht="15" customHeight="1" x14ac:dyDescent="0.2">
      <c r="A617" s="141"/>
      <c r="B617" s="143"/>
      <c r="C617" s="48" t="s">
        <v>1365</v>
      </c>
      <c r="D617" s="48" t="s">
        <v>193</v>
      </c>
      <c r="E617" s="46">
        <v>1</v>
      </c>
      <c r="F617" s="144" t="str">
        <f>IF(AND(ISNA(VLOOKUP(D617,A:A,1,FALSE())),ISNA(VLOOKUP(D617,BaseType!A:A,1,FALSE())),D617&lt;&gt;"Struct"),"N","Y")</f>
        <v>Y</v>
      </c>
      <c r="G617" s="146"/>
      <c r="H617" s="139"/>
      <c r="I617" s="139"/>
      <c r="J617" s="139"/>
      <c r="K617" s="139"/>
      <c r="L617" s="143"/>
      <c r="M617" s="143"/>
      <c r="N617" s="140"/>
      <c r="O617" s="140"/>
      <c r="P617" s="140"/>
      <c r="Q617" s="140"/>
      <c r="R617" s="140"/>
      <c r="S617" s="140"/>
      <c r="T617" s="140"/>
    </row>
    <row r="618" spans="1:20" ht="15" customHeight="1" x14ac:dyDescent="0.2">
      <c r="A618" s="141"/>
      <c r="B618" s="143"/>
      <c r="C618" s="48" t="s">
        <v>1366</v>
      </c>
      <c r="D618" s="48" t="s">
        <v>193</v>
      </c>
      <c r="E618" s="46">
        <v>1</v>
      </c>
      <c r="F618" s="144" t="str">
        <f>IF(AND(ISNA(VLOOKUP(D618,A:A,1,FALSE())),ISNA(VLOOKUP(D618,BaseType!A:A,1,FALSE())),D618&lt;&gt;"Struct"),"N","Y")</f>
        <v>Y</v>
      </c>
      <c r="G618" s="146"/>
      <c r="H618" s="139"/>
      <c r="I618" s="139"/>
      <c r="J618" s="139"/>
      <c r="K618" s="139"/>
      <c r="L618" s="143"/>
      <c r="M618" s="143"/>
      <c r="N618" s="140"/>
      <c r="O618" s="140"/>
      <c r="P618" s="140"/>
      <c r="Q618" s="140"/>
      <c r="R618" s="140"/>
      <c r="S618" s="140"/>
      <c r="T618" s="140"/>
    </row>
    <row r="619" spans="1:20" ht="15" customHeight="1" x14ac:dyDescent="0.2">
      <c r="A619" s="143" t="s">
        <v>383</v>
      </c>
      <c r="B619" s="143" t="str">
        <f>IF(ISBLANK(A619),"",IF(AND(ISNA(VLOOKUP(A619,Interface_Platform!E:E,1,FALSE())),ISNA(VLOOKUP(A619,D:D,1,FALSE()))),"N","Y"))</f>
        <v>Y</v>
      </c>
      <c r="C619" s="75"/>
      <c r="D619" s="169" t="s">
        <v>484</v>
      </c>
      <c r="E619" s="40"/>
      <c r="F619" s="144" t="str">
        <f>IF(AND(ISNA(VLOOKUP(D619,A:A,1,FALSE())),ISNA(VLOOKUP(D619,BaseType!A:A,1,FALSE())),D619&lt;&gt;"Struct"),"N","Y")</f>
        <v>Y</v>
      </c>
      <c r="G619" s="146"/>
      <c r="H619" s="139"/>
      <c r="I619" s="139"/>
      <c r="J619" s="139"/>
      <c r="K619" s="139"/>
      <c r="L619" s="143"/>
      <c r="M619" s="143"/>
      <c r="N619" s="140"/>
      <c r="O619" s="140"/>
      <c r="P619" s="140"/>
      <c r="Q619" s="140"/>
      <c r="R619" s="140"/>
      <c r="S619" s="140"/>
      <c r="T619" s="140"/>
    </row>
    <row r="620" spans="1:20" ht="15" customHeight="1" x14ac:dyDescent="0.2">
      <c r="A620" s="143"/>
      <c r="B620" s="143"/>
      <c r="C620" s="75" t="s">
        <v>1367</v>
      </c>
      <c r="D620" s="143" t="s">
        <v>1314</v>
      </c>
      <c r="E620" s="46">
        <v>1</v>
      </c>
      <c r="F620" s="144" t="str">
        <f>IF(AND(ISNA(VLOOKUP(D620,A:A,1,FALSE())),ISNA(VLOOKUP(D620,BaseType!A:A,1,FALSE())),D620&lt;&gt;"Struct"),"N","Y")</f>
        <v>Y</v>
      </c>
      <c r="G620" s="146"/>
      <c r="H620" s="139"/>
      <c r="I620" s="139"/>
      <c r="J620" s="139"/>
      <c r="K620" s="139"/>
      <c r="L620" s="143"/>
      <c r="M620" s="143"/>
      <c r="N620" s="140"/>
      <c r="O620" s="140"/>
      <c r="P620" s="140"/>
      <c r="Q620" s="140"/>
      <c r="R620" s="140"/>
      <c r="S620" s="140"/>
      <c r="T620" s="140"/>
    </row>
    <row r="621" spans="1:20" ht="15" customHeight="1" x14ac:dyDescent="0.2">
      <c r="A621" s="143"/>
      <c r="B621" s="143"/>
      <c r="C621" s="75" t="s">
        <v>1368</v>
      </c>
      <c r="D621" s="143" t="s">
        <v>1314</v>
      </c>
      <c r="E621" s="46">
        <v>1</v>
      </c>
      <c r="F621" s="144" t="str">
        <f>IF(AND(ISNA(VLOOKUP(D621,A:A,1,FALSE())),ISNA(VLOOKUP(D621,BaseType!A:A,1,FALSE())),D621&lt;&gt;"Struct"),"N","Y")</f>
        <v>Y</v>
      </c>
      <c r="G621" s="146"/>
      <c r="H621" s="139"/>
      <c r="I621" s="139"/>
      <c r="J621" s="139"/>
      <c r="K621" s="139"/>
      <c r="L621" s="143"/>
      <c r="M621" s="143"/>
      <c r="N621" s="140"/>
      <c r="O621" s="140"/>
      <c r="P621" s="140"/>
      <c r="Q621" s="140"/>
      <c r="R621" s="140"/>
      <c r="S621" s="140"/>
      <c r="T621" s="140"/>
    </row>
    <row r="622" spans="1:20" ht="15" customHeight="1" x14ac:dyDescent="0.2">
      <c r="A622" s="143"/>
      <c r="B622" s="143"/>
      <c r="C622" s="75" t="s">
        <v>1369</v>
      </c>
      <c r="D622" s="143" t="s">
        <v>1314</v>
      </c>
      <c r="E622" s="46">
        <v>1</v>
      </c>
      <c r="F622" s="144" t="str">
        <f>IF(AND(ISNA(VLOOKUP(D622,A:A,1,FALSE())),ISNA(VLOOKUP(D622,BaseType!A:A,1,FALSE())),D622&lt;&gt;"Struct"),"N","Y")</f>
        <v>Y</v>
      </c>
      <c r="G622" s="146"/>
      <c r="H622" s="139"/>
      <c r="I622" s="139"/>
      <c r="J622" s="139"/>
      <c r="K622" s="139"/>
      <c r="L622" s="143"/>
      <c r="M622" s="143"/>
      <c r="N622" s="140"/>
      <c r="O622" s="140"/>
      <c r="P622" s="140"/>
      <c r="Q622" s="140"/>
      <c r="R622" s="140"/>
      <c r="S622" s="140"/>
      <c r="T622" s="140"/>
    </row>
    <row r="623" spans="1:20" ht="15" customHeight="1" x14ac:dyDescent="0.2">
      <c r="A623" s="143"/>
      <c r="B623" s="143"/>
      <c r="C623" s="75" t="s">
        <v>1370</v>
      </c>
      <c r="D623" s="143" t="s">
        <v>1249</v>
      </c>
      <c r="E623" s="46">
        <v>1</v>
      </c>
      <c r="F623" s="144" t="str">
        <f>IF(AND(ISNA(VLOOKUP(D623,A:A,1,FALSE())),ISNA(VLOOKUP(D623,BaseType!A:A,1,FALSE())),D623&lt;&gt;"Struct"),"N","Y")</f>
        <v>Y</v>
      </c>
      <c r="G623" s="146"/>
      <c r="H623" s="139"/>
      <c r="I623" s="139"/>
      <c r="J623" s="139"/>
      <c r="K623" s="139"/>
      <c r="L623" s="143"/>
      <c r="M623" s="143"/>
      <c r="N623" s="140"/>
      <c r="O623" s="140"/>
      <c r="P623" s="140"/>
      <c r="Q623" s="140"/>
      <c r="R623" s="140"/>
      <c r="S623" s="140"/>
      <c r="T623" s="140"/>
    </row>
    <row r="624" spans="1:20" ht="15" customHeight="1" x14ac:dyDescent="0.2">
      <c r="A624" s="143" t="s">
        <v>314</v>
      </c>
      <c r="B624" s="143" t="str">
        <f>IF(ISBLANK(A624),"",IF(AND(ISNA(VLOOKUP(A624,Interface_Platform!E:E,1,FALSE())),ISNA(VLOOKUP(A624,D:D,1,FALSE()))),"N","Y"))</f>
        <v>Y</v>
      </c>
      <c r="C624" s="75"/>
      <c r="D624" s="143" t="s">
        <v>484</v>
      </c>
      <c r="E624" s="40"/>
      <c r="F624" s="144" t="str">
        <f>IF(AND(ISNA(VLOOKUP(D624,A:A,1,FALSE())),ISNA(VLOOKUP(D624,BaseType!A:A,1,FALSE())),D624&lt;&gt;"Struct"),"N","Y")</f>
        <v>Y</v>
      </c>
      <c r="G624" s="146"/>
      <c r="H624" s="139">
        <v>0</v>
      </c>
      <c r="I624" s="139">
        <v>0</v>
      </c>
      <c r="J624" s="139">
        <v>0</v>
      </c>
      <c r="K624" s="139">
        <v>0</v>
      </c>
      <c r="L624" s="143">
        <v>0</v>
      </c>
      <c r="M624" s="143">
        <v>0</v>
      </c>
      <c r="N624" s="140"/>
      <c r="O624" s="140"/>
      <c r="P624" s="140"/>
      <c r="Q624" s="140"/>
      <c r="R624" s="140"/>
      <c r="S624" s="140"/>
      <c r="T624" s="140"/>
    </row>
    <row r="625" spans="1:20" ht="15" customHeight="1" x14ac:dyDescent="0.2">
      <c r="A625" s="141"/>
      <c r="B625" s="143" t="str">
        <f>IF(ISBLANK(A625),"",IF(AND(ISNA(VLOOKUP(A625,Interface_Platform!E:E,1,FALSE())),ISNA(VLOOKUP(A625,D:D,1,FALSE()))),"N","Y"))</f>
        <v/>
      </c>
      <c r="C625" s="48" t="s">
        <v>1371</v>
      </c>
      <c r="D625" s="48" t="s">
        <v>193</v>
      </c>
      <c r="E625" s="46">
        <v>1</v>
      </c>
      <c r="F625" s="144" t="str">
        <f>IF(AND(ISNA(VLOOKUP(D625,A:A,1,FALSE())),ISNA(VLOOKUP(D625,BaseType!A:A,1,FALSE())),D625&lt;&gt;"Struct"),"N","Y")</f>
        <v>Y</v>
      </c>
      <c r="G625" s="146"/>
      <c r="H625" s="139">
        <v>0</v>
      </c>
      <c r="I625" s="139">
        <v>0</v>
      </c>
      <c r="J625" s="139">
        <v>0</v>
      </c>
      <c r="K625" s="139">
        <v>0</v>
      </c>
      <c r="L625" s="143">
        <v>0</v>
      </c>
      <c r="M625" s="143">
        <v>0</v>
      </c>
      <c r="N625" s="140"/>
      <c r="O625" s="140"/>
      <c r="P625" s="140"/>
      <c r="Q625" s="140"/>
      <c r="R625" s="140"/>
      <c r="S625" s="140"/>
      <c r="T625" s="140"/>
    </row>
    <row r="626" spans="1:20" ht="15" customHeight="1" x14ac:dyDescent="0.2">
      <c r="A626" s="141"/>
      <c r="B626" s="143" t="str">
        <f>IF(ISBLANK(A626),"",IF(AND(ISNA(VLOOKUP(A626,Interface_Platform!E:E,1,FALSE())),ISNA(VLOOKUP(A626,D:D,1,FALSE()))),"N","Y"))</f>
        <v/>
      </c>
      <c r="C626" s="48" t="s">
        <v>1372</v>
      </c>
      <c r="D626" s="48" t="s">
        <v>1249</v>
      </c>
      <c r="E626" s="46">
        <v>1</v>
      </c>
      <c r="F626" s="144" t="str">
        <f>IF(AND(ISNA(VLOOKUP(D626,A:A,1,FALSE())),ISNA(VLOOKUP(D626,BaseType!A:A,1,FALSE())),D626&lt;&gt;"Struct"),"N","Y")</f>
        <v>Y</v>
      </c>
      <c r="G626" s="146"/>
      <c r="H626" s="139">
        <v>0</v>
      </c>
      <c r="I626" s="139">
        <v>0</v>
      </c>
      <c r="J626" s="139">
        <v>0</v>
      </c>
      <c r="K626" s="139">
        <v>0</v>
      </c>
      <c r="L626" s="143">
        <v>0</v>
      </c>
      <c r="M626" s="143">
        <v>0</v>
      </c>
      <c r="N626" s="140"/>
      <c r="O626" s="140"/>
      <c r="P626" s="140"/>
      <c r="Q626" s="140"/>
      <c r="R626" s="140"/>
      <c r="S626" s="140"/>
      <c r="T626" s="140"/>
    </row>
    <row r="627" spans="1:20" ht="15" customHeight="1" x14ac:dyDescent="0.2">
      <c r="A627" s="141"/>
      <c r="B627" s="143" t="str">
        <f>IF(ISBLANK(A627),"",IF(AND(ISNA(VLOOKUP(A627,Interface_Platform!E:E,1,FALSE())),ISNA(VLOOKUP(A627,D:D,1,FALSE()))),"N","Y"))</f>
        <v/>
      </c>
      <c r="C627" s="48" t="s">
        <v>1373</v>
      </c>
      <c r="D627" s="48" t="s">
        <v>1249</v>
      </c>
      <c r="E627" s="46">
        <v>1</v>
      </c>
      <c r="F627" s="144" t="str">
        <f>IF(AND(ISNA(VLOOKUP(D627,A:A,1,FALSE())),ISNA(VLOOKUP(D627,BaseType!A:A,1,FALSE())),D627&lt;&gt;"Struct"),"N","Y")</f>
        <v>Y</v>
      </c>
      <c r="G627" s="146"/>
      <c r="H627" s="139">
        <v>0</v>
      </c>
      <c r="I627" s="139">
        <v>0</v>
      </c>
      <c r="J627" s="139">
        <v>0</v>
      </c>
      <c r="K627" s="139">
        <v>0</v>
      </c>
      <c r="L627" s="143">
        <v>0</v>
      </c>
      <c r="M627" s="143">
        <v>0</v>
      </c>
      <c r="N627" s="140"/>
      <c r="O627" s="140"/>
      <c r="P627" s="140"/>
      <c r="Q627" s="140"/>
      <c r="R627" s="140"/>
      <c r="S627" s="140"/>
      <c r="T627" s="140"/>
    </row>
    <row r="628" spans="1:20" ht="15" customHeight="1" x14ac:dyDescent="0.2">
      <c r="A628" s="141"/>
      <c r="B628" s="143" t="str">
        <f>IF(ISBLANK(A628),"",IF(AND(ISNA(VLOOKUP(A628,Interface_Platform!E:E,1,FALSE())),ISNA(VLOOKUP(A628,D:D,1,FALSE()))),"N","Y"))</f>
        <v/>
      </c>
      <c r="C628" s="48" t="s">
        <v>1374</v>
      </c>
      <c r="D628" s="48" t="s">
        <v>193</v>
      </c>
      <c r="E628" s="46">
        <v>1</v>
      </c>
      <c r="F628" s="144" t="str">
        <f>IF(AND(ISNA(VLOOKUP(D628,A:A,1,FALSE())),ISNA(VLOOKUP(D628,BaseType!A:A,1,FALSE())),D628&lt;&gt;"Struct"),"N","Y")</f>
        <v>Y</v>
      </c>
      <c r="G628" s="146"/>
      <c r="H628" s="139">
        <v>0</v>
      </c>
      <c r="I628" s="139">
        <v>0</v>
      </c>
      <c r="J628" s="139">
        <v>0</v>
      </c>
      <c r="K628" s="139">
        <v>0</v>
      </c>
      <c r="L628" s="143">
        <v>0</v>
      </c>
      <c r="M628" s="143">
        <v>0</v>
      </c>
      <c r="N628" s="140"/>
      <c r="O628" s="140"/>
      <c r="P628" s="140"/>
      <c r="Q628" s="140"/>
      <c r="R628" s="140"/>
      <c r="S628" s="140"/>
      <c r="T628" s="140"/>
    </row>
    <row r="629" spans="1:20" ht="15" customHeight="1" x14ac:dyDescent="0.2">
      <c r="A629" s="141"/>
      <c r="B629" s="143" t="str">
        <f>IF(ISBLANK(A629),"",IF(AND(ISNA(VLOOKUP(A629,Interface_Platform!E:E,1,FALSE())),ISNA(VLOOKUP(A629,D:D,1,FALSE()))),"N","Y"))</f>
        <v/>
      </c>
      <c r="C629" s="48" t="s">
        <v>1375</v>
      </c>
      <c r="D629" s="48" t="s">
        <v>193</v>
      </c>
      <c r="E629" s="46">
        <v>1</v>
      </c>
      <c r="F629" s="144" t="str">
        <f>IF(AND(ISNA(VLOOKUP(D629,A:A,1,FALSE())),ISNA(VLOOKUP(D629,BaseType!A:A,1,FALSE())),D629&lt;&gt;"Struct"),"N","Y")</f>
        <v>Y</v>
      </c>
      <c r="G629" s="146"/>
      <c r="H629" s="139">
        <v>0</v>
      </c>
      <c r="I629" s="139">
        <v>0</v>
      </c>
      <c r="J629" s="139">
        <v>0</v>
      </c>
      <c r="K629" s="139">
        <v>0</v>
      </c>
      <c r="L629" s="143">
        <v>0</v>
      </c>
      <c r="M629" s="143">
        <v>0</v>
      </c>
      <c r="N629" s="140"/>
      <c r="O629" s="140"/>
      <c r="P629" s="140"/>
      <c r="Q629" s="140"/>
      <c r="R629" s="140"/>
      <c r="S629" s="140"/>
      <c r="T629" s="140"/>
    </row>
    <row r="630" spans="1:20" ht="15" customHeight="1" x14ac:dyDescent="0.2">
      <c r="A630" s="141"/>
      <c r="B630" s="143" t="str">
        <f>IF(ISBLANK(A630),"",IF(AND(ISNA(VLOOKUP(A630,Interface_Platform!E:E,1,FALSE())),ISNA(VLOOKUP(A630,D:D,1,FALSE()))),"N","Y"))</f>
        <v/>
      </c>
      <c r="C630" s="48" t="s">
        <v>1376</v>
      </c>
      <c r="D630" s="48" t="s">
        <v>1249</v>
      </c>
      <c r="E630" s="46">
        <v>1</v>
      </c>
      <c r="F630" s="144" t="str">
        <f>IF(AND(ISNA(VLOOKUP(D630,A:A,1,FALSE())),ISNA(VLOOKUP(D630,BaseType!A:A,1,FALSE())),D630&lt;&gt;"Struct"),"N","Y")</f>
        <v>Y</v>
      </c>
      <c r="G630" s="146"/>
      <c r="H630" s="139">
        <v>0</v>
      </c>
      <c r="I630" s="139">
        <v>0</v>
      </c>
      <c r="J630" s="139">
        <v>0</v>
      </c>
      <c r="K630" s="139">
        <v>0</v>
      </c>
      <c r="L630" s="143">
        <v>0</v>
      </c>
      <c r="M630" s="143">
        <v>0</v>
      </c>
      <c r="N630" s="140"/>
      <c r="O630" s="140"/>
      <c r="P630" s="140"/>
      <c r="Q630" s="140"/>
      <c r="R630" s="140"/>
      <c r="S630" s="140"/>
      <c r="T630" s="140"/>
    </row>
    <row r="631" spans="1:20" ht="15" customHeight="1" x14ac:dyDescent="0.2">
      <c r="A631" s="143"/>
      <c r="B631" s="143" t="str">
        <f>IF(ISBLANK(A631),"",IF(AND(ISNA(VLOOKUP(A631,Interface_Platform!E:E,1,FALSE())),ISNA(VLOOKUP(A631,D:D,1,FALSE()))),"N","Y"))</f>
        <v/>
      </c>
      <c r="C631" s="48" t="s">
        <v>1377</v>
      </c>
      <c r="D631" s="48" t="s">
        <v>193</v>
      </c>
      <c r="E631" s="46">
        <v>1</v>
      </c>
      <c r="F631" s="144" t="str">
        <f>IF(AND(ISNA(VLOOKUP(D631,A:A,1,FALSE())),ISNA(VLOOKUP(D631,BaseType!A:A,1,FALSE())),D631&lt;&gt;"Struct"),"N","Y")</f>
        <v>Y</v>
      </c>
      <c r="G631" s="146"/>
      <c r="H631" s="139">
        <v>0</v>
      </c>
      <c r="I631" s="139">
        <v>0</v>
      </c>
      <c r="J631" s="139">
        <v>0</v>
      </c>
      <c r="K631" s="139">
        <v>0</v>
      </c>
      <c r="L631" s="143">
        <v>0</v>
      </c>
      <c r="M631" s="143">
        <v>0</v>
      </c>
      <c r="N631" s="140"/>
      <c r="O631" s="140"/>
      <c r="P631" s="140"/>
      <c r="Q631" s="140"/>
      <c r="R631" s="140"/>
      <c r="S631" s="140"/>
      <c r="T631" s="140"/>
    </row>
    <row r="632" spans="1:20" ht="15" customHeight="1" x14ac:dyDescent="0.2">
      <c r="A632" s="143"/>
      <c r="B632" s="143" t="str">
        <f>IF(ISBLANK(A632),"",IF(AND(ISNA(VLOOKUP(A632,Interface_Platform!E:E,1,FALSE())),ISNA(VLOOKUP(A632,D:D,1,FALSE()))),"N","Y"))</f>
        <v/>
      </c>
      <c r="C632" s="48" t="s">
        <v>1378</v>
      </c>
      <c r="D632" s="48" t="s">
        <v>1249</v>
      </c>
      <c r="E632" s="46">
        <v>1</v>
      </c>
      <c r="F632" s="144" t="str">
        <f>IF(AND(ISNA(VLOOKUP(D632,A:A,1,FALSE())),ISNA(VLOOKUP(D632,BaseType!A:A,1,FALSE())),D632&lt;&gt;"Struct"),"N","Y")</f>
        <v>Y</v>
      </c>
      <c r="G632" s="146"/>
      <c r="H632" s="139">
        <v>0</v>
      </c>
      <c r="I632" s="139">
        <v>0</v>
      </c>
      <c r="J632" s="139">
        <v>0</v>
      </c>
      <c r="K632" s="139">
        <v>0</v>
      </c>
      <c r="L632" s="143">
        <v>0</v>
      </c>
      <c r="M632" s="143">
        <v>0</v>
      </c>
      <c r="N632" s="140"/>
      <c r="O632" s="140"/>
      <c r="P632" s="140"/>
      <c r="Q632" s="140"/>
      <c r="R632" s="140"/>
      <c r="S632" s="140"/>
      <c r="T632" s="140"/>
    </row>
    <row r="633" spans="1:20" ht="15" customHeight="1" x14ac:dyDescent="0.2">
      <c r="A633" s="143"/>
      <c r="B633" s="143" t="str">
        <f>IF(ISBLANK(A633),"",IF(AND(ISNA(VLOOKUP(A633,Interface_Platform!E:E,1,FALSE())),ISNA(VLOOKUP(A633,D:D,1,FALSE()))),"N","Y"))</f>
        <v/>
      </c>
      <c r="C633" s="48" t="s">
        <v>1379</v>
      </c>
      <c r="D633" s="48" t="s">
        <v>1249</v>
      </c>
      <c r="E633" s="46">
        <v>1</v>
      </c>
      <c r="F633" s="144" t="str">
        <f>IF(AND(ISNA(VLOOKUP(D633,A:A,1,FALSE())),ISNA(VLOOKUP(D633,BaseType!A:A,1,FALSE())),D633&lt;&gt;"Struct"),"N","Y")</f>
        <v>Y</v>
      </c>
      <c r="G633" s="146"/>
      <c r="H633" s="139">
        <v>0</v>
      </c>
      <c r="I633" s="139">
        <v>0</v>
      </c>
      <c r="J633" s="139">
        <v>0</v>
      </c>
      <c r="K633" s="139">
        <v>0</v>
      </c>
      <c r="L633" s="143">
        <v>0</v>
      </c>
      <c r="M633" s="143">
        <v>0</v>
      </c>
      <c r="N633" s="140"/>
      <c r="O633" s="140"/>
      <c r="P633" s="140"/>
      <c r="Q633" s="140"/>
      <c r="R633" s="140"/>
      <c r="S633" s="140"/>
      <c r="T633" s="140"/>
    </row>
    <row r="634" spans="1:20" ht="15" customHeight="1" x14ac:dyDescent="0.2">
      <c r="A634" s="143" t="s">
        <v>312</v>
      </c>
      <c r="B634" s="143" t="str">
        <f>IF(ISBLANK(A634),"",IF(AND(ISNA(VLOOKUP(A634,Interface_Platform!E:E,1,FALSE())),ISNA(VLOOKUP(A634,D:D,1,FALSE()))),"N","Y"))</f>
        <v>Y</v>
      </c>
      <c r="C634" s="75"/>
      <c r="D634" s="143" t="s">
        <v>484</v>
      </c>
      <c r="E634" s="40"/>
      <c r="F634" s="144" t="str">
        <f>IF(AND(ISNA(VLOOKUP(D634,A:A,1,FALSE())),ISNA(VLOOKUP(D634,BaseType!A:A,1,FALSE())),D634&lt;&gt;"Struct"),"N","Y")</f>
        <v>Y</v>
      </c>
      <c r="G634" s="146"/>
      <c r="H634" s="139">
        <v>0</v>
      </c>
      <c r="I634" s="139">
        <v>0</v>
      </c>
      <c r="J634" s="139">
        <v>0</v>
      </c>
      <c r="K634" s="139">
        <v>0</v>
      </c>
      <c r="L634" s="143">
        <v>0</v>
      </c>
      <c r="M634" s="143">
        <v>0</v>
      </c>
      <c r="N634" s="140"/>
      <c r="O634" s="140"/>
      <c r="P634" s="140"/>
      <c r="Q634" s="140"/>
      <c r="R634" s="140"/>
      <c r="S634" s="140"/>
      <c r="T634" s="140"/>
    </row>
    <row r="635" spans="1:20" ht="15" customHeight="1" x14ac:dyDescent="0.2">
      <c r="A635" s="141"/>
      <c r="B635" s="143" t="str">
        <f>IF(ISBLANK(A635),"",IF(AND(ISNA(VLOOKUP(A635,Interface_Platform!E:E,1,FALSE())),ISNA(VLOOKUP(A635,D:D,1,FALSE()))),"N","Y"))</f>
        <v/>
      </c>
      <c r="C635" s="48" t="s">
        <v>1380</v>
      </c>
      <c r="D635" s="48" t="s">
        <v>193</v>
      </c>
      <c r="E635" s="46">
        <v>1</v>
      </c>
      <c r="F635" s="144" t="str">
        <f>IF(AND(ISNA(VLOOKUP(D635,A:A,1,FALSE())),ISNA(VLOOKUP(D635,BaseType!A:A,1,FALSE())),D635&lt;&gt;"Struct"),"N","Y")</f>
        <v>Y</v>
      </c>
      <c r="G635" s="146"/>
      <c r="H635" s="139">
        <v>0</v>
      </c>
      <c r="I635" s="139">
        <v>0</v>
      </c>
      <c r="J635" s="139">
        <v>0</v>
      </c>
      <c r="K635" s="139">
        <v>0</v>
      </c>
      <c r="L635" s="143">
        <v>0</v>
      </c>
      <c r="M635" s="143">
        <v>0</v>
      </c>
      <c r="N635" s="140"/>
      <c r="O635" s="140"/>
      <c r="P635" s="140"/>
      <c r="Q635" s="140"/>
      <c r="R635" s="140"/>
      <c r="S635" s="140"/>
      <c r="T635" s="140"/>
    </row>
    <row r="636" spans="1:20" ht="15" customHeight="1" x14ac:dyDescent="0.2">
      <c r="A636" s="141"/>
      <c r="B636" s="143" t="str">
        <f>IF(ISBLANK(A636),"",IF(AND(ISNA(VLOOKUP(A636,Interface_Platform!E:E,1,FALSE())),ISNA(VLOOKUP(A636,D:D,1,FALSE()))),"N","Y"))</f>
        <v/>
      </c>
      <c r="C636" s="48" t="s">
        <v>1381</v>
      </c>
      <c r="D636" s="48" t="s">
        <v>1249</v>
      </c>
      <c r="E636" s="46">
        <v>1</v>
      </c>
      <c r="F636" s="144" t="str">
        <f>IF(AND(ISNA(VLOOKUP(D636,A:A,1,FALSE())),ISNA(VLOOKUP(D636,BaseType!A:A,1,FALSE())),D636&lt;&gt;"Struct"),"N","Y")</f>
        <v>Y</v>
      </c>
      <c r="G636" s="146"/>
      <c r="H636" s="139">
        <v>0</v>
      </c>
      <c r="I636" s="139">
        <v>0</v>
      </c>
      <c r="J636" s="139">
        <v>0</v>
      </c>
      <c r="K636" s="139">
        <v>0</v>
      </c>
      <c r="L636" s="143">
        <v>0</v>
      </c>
      <c r="M636" s="143">
        <v>0</v>
      </c>
      <c r="N636" s="140"/>
      <c r="O636" s="140"/>
      <c r="P636" s="140"/>
      <c r="Q636" s="140"/>
      <c r="R636" s="140"/>
      <c r="S636" s="140"/>
      <c r="T636" s="140"/>
    </row>
    <row r="637" spans="1:20" ht="15" customHeight="1" x14ac:dyDescent="0.2">
      <c r="A637" s="141"/>
      <c r="B637" s="143" t="str">
        <f>IF(ISBLANK(A637),"",IF(AND(ISNA(VLOOKUP(A637,Interface_Platform!E:E,1,FALSE())),ISNA(VLOOKUP(A637,D:D,1,FALSE()))),"N","Y"))</f>
        <v/>
      </c>
      <c r="C637" s="48" t="s">
        <v>1382</v>
      </c>
      <c r="D637" s="48" t="s">
        <v>1249</v>
      </c>
      <c r="E637" s="46">
        <v>1</v>
      </c>
      <c r="F637" s="144" t="str">
        <f>IF(AND(ISNA(VLOOKUP(D637,A:A,1,FALSE())),ISNA(VLOOKUP(D637,BaseType!A:A,1,FALSE())),D637&lt;&gt;"Struct"),"N","Y")</f>
        <v>Y</v>
      </c>
      <c r="G637" s="146"/>
      <c r="H637" s="139">
        <v>0</v>
      </c>
      <c r="I637" s="139">
        <v>0</v>
      </c>
      <c r="J637" s="139">
        <v>0</v>
      </c>
      <c r="K637" s="139">
        <v>0</v>
      </c>
      <c r="L637" s="143">
        <v>0</v>
      </c>
      <c r="M637" s="143">
        <v>0</v>
      </c>
      <c r="N637" s="140"/>
      <c r="O637" s="140"/>
      <c r="P637" s="140"/>
      <c r="Q637" s="140"/>
      <c r="R637" s="140"/>
      <c r="S637" s="140"/>
      <c r="T637" s="140"/>
    </row>
    <row r="638" spans="1:20" ht="15" customHeight="1" x14ac:dyDescent="0.2">
      <c r="A638" s="141"/>
      <c r="B638" s="143" t="str">
        <f>IF(ISBLANK(A638),"",IF(AND(ISNA(VLOOKUP(A638,Interface_Platform!E:E,1,FALSE())),ISNA(VLOOKUP(A638,D:D,1,FALSE()))),"N","Y"))</f>
        <v/>
      </c>
      <c r="C638" s="48" t="s">
        <v>1383</v>
      </c>
      <c r="D638" s="48" t="s">
        <v>193</v>
      </c>
      <c r="E638" s="46">
        <v>1</v>
      </c>
      <c r="F638" s="144" t="str">
        <f>IF(AND(ISNA(VLOOKUP(D638,A:A,1,FALSE())),ISNA(VLOOKUP(D638,BaseType!A:A,1,FALSE())),D638&lt;&gt;"Struct"),"N","Y")</f>
        <v>Y</v>
      </c>
      <c r="G638" s="146"/>
      <c r="H638" s="139">
        <v>0</v>
      </c>
      <c r="I638" s="139">
        <v>0</v>
      </c>
      <c r="J638" s="139">
        <v>0</v>
      </c>
      <c r="K638" s="139">
        <v>0</v>
      </c>
      <c r="L638" s="143">
        <v>0</v>
      </c>
      <c r="M638" s="143">
        <v>0</v>
      </c>
      <c r="N638" s="140"/>
      <c r="O638" s="140"/>
      <c r="P638" s="140"/>
      <c r="Q638" s="140"/>
      <c r="R638" s="140"/>
      <c r="S638" s="140"/>
      <c r="T638" s="140"/>
    </row>
    <row r="639" spans="1:20" ht="15" customHeight="1" x14ac:dyDescent="0.2">
      <c r="A639" s="141"/>
      <c r="B639" s="143" t="str">
        <f>IF(ISBLANK(A639),"",IF(AND(ISNA(VLOOKUP(A639,Interface_Platform!E:E,1,FALSE())),ISNA(VLOOKUP(A639,D:D,1,FALSE()))),"N","Y"))</f>
        <v/>
      </c>
      <c r="C639" s="48" t="s">
        <v>1384</v>
      </c>
      <c r="D639" s="48" t="s">
        <v>1249</v>
      </c>
      <c r="E639" s="46">
        <v>1</v>
      </c>
      <c r="F639" s="144" t="str">
        <f>IF(AND(ISNA(VLOOKUP(D639,A:A,1,FALSE())),ISNA(VLOOKUP(D639,BaseType!A:A,1,FALSE())),D639&lt;&gt;"Struct"),"N","Y")</f>
        <v>Y</v>
      </c>
      <c r="G639" s="146"/>
      <c r="H639" s="139">
        <v>0</v>
      </c>
      <c r="I639" s="139">
        <v>0</v>
      </c>
      <c r="J639" s="139">
        <v>0</v>
      </c>
      <c r="K639" s="139">
        <v>0</v>
      </c>
      <c r="L639" s="143">
        <v>0</v>
      </c>
      <c r="M639" s="143">
        <v>0</v>
      </c>
      <c r="N639" s="140"/>
      <c r="O639" s="140"/>
      <c r="P639" s="140"/>
      <c r="Q639" s="140"/>
      <c r="R639" s="140"/>
      <c r="S639" s="140"/>
      <c r="T639" s="140"/>
    </row>
    <row r="640" spans="1:20" ht="15" customHeight="1" x14ac:dyDescent="0.2">
      <c r="A640" s="141"/>
      <c r="B640" s="143" t="str">
        <f>IF(ISBLANK(A640),"",IF(AND(ISNA(VLOOKUP(A640,Interface_Platform!E:E,1,FALSE())),ISNA(VLOOKUP(A640,D:D,1,FALSE()))),"N","Y"))</f>
        <v/>
      </c>
      <c r="C640" s="48" t="s">
        <v>1385</v>
      </c>
      <c r="D640" s="48" t="s">
        <v>1249</v>
      </c>
      <c r="E640" s="46">
        <v>1</v>
      </c>
      <c r="F640" s="144" t="str">
        <f>IF(AND(ISNA(VLOOKUP(D640,A:A,1,FALSE())),ISNA(VLOOKUP(D640,BaseType!A:A,1,FALSE())),D640&lt;&gt;"Struct"),"N","Y")</f>
        <v>Y</v>
      </c>
      <c r="G640" s="146"/>
      <c r="H640" s="139">
        <v>0</v>
      </c>
      <c r="I640" s="139">
        <v>0</v>
      </c>
      <c r="J640" s="139">
        <v>0</v>
      </c>
      <c r="K640" s="139">
        <v>0</v>
      </c>
      <c r="L640" s="143">
        <v>0</v>
      </c>
      <c r="M640" s="143">
        <v>0</v>
      </c>
      <c r="N640" s="140"/>
      <c r="O640" s="140"/>
      <c r="P640" s="140"/>
      <c r="Q640" s="140"/>
      <c r="R640" s="140"/>
      <c r="S640" s="140"/>
      <c r="T640" s="140"/>
    </row>
    <row r="641" spans="1:20" ht="15" customHeight="1" x14ac:dyDescent="0.2">
      <c r="A641" s="141"/>
      <c r="B641" s="143" t="str">
        <f>IF(ISBLANK(A641),"",IF(AND(ISNA(VLOOKUP(A641,Interface_Platform!E:E,1,FALSE())),ISNA(VLOOKUP(A641,D:D,1,FALSE()))),"N","Y"))</f>
        <v/>
      </c>
      <c r="C641" s="48" t="s">
        <v>1386</v>
      </c>
      <c r="D641" s="48" t="s">
        <v>193</v>
      </c>
      <c r="E641" s="46">
        <v>1</v>
      </c>
      <c r="F641" s="144" t="str">
        <f>IF(AND(ISNA(VLOOKUP(D641,A:A,1,FALSE())),ISNA(VLOOKUP(D641,BaseType!A:A,1,FALSE())),D641&lt;&gt;"Struct"),"N","Y")</f>
        <v>Y</v>
      </c>
      <c r="G641" s="146"/>
      <c r="H641" s="139">
        <v>0</v>
      </c>
      <c r="I641" s="139">
        <v>0</v>
      </c>
      <c r="J641" s="139">
        <v>0</v>
      </c>
      <c r="K641" s="139">
        <v>0</v>
      </c>
      <c r="L641" s="143">
        <v>0</v>
      </c>
      <c r="M641" s="143">
        <v>0</v>
      </c>
      <c r="N641" s="140"/>
      <c r="O641" s="140"/>
      <c r="P641" s="140"/>
      <c r="Q641" s="140"/>
      <c r="R641" s="140"/>
      <c r="S641" s="140"/>
      <c r="T641" s="140"/>
    </row>
    <row r="642" spans="1:20" ht="15" customHeight="1" x14ac:dyDescent="0.2">
      <c r="A642" s="141"/>
      <c r="B642" s="143" t="str">
        <f>IF(ISBLANK(A642),"",IF(AND(ISNA(VLOOKUP(A642,Interface_Platform!E:E,1,FALSE())),ISNA(VLOOKUP(A642,D:D,1,FALSE()))),"N","Y"))</f>
        <v/>
      </c>
      <c r="C642" s="48" t="s">
        <v>1387</v>
      </c>
      <c r="D642" s="48" t="s">
        <v>918</v>
      </c>
      <c r="E642" s="46">
        <v>1</v>
      </c>
      <c r="F642" s="144" t="str">
        <f>IF(AND(ISNA(VLOOKUP(D642,A:A,1,FALSE())),ISNA(VLOOKUP(D642,BaseType!A:A,1,FALSE())),D642&lt;&gt;"Struct"),"N","Y")</f>
        <v>Y</v>
      </c>
      <c r="G642" s="146"/>
      <c r="H642" s="139">
        <v>0</v>
      </c>
      <c r="I642" s="139">
        <v>0</v>
      </c>
      <c r="J642" s="139">
        <v>0</v>
      </c>
      <c r="K642" s="139">
        <v>0</v>
      </c>
      <c r="L642" s="143">
        <v>0</v>
      </c>
      <c r="M642" s="143">
        <v>0</v>
      </c>
      <c r="N642" s="140"/>
      <c r="O642" s="140"/>
      <c r="P642" s="140"/>
      <c r="Q642" s="140"/>
      <c r="R642" s="140"/>
      <c r="S642" s="140"/>
      <c r="T642" s="140"/>
    </row>
    <row r="643" spans="1:20" ht="15" customHeight="1" x14ac:dyDescent="0.2">
      <c r="A643" s="75" t="s">
        <v>306</v>
      </c>
      <c r="B643" s="143" t="str">
        <f>IF(ISBLANK(A643),"",IF(AND(ISNA(VLOOKUP(A643,Interface_Platform!E:E,1,FALSE())),ISNA(VLOOKUP(A643,D:D,1,FALSE()))),"N","Y"))</f>
        <v>Y</v>
      </c>
      <c r="C643" s="75"/>
      <c r="D643" s="143" t="s">
        <v>1306</v>
      </c>
      <c r="E643" s="40">
        <v>20</v>
      </c>
      <c r="F643" s="144" t="str">
        <f>IF(AND(ISNA(VLOOKUP(D643,A:A,1,FALSE())),ISNA(VLOOKUP(D643,BaseType!A:A,1,FALSE())),D643&lt;&gt;"Struct"),"N","Y")</f>
        <v>Y</v>
      </c>
      <c r="G643" s="146"/>
      <c r="H643" s="139"/>
      <c r="I643" s="139"/>
      <c r="J643" s="139"/>
      <c r="K643" s="139"/>
      <c r="L643" s="143"/>
      <c r="M643" s="143"/>
      <c r="N643" s="140"/>
      <c r="O643" s="140"/>
      <c r="P643" s="140"/>
      <c r="Q643" s="140"/>
      <c r="R643" s="140"/>
      <c r="S643" s="140"/>
      <c r="T643" s="140"/>
    </row>
    <row r="644" spans="1:20" ht="15" customHeight="1" x14ac:dyDescent="0.2">
      <c r="A644" s="75" t="s">
        <v>308</v>
      </c>
      <c r="B644" s="143" t="str">
        <f>IF(ISBLANK(A644),"",IF(AND(ISNA(VLOOKUP(A644,Interface_Platform!E:E,1,FALSE())),ISNA(VLOOKUP(A644,D:D,1,FALSE()))),"N","Y"))</f>
        <v>Y</v>
      </c>
      <c r="C644" s="75"/>
      <c r="D644" s="143" t="s">
        <v>1274</v>
      </c>
      <c r="E644" s="40">
        <v>20</v>
      </c>
      <c r="F644" s="144" t="str">
        <f>IF(AND(ISNA(VLOOKUP(D644,A:A,1,FALSE())),ISNA(VLOOKUP(D644,BaseType!A:A,1,FALSE())),D644&lt;&gt;"Struct"),"N","Y")</f>
        <v>Y</v>
      </c>
      <c r="G644" s="146"/>
      <c r="H644" s="139"/>
      <c r="I644" s="139"/>
      <c r="J644" s="139"/>
      <c r="K644" s="139"/>
      <c r="L644" s="143"/>
      <c r="M644" s="143"/>
      <c r="N644" s="140"/>
      <c r="O644" s="140"/>
      <c r="P644" s="140"/>
      <c r="Q644" s="140"/>
      <c r="R644" s="140"/>
      <c r="S644" s="140"/>
      <c r="T644" s="140"/>
    </row>
    <row r="645" spans="1:20" ht="15" customHeight="1" x14ac:dyDescent="0.2">
      <c r="A645" s="91" t="s">
        <v>398</v>
      </c>
      <c r="B645" s="143" t="str">
        <f>IF(ISBLANK(A645),"",IF(AND(ISNA(VLOOKUP(A645,Interface_Platform!E:E,1,FALSE())),ISNA(VLOOKUP(A645,D:D,1,FALSE()))),"N","Y"))</f>
        <v>Y</v>
      </c>
      <c r="C645" s="75"/>
      <c r="D645" s="149" t="s">
        <v>1388</v>
      </c>
      <c r="E645" s="142">
        <v>20</v>
      </c>
      <c r="F645" s="144" t="str">
        <f>IF(AND(ISNA(VLOOKUP(D645,A:A,1,FALSE())),ISNA(VLOOKUP(D645,BaseType!A:A,1,FALSE())),D645&lt;&gt;"Struct"),"N","Y")</f>
        <v>Y</v>
      </c>
      <c r="G645" s="146"/>
      <c r="H645" s="141"/>
      <c r="I645" s="141"/>
      <c r="J645" s="141"/>
      <c r="K645" s="141"/>
      <c r="L645" s="141"/>
      <c r="M645" s="141"/>
      <c r="N645" s="140"/>
      <c r="O645" s="140"/>
      <c r="P645" s="140"/>
      <c r="Q645" s="140"/>
      <c r="R645" s="140"/>
      <c r="S645" s="140"/>
      <c r="T645" s="140"/>
    </row>
    <row r="646" spans="1:20" ht="15" customHeight="1" x14ac:dyDescent="0.2">
      <c r="A646" s="180" t="s">
        <v>1389</v>
      </c>
      <c r="B646" s="143" t="str">
        <f>IF(ISBLANK(A646),"",IF(AND(ISNA(VLOOKUP(A646,Interface_Platform!E:E,1,FALSE())),ISNA(VLOOKUP(A646,D:D,1,FALSE()))),"N","Y"))</f>
        <v>Y</v>
      </c>
      <c r="C646" s="75"/>
      <c r="D646" s="143" t="s">
        <v>484</v>
      </c>
      <c r="E646" s="40"/>
      <c r="F646" s="144" t="str">
        <f>IF(AND(ISNA(VLOOKUP(D646,A:A,1,FALSE())),ISNA(VLOOKUP(D646,BaseType!A:A,1,FALSE())),D646&lt;&gt;"Struct"),"N","Y")</f>
        <v>Y</v>
      </c>
      <c r="G646" s="146"/>
      <c r="H646" s="141"/>
      <c r="I646" s="141"/>
      <c r="J646" s="141"/>
      <c r="K646" s="141"/>
      <c r="L646" s="141"/>
      <c r="M646" s="141"/>
      <c r="N646" s="140"/>
      <c r="O646" s="140"/>
      <c r="P646" s="140"/>
      <c r="Q646" s="140"/>
      <c r="R646" s="140"/>
      <c r="S646" s="140"/>
      <c r="T646" s="140"/>
    </row>
    <row r="647" spans="1:20" ht="15" customHeight="1" x14ac:dyDescent="0.2">
      <c r="A647" s="143"/>
      <c r="B647" s="143"/>
      <c r="C647" s="161" t="s">
        <v>1390</v>
      </c>
      <c r="D647" s="180" t="s">
        <v>631</v>
      </c>
      <c r="E647" s="142">
        <v>1</v>
      </c>
      <c r="F647" s="144" t="str">
        <f>IF(AND(ISNA(VLOOKUP(D647,A:A,1,FALSE())),ISNA(VLOOKUP(D647,BaseType!A:A,1,FALSE())),D647&lt;&gt;"Struct"),"N","Y")</f>
        <v>Y</v>
      </c>
      <c r="G647" s="146" t="s">
        <v>1391</v>
      </c>
      <c r="H647" s="141"/>
      <c r="I647" s="141"/>
      <c r="J647" s="141"/>
      <c r="K647" s="141"/>
      <c r="L647" s="141"/>
      <c r="M647" s="141"/>
      <c r="N647" s="140"/>
      <c r="O647" s="140"/>
      <c r="P647" s="140"/>
      <c r="Q647" s="140"/>
      <c r="R647" s="140"/>
      <c r="S647" s="140"/>
      <c r="T647" s="140"/>
    </row>
    <row r="648" spans="1:20" ht="15" customHeight="1" x14ac:dyDescent="0.2">
      <c r="A648" s="143"/>
      <c r="B648" s="143"/>
      <c r="C648" s="161" t="s">
        <v>1392</v>
      </c>
      <c r="D648" s="180" t="s">
        <v>631</v>
      </c>
      <c r="E648" s="142">
        <v>1</v>
      </c>
      <c r="F648" s="144" t="str">
        <f>IF(AND(ISNA(VLOOKUP(D648,A:A,1,FALSE())),ISNA(VLOOKUP(D648,BaseType!A:A,1,FALSE())),D648&lt;&gt;"Struct"),"N","Y")</f>
        <v>Y</v>
      </c>
      <c r="G648" s="146" t="s">
        <v>1393</v>
      </c>
      <c r="H648" s="141"/>
      <c r="I648" s="141"/>
      <c r="J648" s="141"/>
      <c r="K648" s="141"/>
      <c r="L648" s="141"/>
      <c r="M648" s="141"/>
      <c r="N648" s="140"/>
      <c r="O648" s="140"/>
      <c r="P648" s="140"/>
      <c r="Q648" s="140"/>
      <c r="R648" s="140"/>
      <c r="S648" s="140"/>
      <c r="T648" s="140"/>
    </row>
    <row r="649" spans="1:20" ht="15" customHeight="1" x14ac:dyDescent="0.2">
      <c r="A649" s="143"/>
      <c r="B649" s="143"/>
      <c r="C649" s="161" t="s">
        <v>1394</v>
      </c>
      <c r="D649" s="180" t="s">
        <v>298</v>
      </c>
      <c r="E649" s="142">
        <v>1</v>
      </c>
      <c r="F649" s="144" t="str">
        <f>IF(AND(ISNA(VLOOKUP(D649,A:A,1,FALSE())),ISNA(VLOOKUP(D649,BaseType!A:A,1,FALSE())),D649&lt;&gt;"Struct"),"N","Y")</f>
        <v>Y</v>
      </c>
      <c r="G649" s="146" t="s">
        <v>1395</v>
      </c>
      <c r="H649" s="141"/>
      <c r="I649" s="141"/>
      <c r="J649" s="141"/>
      <c r="K649" s="141"/>
      <c r="L649" s="141"/>
      <c r="M649" s="141"/>
      <c r="N649" s="140"/>
      <c r="O649" s="140"/>
      <c r="P649" s="140"/>
      <c r="Q649" s="140"/>
      <c r="R649" s="140"/>
      <c r="S649" s="140"/>
      <c r="T649" s="140"/>
    </row>
    <row r="650" spans="1:20" ht="15" customHeight="1" x14ac:dyDescent="0.2">
      <c r="A650" s="143" t="s">
        <v>1396</v>
      </c>
      <c r="B650" s="143" t="str">
        <f>IF(ISBLANK(A650),"",IF(AND(ISNA(VLOOKUP(A650,Interface_Platform!E:E,1,FALSE())),ISNA(VLOOKUP(A650,D:D,1,FALSE()))),"N","Y"))</f>
        <v>Y</v>
      </c>
      <c r="C650" s="75"/>
      <c r="D650" s="143" t="s">
        <v>484</v>
      </c>
      <c r="E650" s="40"/>
      <c r="F650" s="144" t="str">
        <f>IF(AND(ISNA(VLOOKUP(D650,A:A,1,FALSE())),ISNA(VLOOKUP(D650,BaseType!A:A,1,FALSE())),D650&lt;&gt;"Struct"),"N","Y")</f>
        <v>Y</v>
      </c>
      <c r="G650" s="146"/>
      <c r="H650" s="141"/>
      <c r="I650" s="141"/>
      <c r="J650" s="141"/>
      <c r="K650" s="141"/>
      <c r="L650" s="141"/>
      <c r="M650" s="141"/>
      <c r="N650" s="140"/>
      <c r="O650" s="140"/>
      <c r="P650" s="140"/>
      <c r="Q650" s="140"/>
      <c r="R650" s="140"/>
      <c r="S650" s="140"/>
      <c r="T650" s="140"/>
    </row>
    <row r="651" spans="1:20" ht="15" customHeight="1" x14ac:dyDescent="0.2">
      <c r="A651" s="141"/>
      <c r="B651" s="143" t="str">
        <f>IF(ISBLANK(A651),"",IF(AND(ISNA(VLOOKUP(A651,Interface_Platform!E:E,1,FALSE())),ISNA(VLOOKUP(A651,D:D,1,FALSE()))),"N","Y"))</f>
        <v/>
      </c>
      <c r="C651" s="143" t="s">
        <v>1397</v>
      </c>
      <c r="D651" s="143" t="s">
        <v>225</v>
      </c>
      <c r="E651" s="142">
        <v>1</v>
      </c>
      <c r="F651" s="144" t="str">
        <f>IF(AND(ISNA(VLOOKUP(D651,A:A,1,FALSE())),ISNA(VLOOKUP(D651,BaseType!A:A,1,FALSE())),D651&lt;&gt;"Struct"),"N","Y")</f>
        <v>Y</v>
      </c>
      <c r="G651" s="146"/>
      <c r="H651" s="141"/>
      <c r="I651" s="141"/>
      <c r="J651" s="141"/>
      <c r="K651" s="141"/>
      <c r="L651" s="141"/>
      <c r="M651" s="141"/>
      <c r="N651" s="140"/>
      <c r="O651" s="140"/>
      <c r="P651" s="140"/>
      <c r="Q651" s="140"/>
      <c r="R651" s="140"/>
      <c r="S651" s="140"/>
      <c r="T651" s="140"/>
    </row>
    <row r="652" spans="1:20" ht="15" customHeight="1" x14ac:dyDescent="0.2">
      <c r="A652" s="141"/>
      <c r="B652" s="143"/>
      <c r="C652" s="180" t="s">
        <v>1398</v>
      </c>
      <c r="D652" s="180" t="s">
        <v>193</v>
      </c>
      <c r="E652" s="142">
        <v>1</v>
      </c>
      <c r="F652" s="144" t="str">
        <f>IF(AND(ISNA(VLOOKUP(D652,A:A,1,FALSE())),ISNA(VLOOKUP(D652,BaseType!A:A,1,FALSE())),D652&lt;&gt;"Struct"),"N","Y")</f>
        <v>Y</v>
      </c>
      <c r="G652" s="146"/>
      <c r="H652" s="141"/>
      <c r="I652" s="141"/>
      <c r="J652" s="141"/>
      <c r="K652" s="141"/>
      <c r="L652" s="141"/>
      <c r="M652" s="141"/>
      <c r="N652" s="140"/>
      <c r="O652" s="140"/>
      <c r="P652" s="140"/>
      <c r="Q652" s="140"/>
      <c r="R652" s="140"/>
      <c r="S652" s="140"/>
      <c r="T652" s="140"/>
    </row>
    <row r="653" spans="1:20" ht="15" customHeight="1" x14ac:dyDescent="0.2">
      <c r="A653" s="141"/>
      <c r="B653" s="143"/>
      <c r="C653" s="180" t="s">
        <v>1399</v>
      </c>
      <c r="D653" s="180" t="s">
        <v>193</v>
      </c>
      <c r="E653" s="142">
        <v>1</v>
      </c>
      <c r="F653" s="144" t="str">
        <f>IF(AND(ISNA(VLOOKUP(D653,A:A,1,FALSE())),ISNA(VLOOKUP(D653,BaseType!A:A,1,FALSE())),D653&lt;&gt;"Struct"),"N","Y")</f>
        <v>Y</v>
      </c>
      <c r="G653" s="146" t="s">
        <v>1400</v>
      </c>
      <c r="H653" s="141"/>
      <c r="I653" s="141"/>
      <c r="J653" s="141"/>
      <c r="K653" s="141"/>
      <c r="L653" s="141"/>
      <c r="M653" s="141"/>
      <c r="N653" s="140"/>
      <c r="O653" s="140"/>
      <c r="P653" s="140"/>
      <c r="Q653" s="140"/>
      <c r="R653" s="140"/>
      <c r="S653" s="140"/>
      <c r="T653" s="140"/>
    </row>
    <row r="654" spans="1:20" ht="15" customHeight="1" x14ac:dyDescent="0.2">
      <c r="A654" s="141"/>
      <c r="B654" s="143" t="str">
        <f>IF(ISBLANK(A654),"",IF(AND(ISNA(VLOOKUP(A654,Interface_Platform!E:E,1,FALSE())),ISNA(VLOOKUP(A654,D:D,1,FALSE()))),"N","Y"))</f>
        <v/>
      </c>
      <c r="C654" s="143" t="s">
        <v>1401</v>
      </c>
      <c r="D654" s="143" t="s">
        <v>193</v>
      </c>
      <c r="E654" s="142">
        <v>1</v>
      </c>
      <c r="F654" s="144" t="str">
        <f>IF(AND(ISNA(VLOOKUP(D654,A:A,1,FALSE())),ISNA(VLOOKUP(D654,BaseType!A:A,1,FALSE())),D654&lt;&gt;"Struct"),"N","Y")</f>
        <v>Y</v>
      </c>
      <c r="G654" s="146"/>
      <c r="H654" s="141"/>
      <c r="I654" s="141"/>
      <c r="J654" s="141"/>
      <c r="K654" s="141"/>
      <c r="L654" s="141"/>
      <c r="M654" s="141"/>
      <c r="N654" s="140"/>
      <c r="O654" s="140"/>
      <c r="P654" s="140"/>
      <c r="Q654" s="140"/>
      <c r="R654" s="140"/>
      <c r="S654" s="140"/>
      <c r="T654" s="140"/>
    </row>
    <row r="655" spans="1:20" ht="15" customHeight="1" x14ac:dyDescent="0.2">
      <c r="A655" s="141"/>
      <c r="B655" s="143" t="str">
        <f>IF(ISBLANK(A655),"",IF(AND(ISNA(VLOOKUP(A655,Interface_Platform!E:E,1,FALSE())),ISNA(VLOOKUP(A655,D:D,1,FALSE()))),"N","Y"))</f>
        <v/>
      </c>
      <c r="C655" s="143" t="s">
        <v>1402</v>
      </c>
      <c r="D655" s="143" t="s">
        <v>193</v>
      </c>
      <c r="E655" s="142">
        <v>1</v>
      </c>
      <c r="F655" s="144" t="str">
        <f>IF(AND(ISNA(VLOOKUP(D655,A:A,1,FALSE())),ISNA(VLOOKUP(D655,BaseType!A:A,1,FALSE())),D655&lt;&gt;"Struct"),"N","Y")</f>
        <v>Y</v>
      </c>
      <c r="G655" s="146"/>
      <c r="H655" s="141"/>
      <c r="I655" s="141"/>
      <c r="J655" s="141"/>
      <c r="K655" s="141"/>
      <c r="L655" s="141"/>
      <c r="M655" s="141"/>
      <c r="N655" s="140"/>
      <c r="O655" s="140"/>
      <c r="P655" s="140"/>
      <c r="Q655" s="140"/>
      <c r="R655" s="140"/>
      <c r="S655" s="140"/>
      <c r="T655" s="140"/>
    </row>
    <row r="656" spans="1:20" ht="15" customHeight="1" x14ac:dyDescent="0.2">
      <c r="A656" s="141"/>
      <c r="B656" s="143" t="str">
        <f>IF(ISBLANK(A656),"",IF(AND(ISNA(VLOOKUP(A656,Interface_Platform!E:E,1,FALSE())),ISNA(VLOOKUP(A656,D:D,1,FALSE()))),"N","Y"))</f>
        <v/>
      </c>
      <c r="C656" s="143" t="s">
        <v>1403</v>
      </c>
      <c r="D656" s="143" t="s">
        <v>193</v>
      </c>
      <c r="E656" s="142">
        <v>1</v>
      </c>
      <c r="F656" s="144" t="str">
        <f>IF(AND(ISNA(VLOOKUP(D656,A:A,1,FALSE())),ISNA(VLOOKUP(D656,BaseType!A:A,1,FALSE())),D656&lt;&gt;"Struct"),"N","Y")</f>
        <v>Y</v>
      </c>
      <c r="G656" s="146"/>
      <c r="H656" s="141"/>
      <c r="I656" s="141"/>
      <c r="J656" s="141"/>
      <c r="K656" s="141"/>
      <c r="L656" s="141"/>
      <c r="M656" s="141"/>
      <c r="N656" s="140"/>
      <c r="O656" s="140"/>
      <c r="P656" s="140"/>
      <c r="Q656" s="140"/>
      <c r="R656" s="140"/>
      <c r="S656" s="140"/>
      <c r="T656" s="140"/>
    </row>
    <row r="657" spans="1:20" ht="15" customHeight="1" x14ac:dyDescent="0.2">
      <c r="A657" s="141"/>
      <c r="B657" s="143" t="str">
        <f>IF(ISBLANK(A657),"",IF(AND(ISNA(VLOOKUP(A657,Interface_Platform!E:E,1,FALSE())),ISNA(VLOOKUP(A657,D:D,1,FALSE()))),"N","Y"))</f>
        <v/>
      </c>
      <c r="C657" s="143" t="s">
        <v>1404</v>
      </c>
      <c r="D657" s="143" t="s">
        <v>298</v>
      </c>
      <c r="E657" s="142">
        <v>1</v>
      </c>
      <c r="F657" s="144" t="str">
        <f>IF(AND(ISNA(VLOOKUP(D657,A:A,1,FALSE())),ISNA(VLOOKUP(D657,BaseType!A:A,1,FALSE())),D657&lt;&gt;"Struct"),"N","Y")</f>
        <v>Y</v>
      </c>
      <c r="G657" s="146"/>
      <c r="H657" s="141"/>
      <c r="I657" s="141"/>
      <c r="J657" s="141"/>
      <c r="K657" s="141"/>
      <c r="L657" s="141"/>
      <c r="M657" s="141"/>
      <c r="N657" s="140"/>
      <c r="O657" s="140"/>
      <c r="P657" s="140"/>
      <c r="Q657" s="140"/>
      <c r="R657" s="140"/>
      <c r="S657" s="140"/>
      <c r="T657" s="140"/>
    </row>
    <row r="658" spans="1:20" ht="15" customHeight="1" x14ac:dyDescent="0.2">
      <c r="A658" s="143" t="s">
        <v>1405</v>
      </c>
      <c r="B658" s="143" t="str">
        <f>IF(ISBLANK(A658),"",IF(AND(ISNA(VLOOKUP(A658,Interface_Platform!E:E,1,FALSE())),ISNA(VLOOKUP(A658,D:D,1,FALSE()))),"N","Y"))</f>
        <v>Y</v>
      </c>
      <c r="C658" s="75"/>
      <c r="D658" s="143" t="s">
        <v>484</v>
      </c>
      <c r="E658" s="40"/>
      <c r="F658" s="144" t="str">
        <f>IF(AND(ISNA(VLOOKUP(D658,A:A,1,FALSE())),ISNA(VLOOKUP(D658,BaseType!A:A,1,FALSE())),D658&lt;&gt;"Struct"),"N","Y")</f>
        <v>Y</v>
      </c>
      <c r="G658" s="146"/>
      <c r="H658" s="141"/>
      <c r="I658" s="141"/>
      <c r="J658" s="141"/>
      <c r="K658" s="141"/>
      <c r="L658" s="141"/>
      <c r="M658" s="141"/>
      <c r="N658" s="140"/>
      <c r="O658" s="140"/>
      <c r="P658" s="140"/>
      <c r="Q658" s="140"/>
      <c r="R658" s="140"/>
      <c r="S658" s="140"/>
      <c r="T658" s="140"/>
    </row>
    <row r="659" spans="1:20" ht="15" customHeight="1" x14ac:dyDescent="0.2">
      <c r="A659" s="141"/>
      <c r="B659" s="143" t="str">
        <f>IF(ISBLANK(A659),"",IF(AND(ISNA(VLOOKUP(A659,Interface_Platform!E:E,1,FALSE())),ISNA(VLOOKUP(A659,D:D,1,FALSE()))),"N","Y"))</f>
        <v/>
      </c>
      <c r="C659" s="143" t="s">
        <v>1406</v>
      </c>
      <c r="D659" s="143" t="s">
        <v>193</v>
      </c>
      <c r="E659" s="142">
        <v>1</v>
      </c>
      <c r="F659" s="144" t="str">
        <f>IF(AND(ISNA(VLOOKUP(D659,A:A,1,FALSE())),ISNA(VLOOKUP(D659,BaseType!A:A,1,FALSE())),D659&lt;&gt;"Struct"),"N","Y")</f>
        <v>Y</v>
      </c>
      <c r="G659" s="146"/>
      <c r="H659" s="141"/>
      <c r="I659" s="141"/>
      <c r="J659" s="141"/>
      <c r="K659" s="141"/>
      <c r="L659" s="141"/>
      <c r="M659" s="141"/>
      <c r="N659" s="140"/>
      <c r="O659" s="140"/>
      <c r="P659" s="140"/>
      <c r="Q659" s="140"/>
      <c r="R659" s="140"/>
      <c r="S659" s="140"/>
      <c r="T659" s="140"/>
    </row>
    <row r="660" spans="1:20" ht="15" customHeight="1" x14ac:dyDescent="0.2">
      <c r="A660" s="141"/>
      <c r="B660" s="143" t="str">
        <f>IF(ISBLANK(A660),"",IF(AND(ISNA(VLOOKUP(A660,Interface_Platform!E:E,1,FALSE())),ISNA(VLOOKUP(A660,D:D,1,FALSE()))),"N","Y"))</f>
        <v/>
      </c>
      <c r="C660" s="143" t="s">
        <v>1407</v>
      </c>
      <c r="D660" s="143" t="s">
        <v>193</v>
      </c>
      <c r="E660" s="142">
        <v>1</v>
      </c>
      <c r="F660" s="144" t="str">
        <f>IF(AND(ISNA(VLOOKUP(D660,A:A,1,FALSE())),ISNA(VLOOKUP(D660,BaseType!A:A,1,FALSE())),D660&lt;&gt;"Struct"),"N","Y")</f>
        <v>Y</v>
      </c>
      <c r="G660" s="146"/>
      <c r="H660" s="141"/>
      <c r="I660" s="141"/>
      <c r="J660" s="141"/>
      <c r="K660" s="141"/>
      <c r="L660" s="141"/>
      <c r="M660" s="141"/>
      <c r="N660" s="140"/>
      <c r="O660" s="140"/>
      <c r="P660" s="140"/>
      <c r="Q660" s="140"/>
      <c r="R660" s="140"/>
      <c r="S660" s="140"/>
      <c r="T660" s="140"/>
    </row>
    <row r="661" spans="1:20" ht="15" customHeight="1" x14ac:dyDescent="0.2">
      <c r="A661" s="141"/>
      <c r="B661" s="143" t="str">
        <f>IF(ISBLANK(A661),"",IF(AND(ISNA(VLOOKUP(A661,Interface_Platform!E:E,1,FALSE())),ISNA(VLOOKUP(A661,D:D,1,FALSE()))),"N","Y"))</f>
        <v/>
      </c>
      <c r="C661" s="143" t="s">
        <v>1408</v>
      </c>
      <c r="D661" s="143" t="s">
        <v>193</v>
      </c>
      <c r="E661" s="142">
        <v>1</v>
      </c>
      <c r="F661" s="144" t="str">
        <f>IF(AND(ISNA(VLOOKUP(D661,A:A,1,FALSE())),ISNA(VLOOKUP(D661,BaseType!A:A,1,FALSE())),D661&lt;&gt;"Struct"),"N","Y")</f>
        <v>Y</v>
      </c>
      <c r="G661" s="146"/>
      <c r="H661" s="141"/>
      <c r="I661" s="141"/>
      <c r="J661" s="141"/>
      <c r="K661" s="141"/>
      <c r="L661" s="141"/>
      <c r="M661" s="141"/>
      <c r="N661" s="140"/>
      <c r="O661" s="140"/>
      <c r="P661" s="140"/>
      <c r="Q661" s="140"/>
      <c r="R661" s="140"/>
      <c r="S661" s="140"/>
      <c r="T661" s="140"/>
    </row>
    <row r="662" spans="1:20" ht="15" customHeight="1" x14ac:dyDescent="0.2">
      <c r="A662" s="141"/>
      <c r="B662" s="143" t="str">
        <f>IF(ISBLANK(A662),"",IF(AND(ISNA(VLOOKUP(A662,Interface_Platform!E:E,1,FALSE())),ISNA(VLOOKUP(A662,D:D,1,FALSE()))),"N","Y"))</f>
        <v/>
      </c>
      <c r="C662" s="143" t="s">
        <v>1409</v>
      </c>
      <c r="D662" s="143" t="s">
        <v>225</v>
      </c>
      <c r="E662" s="142">
        <v>1</v>
      </c>
      <c r="F662" s="144" t="str">
        <f>IF(AND(ISNA(VLOOKUP(D662,A:A,1,FALSE())),ISNA(VLOOKUP(D662,BaseType!A:A,1,FALSE())),D662&lt;&gt;"Struct"),"N","Y")</f>
        <v>Y</v>
      </c>
      <c r="G662" s="146"/>
      <c r="H662" s="141"/>
      <c r="I662" s="141"/>
      <c r="J662" s="141"/>
      <c r="K662" s="141"/>
      <c r="L662" s="141"/>
      <c r="M662" s="141"/>
      <c r="N662" s="140"/>
      <c r="O662" s="140"/>
      <c r="P662" s="140"/>
      <c r="Q662" s="140"/>
      <c r="R662" s="140"/>
      <c r="S662" s="140"/>
      <c r="T662" s="140"/>
    </row>
    <row r="663" spans="1:20" ht="15" customHeight="1" x14ac:dyDescent="0.2">
      <c r="A663" s="141"/>
      <c r="B663" s="143" t="str">
        <f>IF(ISBLANK(A663),"",IF(AND(ISNA(VLOOKUP(A663,Interface_Platform!E:E,1,FALSE())),ISNA(VLOOKUP(A663,D:D,1,FALSE()))),"N","Y"))</f>
        <v/>
      </c>
      <c r="C663" s="143" t="s">
        <v>1410</v>
      </c>
      <c r="D663" s="143" t="s">
        <v>225</v>
      </c>
      <c r="E663" s="142">
        <v>1</v>
      </c>
      <c r="F663" s="144" t="str">
        <f>IF(AND(ISNA(VLOOKUP(D663,A:A,1,FALSE())),ISNA(VLOOKUP(D663,BaseType!A:A,1,FALSE())),D663&lt;&gt;"Struct"),"N","Y")</f>
        <v>Y</v>
      </c>
      <c r="G663" s="146"/>
      <c r="H663" s="141"/>
      <c r="I663" s="141"/>
      <c r="J663" s="141"/>
      <c r="K663" s="141"/>
      <c r="L663" s="141"/>
      <c r="M663" s="141"/>
      <c r="N663" s="140"/>
      <c r="O663" s="140"/>
      <c r="P663" s="140"/>
      <c r="Q663" s="140"/>
      <c r="R663" s="140"/>
      <c r="S663" s="140"/>
      <c r="T663" s="140"/>
    </row>
    <row r="664" spans="1:20" ht="15" customHeight="1" x14ac:dyDescent="0.2">
      <c r="A664" s="141"/>
      <c r="B664" s="143" t="str">
        <f>IF(ISBLANK(A664),"",IF(AND(ISNA(VLOOKUP(A664,Interface_Platform!E:E,1,FALSE())),ISNA(VLOOKUP(A664,D:D,1,FALSE()))),"N","Y"))</f>
        <v/>
      </c>
      <c r="C664" s="143" t="s">
        <v>1411</v>
      </c>
      <c r="D664" s="143" t="s">
        <v>193</v>
      </c>
      <c r="E664" s="142">
        <v>1</v>
      </c>
      <c r="F664" s="144" t="str">
        <f>IF(AND(ISNA(VLOOKUP(D664,A:A,1,FALSE())),ISNA(VLOOKUP(D664,BaseType!A:A,1,FALSE())),D664&lt;&gt;"Struct"),"N","Y")</f>
        <v>Y</v>
      </c>
      <c r="G664" s="146"/>
      <c r="H664" s="141"/>
      <c r="I664" s="141"/>
      <c r="J664" s="141"/>
      <c r="K664" s="141"/>
      <c r="L664" s="141"/>
      <c r="M664" s="141"/>
      <c r="N664" s="140"/>
      <c r="O664" s="140"/>
      <c r="P664" s="140"/>
      <c r="Q664" s="140"/>
      <c r="R664" s="140"/>
      <c r="S664" s="140"/>
      <c r="T664" s="140"/>
    </row>
    <row r="665" spans="1:20" ht="15" customHeight="1" x14ac:dyDescent="0.2">
      <c r="A665" s="141"/>
      <c r="B665" s="143" t="str">
        <f>IF(ISBLANK(A665),"",IF(AND(ISNA(VLOOKUP(A665,Interface_Platform!E:E,1,FALSE())),ISNA(VLOOKUP(A665,D:D,1,FALSE()))),"N","Y"))</f>
        <v/>
      </c>
      <c r="C665" s="143" t="s">
        <v>1412</v>
      </c>
      <c r="D665" s="143" t="s">
        <v>193</v>
      </c>
      <c r="E665" s="142">
        <v>1</v>
      </c>
      <c r="F665" s="144" t="str">
        <f>IF(AND(ISNA(VLOOKUP(D665,A:A,1,FALSE())),ISNA(VLOOKUP(D665,BaseType!A:A,1,FALSE())),D665&lt;&gt;"Struct"),"N","Y")</f>
        <v>Y</v>
      </c>
      <c r="G665" s="146"/>
      <c r="H665" s="141"/>
      <c r="I665" s="141"/>
      <c r="J665" s="141"/>
      <c r="K665" s="141"/>
      <c r="L665" s="141"/>
      <c r="M665" s="141"/>
      <c r="N665" s="140"/>
      <c r="O665" s="140"/>
      <c r="P665" s="140"/>
      <c r="Q665" s="140"/>
      <c r="R665" s="140"/>
      <c r="S665" s="140"/>
      <c r="T665" s="140"/>
    </row>
    <row r="666" spans="1:20" ht="15" customHeight="1" x14ac:dyDescent="0.2">
      <c r="A666" s="141"/>
      <c r="B666" s="143" t="str">
        <f>IF(ISBLANK(A666),"",IF(AND(ISNA(VLOOKUP(A666,Interface_Platform!E:E,1,FALSE())),ISNA(VLOOKUP(A666,D:D,1,FALSE()))),"N","Y"))</f>
        <v/>
      </c>
      <c r="C666" s="143" t="s">
        <v>1413</v>
      </c>
      <c r="D666" s="143" t="s">
        <v>193</v>
      </c>
      <c r="E666" s="142">
        <v>1</v>
      </c>
      <c r="F666" s="144" t="str">
        <f>IF(AND(ISNA(VLOOKUP(D666,A:A,1,FALSE())),ISNA(VLOOKUP(D666,BaseType!A:A,1,FALSE())),D666&lt;&gt;"Struct"),"N","Y")</f>
        <v>Y</v>
      </c>
      <c r="G666" s="146"/>
      <c r="H666" s="141"/>
      <c r="I666" s="141"/>
      <c r="J666" s="141"/>
      <c r="K666" s="141"/>
      <c r="L666" s="141"/>
      <c r="M666" s="141"/>
      <c r="N666" s="140"/>
      <c r="O666" s="140"/>
      <c r="P666" s="140"/>
      <c r="Q666" s="140"/>
      <c r="R666" s="140"/>
      <c r="S666" s="140"/>
      <c r="T666" s="140"/>
    </row>
    <row r="667" spans="1:20" ht="15" customHeight="1" x14ac:dyDescent="0.2">
      <c r="A667" s="141"/>
      <c r="B667" s="143" t="str">
        <f>IF(ISBLANK(A667),"",IF(AND(ISNA(VLOOKUP(A667,Interface_Platform!E:E,1,FALSE())),ISNA(VLOOKUP(A667,D:D,1,FALSE()))),"N","Y"))</f>
        <v/>
      </c>
      <c r="C667" s="143" t="s">
        <v>1414</v>
      </c>
      <c r="D667" s="143" t="s">
        <v>193</v>
      </c>
      <c r="E667" s="142">
        <v>1</v>
      </c>
      <c r="F667" s="144" t="str">
        <f>IF(AND(ISNA(VLOOKUP(D667,A:A,1,FALSE())),ISNA(VLOOKUP(D667,BaseType!A:A,1,FALSE())),D667&lt;&gt;"Struct"),"N","Y")</f>
        <v>Y</v>
      </c>
      <c r="G667" s="146"/>
      <c r="H667" s="141"/>
      <c r="I667" s="141"/>
      <c r="J667" s="141"/>
      <c r="K667" s="141"/>
      <c r="L667" s="141"/>
      <c r="M667" s="141"/>
      <c r="N667" s="140"/>
      <c r="O667" s="140"/>
      <c r="P667" s="140"/>
      <c r="Q667" s="140"/>
      <c r="R667" s="140"/>
      <c r="S667" s="140"/>
      <c r="T667" s="140"/>
    </row>
    <row r="668" spans="1:20" ht="15" customHeight="1" x14ac:dyDescent="0.2">
      <c r="A668" s="141"/>
      <c r="B668" s="143"/>
      <c r="C668" s="180" t="s">
        <v>1415</v>
      </c>
      <c r="D668" s="143" t="s">
        <v>193</v>
      </c>
      <c r="E668" s="142">
        <v>1</v>
      </c>
      <c r="F668" s="144" t="str">
        <f>IF(AND(ISNA(VLOOKUP(D668,A:A,1,FALSE())),ISNA(VLOOKUP(D668,BaseType!A:A,1,FALSE())),D668&lt;&gt;"Struct"),"N","Y")</f>
        <v>Y</v>
      </c>
      <c r="G668" s="146" t="s">
        <v>1416</v>
      </c>
      <c r="H668" s="141"/>
      <c r="I668" s="141"/>
      <c r="J668" s="141"/>
      <c r="K668" s="141"/>
      <c r="L668" s="141"/>
      <c r="M668" s="141"/>
      <c r="N668" s="140"/>
      <c r="O668" s="140"/>
      <c r="P668" s="140"/>
      <c r="Q668" s="140"/>
      <c r="R668" s="140"/>
      <c r="S668" s="140"/>
      <c r="T668" s="140"/>
    </row>
    <row r="669" spans="1:20" ht="15" customHeight="1" x14ac:dyDescent="0.2">
      <c r="A669" s="141"/>
      <c r="B669" s="143" t="str">
        <f>IF(ISBLANK(A669),"",IF(AND(ISNA(VLOOKUP(A669,Interface_Platform!E:E,1,FALSE())),ISNA(VLOOKUP(A669,D:D,1,FALSE()))),"N","Y"))</f>
        <v/>
      </c>
      <c r="C669" s="143" t="s">
        <v>1417</v>
      </c>
      <c r="D669" s="143" t="s">
        <v>193</v>
      </c>
      <c r="E669" s="142">
        <v>1</v>
      </c>
      <c r="F669" s="144" t="str">
        <f>IF(AND(ISNA(VLOOKUP(D669,A:A,1,FALSE())),ISNA(VLOOKUP(D669,BaseType!A:A,1,FALSE())),D669&lt;&gt;"Struct"),"N","Y")</f>
        <v>Y</v>
      </c>
      <c r="G669" s="146"/>
      <c r="H669" s="141"/>
      <c r="I669" s="141"/>
      <c r="J669" s="141"/>
      <c r="K669" s="141"/>
      <c r="L669" s="141"/>
      <c r="M669" s="141"/>
      <c r="N669" s="140"/>
      <c r="O669" s="140"/>
      <c r="P669" s="140"/>
      <c r="Q669" s="140"/>
      <c r="R669" s="140"/>
      <c r="S669" s="140"/>
      <c r="T669" s="140"/>
    </row>
    <row r="670" spans="1:20" ht="15" customHeight="1" x14ac:dyDescent="0.2">
      <c r="A670" s="141"/>
      <c r="B670" s="143" t="str">
        <f>IF(ISBLANK(A670),"",IF(AND(ISNA(VLOOKUP(A670,Interface_Platform!E:E,1,FALSE())),ISNA(VLOOKUP(A670,D:D,1,FALSE()))),"N","Y"))</f>
        <v/>
      </c>
      <c r="C670" s="143" t="s">
        <v>1418</v>
      </c>
      <c r="D670" s="143" t="s">
        <v>193</v>
      </c>
      <c r="E670" s="142">
        <v>1</v>
      </c>
      <c r="F670" s="144" t="str">
        <f>IF(AND(ISNA(VLOOKUP(D670,A:A,1,FALSE())),ISNA(VLOOKUP(D670,BaseType!A:A,1,FALSE())),D670&lt;&gt;"Struct"),"N","Y")</f>
        <v>Y</v>
      </c>
      <c r="G670" s="146"/>
      <c r="H670" s="141"/>
      <c r="I670" s="141"/>
      <c r="J670" s="141"/>
      <c r="K670" s="141"/>
      <c r="L670" s="141"/>
      <c r="M670" s="141"/>
      <c r="N670" s="140"/>
      <c r="O670" s="140"/>
      <c r="P670" s="140"/>
      <c r="Q670" s="140"/>
      <c r="R670" s="140"/>
      <c r="S670" s="140"/>
      <c r="T670" s="140"/>
    </row>
    <row r="671" spans="1:20" ht="15" customHeight="1" x14ac:dyDescent="0.2">
      <c r="A671" s="141"/>
      <c r="B671" s="143" t="str">
        <f>IF(ISBLANK(A671),"",IF(AND(ISNA(VLOOKUP(A671,Interface_Platform!E:E,1,FALSE())),ISNA(VLOOKUP(A671,D:D,1,FALSE()))),"N","Y"))</f>
        <v/>
      </c>
      <c r="C671" s="143" t="s">
        <v>1419</v>
      </c>
      <c r="D671" s="143" t="s">
        <v>225</v>
      </c>
      <c r="E671" s="142">
        <v>1</v>
      </c>
      <c r="F671" s="144" t="str">
        <f>IF(AND(ISNA(VLOOKUP(D671,A:A,1,FALSE())),ISNA(VLOOKUP(D671,BaseType!A:A,1,FALSE())),D671&lt;&gt;"Struct"),"N","Y")</f>
        <v>Y</v>
      </c>
      <c r="G671" s="146"/>
      <c r="H671" s="141"/>
      <c r="I671" s="141"/>
      <c r="J671" s="141"/>
      <c r="K671" s="141"/>
      <c r="L671" s="141"/>
      <c r="M671" s="141"/>
      <c r="N671" s="140"/>
      <c r="O671" s="140"/>
      <c r="P671" s="140"/>
      <c r="Q671" s="140"/>
      <c r="R671" s="140"/>
      <c r="S671" s="140"/>
      <c r="T671" s="140"/>
    </row>
    <row r="672" spans="1:20" ht="15" customHeight="1" x14ac:dyDescent="0.2">
      <c r="A672" s="141"/>
      <c r="B672" s="143" t="str">
        <f>IF(ISBLANK(A672),"",IF(AND(ISNA(VLOOKUP(A672,Interface_Platform!E:E,1,FALSE())),ISNA(VLOOKUP(A672,D:D,1,FALSE()))),"N","Y"))</f>
        <v/>
      </c>
      <c r="C672" s="143" t="s">
        <v>1420</v>
      </c>
      <c r="D672" s="143" t="s">
        <v>225</v>
      </c>
      <c r="E672" s="142">
        <v>1</v>
      </c>
      <c r="F672" s="144" t="str">
        <f>IF(AND(ISNA(VLOOKUP(D672,A:A,1,FALSE())),ISNA(VLOOKUP(D672,BaseType!A:A,1,FALSE())),D672&lt;&gt;"Struct"),"N","Y")</f>
        <v>Y</v>
      </c>
      <c r="G672" s="146"/>
      <c r="H672" s="141"/>
      <c r="I672" s="141"/>
      <c r="J672" s="141"/>
      <c r="K672" s="141"/>
      <c r="L672" s="141"/>
      <c r="M672" s="141"/>
      <c r="N672" s="140"/>
      <c r="O672" s="140"/>
      <c r="P672" s="140"/>
      <c r="Q672" s="140"/>
      <c r="R672" s="140"/>
      <c r="S672" s="140"/>
      <c r="T672" s="140"/>
    </row>
    <row r="673" spans="1:20" ht="15" customHeight="1" x14ac:dyDescent="0.2">
      <c r="A673" s="141"/>
      <c r="B673" s="143" t="str">
        <f>IF(ISBLANK(A673),"",IF(AND(ISNA(VLOOKUP(A673,Interface_Platform!E:E,1,FALSE())),ISNA(VLOOKUP(A673,D:D,1,FALSE()))),"N","Y"))</f>
        <v/>
      </c>
      <c r="C673" s="143" t="s">
        <v>1421</v>
      </c>
      <c r="D673" s="143" t="s">
        <v>193</v>
      </c>
      <c r="E673" s="142">
        <v>1</v>
      </c>
      <c r="F673" s="144" t="str">
        <f>IF(AND(ISNA(VLOOKUP(D673,A:A,1,FALSE())),ISNA(VLOOKUP(D673,BaseType!A:A,1,FALSE())),D673&lt;&gt;"Struct"),"N","Y")</f>
        <v>Y</v>
      </c>
      <c r="G673" s="146"/>
      <c r="H673" s="141"/>
      <c r="I673" s="141"/>
      <c r="J673" s="141"/>
      <c r="K673" s="141"/>
      <c r="L673" s="141"/>
      <c r="M673" s="141"/>
      <c r="N673" s="140"/>
      <c r="O673" s="140"/>
      <c r="P673" s="140"/>
      <c r="Q673" s="140"/>
      <c r="R673" s="140"/>
      <c r="S673" s="140"/>
      <c r="T673" s="140"/>
    </row>
    <row r="674" spans="1:20" ht="15" customHeight="1" x14ac:dyDescent="0.2">
      <c r="A674" s="141"/>
      <c r="B674" s="143" t="str">
        <f>IF(ISBLANK(A674),"",IF(AND(ISNA(VLOOKUP(A674,Interface_Platform!E:E,1,FALSE())),ISNA(VLOOKUP(A674,D:D,1,FALSE()))),"N","Y"))</f>
        <v/>
      </c>
      <c r="C674" s="143" t="s">
        <v>1422</v>
      </c>
      <c r="D674" s="143" t="s">
        <v>193</v>
      </c>
      <c r="E674" s="142">
        <v>1</v>
      </c>
      <c r="F674" s="144" t="str">
        <f>IF(AND(ISNA(VLOOKUP(D674,A:A,1,FALSE())),ISNA(VLOOKUP(D674,BaseType!A:A,1,FALSE())),D674&lt;&gt;"Struct"),"N","Y")</f>
        <v>Y</v>
      </c>
      <c r="G674" s="146"/>
      <c r="H674" s="141"/>
      <c r="I674" s="141"/>
      <c r="J674" s="141"/>
      <c r="K674" s="141"/>
      <c r="L674" s="141"/>
      <c r="M674" s="141"/>
      <c r="N674" s="140"/>
      <c r="O674" s="140"/>
      <c r="P674" s="140"/>
      <c r="Q674" s="140"/>
      <c r="R674" s="140"/>
      <c r="S674" s="140"/>
      <c r="T674" s="140"/>
    </row>
    <row r="675" spans="1:20" ht="15" customHeight="1" x14ac:dyDescent="0.2">
      <c r="A675" s="141"/>
      <c r="B675" s="143" t="str">
        <f>IF(ISBLANK(A675),"",IF(AND(ISNA(VLOOKUP(A675,Interface_Platform!E:E,1,FALSE())),ISNA(VLOOKUP(A675,D:D,1,FALSE()))),"N","Y"))</f>
        <v/>
      </c>
      <c r="C675" s="143" t="s">
        <v>1423</v>
      </c>
      <c r="D675" s="143" t="s">
        <v>193</v>
      </c>
      <c r="E675" s="142">
        <v>1</v>
      </c>
      <c r="F675" s="144" t="str">
        <f>IF(AND(ISNA(VLOOKUP(D675,A:A,1,FALSE())),ISNA(VLOOKUP(D675,BaseType!A:A,1,FALSE())),D675&lt;&gt;"Struct"),"N","Y")</f>
        <v>Y</v>
      </c>
      <c r="G675" s="146"/>
      <c r="H675" s="141"/>
      <c r="I675" s="141"/>
      <c r="J675" s="141"/>
      <c r="K675" s="141"/>
      <c r="L675" s="141"/>
      <c r="M675" s="141"/>
      <c r="N675" s="140"/>
      <c r="O675" s="140"/>
      <c r="P675" s="140"/>
      <c r="Q675" s="140"/>
      <c r="R675" s="140"/>
      <c r="S675" s="140"/>
      <c r="T675" s="140"/>
    </row>
    <row r="676" spans="1:20" ht="15" customHeight="1" x14ac:dyDescent="0.2">
      <c r="A676" s="141"/>
      <c r="B676" s="143" t="str">
        <f>IF(ISBLANK(A676),"",IF(AND(ISNA(VLOOKUP(A676,Interface_Platform!E:E,1,FALSE())),ISNA(VLOOKUP(A676,D:D,1,FALSE()))),"N","Y"))</f>
        <v/>
      </c>
      <c r="C676" s="143" t="s">
        <v>1424</v>
      </c>
      <c r="D676" s="143" t="s">
        <v>193</v>
      </c>
      <c r="E676" s="142">
        <v>1</v>
      </c>
      <c r="F676" s="144" t="str">
        <f>IF(AND(ISNA(VLOOKUP(D676,A:A,1,FALSE())),ISNA(VLOOKUP(D676,BaseType!A:A,1,FALSE())),D676&lt;&gt;"Struct"),"N","Y")</f>
        <v>Y</v>
      </c>
      <c r="G676" s="146"/>
      <c r="H676" s="141"/>
      <c r="I676" s="141"/>
      <c r="J676" s="141"/>
      <c r="K676" s="141"/>
      <c r="L676" s="141"/>
      <c r="M676" s="141"/>
      <c r="N676" s="140"/>
      <c r="O676" s="140"/>
      <c r="P676" s="140"/>
      <c r="Q676" s="140"/>
      <c r="R676" s="140"/>
      <c r="S676" s="140"/>
      <c r="T676" s="140"/>
    </row>
    <row r="677" spans="1:20" ht="15" customHeight="1" x14ac:dyDescent="0.2">
      <c r="A677" s="141"/>
      <c r="B677" s="143" t="str">
        <f>IF(ISBLANK(A677),"",IF(AND(ISNA(VLOOKUP(A677,Interface_Platform!E:E,1,FALSE())),ISNA(VLOOKUP(A677,D:D,1,FALSE()))),"N","Y"))</f>
        <v/>
      </c>
      <c r="C677" s="143" t="s">
        <v>1425</v>
      </c>
      <c r="D677" s="143" t="s">
        <v>193</v>
      </c>
      <c r="E677" s="142">
        <v>1</v>
      </c>
      <c r="F677" s="144" t="str">
        <f>IF(AND(ISNA(VLOOKUP(D677,A:A,1,FALSE())),ISNA(VLOOKUP(D677,BaseType!A:A,1,FALSE())),D677&lt;&gt;"Struct"),"N","Y")</f>
        <v>Y</v>
      </c>
      <c r="G677" s="146"/>
      <c r="H677" s="141"/>
      <c r="I677" s="141"/>
      <c r="J677" s="141"/>
      <c r="K677" s="141"/>
      <c r="L677" s="141"/>
      <c r="M677" s="141"/>
      <c r="N677" s="140"/>
      <c r="O677" s="140"/>
      <c r="P677" s="140"/>
      <c r="Q677" s="140"/>
      <c r="R677" s="140"/>
      <c r="S677" s="140"/>
      <c r="T677" s="140"/>
    </row>
    <row r="678" spans="1:20" ht="15" customHeight="1" x14ac:dyDescent="0.2">
      <c r="A678" s="141"/>
      <c r="B678" s="143" t="str">
        <f>IF(ISBLANK(A678),"",IF(AND(ISNA(VLOOKUP(A678,Interface_Platform!E:E,1,FALSE())),ISNA(VLOOKUP(A678,D:D,1,FALSE()))),"N","Y"))</f>
        <v/>
      </c>
      <c r="C678" s="143" t="s">
        <v>1426</v>
      </c>
      <c r="D678" s="143" t="s">
        <v>193</v>
      </c>
      <c r="E678" s="142">
        <v>1</v>
      </c>
      <c r="F678" s="144" t="str">
        <f>IF(AND(ISNA(VLOOKUP(D678,A:A,1,FALSE())),ISNA(VLOOKUP(D678,BaseType!A:A,1,FALSE())),D678&lt;&gt;"Struct"),"N","Y")</f>
        <v>Y</v>
      </c>
      <c r="G678" s="146"/>
      <c r="H678" s="141"/>
      <c r="I678" s="141"/>
      <c r="J678" s="141"/>
      <c r="K678" s="141"/>
      <c r="L678" s="141"/>
      <c r="M678" s="141"/>
      <c r="N678" s="140"/>
      <c r="O678" s="140"/>
      <c r="P678" s="140"/>
      <c r="Q678" s="140"/>
      <c r="R678" s="140"/>
      <c r="S678" s="140"/>
      <c r="T678" s="140"/>
    </row>
    <row r="679" spans="1:20" ht="15" customHeight="1" x14ac:dyDescent="0.2">
      <c r="A679" s="141"/>
      <c r="B679" s="143" t="str">
        <f>IF(ISBLANK(A679),"",IF(AND(ISNA(VLOOKUP(A679,Interface_Platform!E:E,1,FALSE())),ISNA(VLOOKUP(A679,D:D,1,FALSE()))),"N","Y"))</f>
        <v/>
      </c>
      <c r="C679" s="143" t="s">
        <v>1427</v>
      </c>
      <c r="D679" s="143" t="s">
        <v>225</v>
      </c>
      <c r="E679" s="142">
        <v>1</v>
      </c>
      <c r="F679" s="144" t="str">
        <f>IF(AND(ISNA(VLOOKUP(D679,A:A,1,FALSE())),ISNA(VLOOKUP(D679,BaseType!A:A,1,FALSE())),D679&lt;&gt;"Struct"),"N","Y")</f>
        <v>Y</v>
      </c>
      <c r="G679" s="146"/>
      <c r="H679" s="141"/>
      <c r="I679" s="141"/>
      <c r="J679" s="141"/>
      <c r="K679" s="141"/>
      <c r="L679" s="141"/>
      <c r="M679" s="141"/>
      <c r="N679" s="140"/>
      <c r="O679" s="140"/>
      <c r="P679" s="140"/>
      <c r="Q679" s="140"/>
      <c r="R679" s="140"/>
      <c r="S679" s="140"/>
      <c r="T679" s="140"/>
    </row>
    <row r="680" spans="1:20" ht="15" customHeight="1" x14ac:dyDescent="0.2">
      <c r="A680" s="141"/>
      <c r="B680" s="143" t="str">
        <f>IF(ISBLANK(A680),"",IF(AND(ISNA(VLOOKUP(A680,Interface_Platform!E:E,1,FALSE())),ISNA(VLOOKUP(A680,D:D,1,FALSE()))),"N","Y"))</f>
        <v/>
      </c>
      <c r="C680" s="143" t="s">
        <v>1428</v>
      </c>
      <c r="D680" s="143" t="s">
        <v>225</v>
      </c>
      <c r="E680" s="142">
        <v>1</v>
      </c>
      <c r="F680" s="144" t="str">
        <f>IF(AND(ISNA(VLOOKUP(D680,A:A,1,FALSE())),ISNA(VLOOKUP(D680,BaseType!A:A,1,FALSE())),D680&lt;&gt;"Struct"),"N","Y")</f>
        <v>Y</v>
      </c>
      <c r="G680" s="146"/>
      <c r="H680" s="141"/>
      <c r="I680" s="141"/>
      <c r="J680" s="141"/>
      <c r="K680" s="141"/>
      <c r="L680" s="141"/>
      <c r="M680" s="141"/>
      <c r="N680" s="140"/>
      <c r="O680" s="140"/>
      <c r="P680" s="140"/>
      <c r="Q680" s="140"/>
      <c r="R680" s="140"/>
      <c r="S680" s="140"/>
      <c r="T680" s="140"/>
    </row>
    <row r="681" spans="1:20" ht="15" customHeight="1" x14ac:dyDescent="0.2">
      <c r="A681" s="141"/>
      <c r="B681" s="143" t="str">
        <f>IF(ISBLANK(A681),"",IF(AND(ISNA(VLOOKUP(A681,Interface_Platform!E:E,1,FALSE())),ISNA(VLOOKUP(A681,D:D,1,FALSE()))),"N","Y"))</f>
        <v/>
      </c>
      <c r="C681" s="143" t="s">
        <v>1429</v>
      </c>
      <c r="D681" s="143" t="s">
        <v>193</v>
      </c>
      <c r="E681" s="142">
        <v>1</v>
      </c>
      <c r="F681" s="144" t="str">
        <f>IF(AND(ISNA(VLOOKUP(D681,A:A,1,FALSE())),ISNA(VLOOKUP(D681,BaseType!A:A,1,FALSE())),D681&lt;&gt;"Struct"),"N","Y")</f>
        <v>Y</v>
      </c>
      <c r="G681" s="146"/>
      <c r="H681" s="141"/>
      <c r="I681" s="141"/>
      <c r="J681" s="141"/>
      <c r="K681" s="141"/>
      <c r="L681" s="141"/>
      <c r="M681" s="141"/>
      <c r="N681" s="140"/>
      <c r="O681" s="140"/>
      <c r="P681" s="140"/>
      <c r="Q681" s="140"/>
      <c r="R681" s="140"/>
      <c r="S681" s="140"/>
      <c r="T681" s="140"/>
    </row>
    <row r="682" spans="1:20" ht="15" customHeight="1" x14ac:dyDescent="0.2">
      <c r="A682" s="141"/>
      <c r="B682" s="143" t="str">
        <f>IF(ISBLANK(A682),"",IF(AND(ISNA(VLOOKUP(A682,Interface_Platform!E:E,1,FALSE())),ISNA(VLOOKUP(A682,D:D,1,FALSE()))),"N","Y"))</f>
        <v/>
      </c>
      <c r="C682" s="143" t="s">
        <v>1430</v>
      </c>
      <c r="D682" s="143" t="s">
        <v>193</v>
      </c>
      <c r="E682" s="142">
        <v>1</v>
      </c>
      <c r="F682" s="144" t="str">
        <f>IF(AND(ISNA(VLOOKUP(D682,A:A,1,FALSE())),ISNA(VLOOKUP(D682,BaseType!A:A,1,FALSE())),D682&lt;&gt;"Struct"),"N","Y")</f>
        <v>Y</v>
      </c>
      <c r="G682" s="146"/>
      <c r="H682" s="141"/>
      <c r="I682" s="141"/>
      <c r="J682" s="141"/>
      <c r="K682" s="141"/>
      <c r="L682" s="141"/>
      <c r="M682" s="141"/>
      <c r="N682" s="140"/>
      <c r="O682" s="140"/>
      <c r="P682" s="140"/>
      <c r="Q682" s="140"/>
      <c r="R682" s="140"/>
      <c r="S682" s="140"/>
      <c r="T682" s="140"/>
    </row>
    <row r="683" spans="1:20" ht="15" customHeight="1" x14ac:dyDescent="0.2">
      <c r="A683" s="141"/>
      <c r="B683" s="143" t="str">
        <f>IF(ISBLANK(A683),"",IF(AND(ISNA(VLOOKUP(A683,Interface_Platform!E:E,1,FALSE())),ISNA(VLOOKUP(A683,D:D,1,FALSE()))),"N","Y"))</f>
        <v/>
      </c>
      <c r="C683" s="143" t="s">
        <v>1431</v>
      </c>
      <c r="D683" s="143" t="s">
        <v>193</v>
      </c>
      <c r="E683" s="142">
        <v>1</v>
      </c>
      <c r="F683" s="144" t="str">
        <f>IF(AND(ISNA(VLOOKUP(D683,A:A,1,FALSE())),ISNA(VLOOKUP(D683,BaseType!A:A,1,FALSE())),D683&lt;&gt;"Struct"),"N","Y")</f>
        <v>Y</v>
      </c>
      <c r="G683" s="146"/>
      <c r="H683" s="141"/>
      <c r="I683" s="141"/>
      <c r="J683" s="141"/>
      <c r="K683" s="141"/>
      <c r="L683" s="141"/>
      <c r="M683" s="141"/>
      <c r="N683" s="140"/>
      <c r="O683" s="140"/>
      <c r="P683" s="140"/>
      <c r="Q683" s="140"/>
      <c r="R683" s="140"/>
      <c r="S683" s="140"/>
      <c r="T683" s="140"/>
    </row>
    <row r="684" spans="1:20" ht="15" customHeight="1" x14ac:dyDescent="0.2">
      <c r="A684" s="141"/>
      <c r="B684" s="143" t="str">
        <f>IF(ISBLANK(A684),"",IF(AND(ISNA(VLOOKUP(A684,Interface_Platform!E:E,1,FALSE())),ISNA(VLOOKUP(A684,D:D,1,FALSE()))),"N","Y"))</f>
        <v/>
      </c>
      <c r="C684" s="143" t="s">
        <v>1432</v>
      </c>
      <c r="D684" s="143" t="s">
        <v>193</v>
      </c>
      <c r="E684" s="142">
        <v>1</v>
      </c>
      <c r="F684" s="144" t="str">
        <f>IF(AND(ISNA(VLOOKUP(D684,A:A,1,FALSE())),ISNA(VLOOKUP(D684,BaseType!A:A,1,FALSE())),D684&lt;&gt;"Struct"),"N","Y")</f>
        <v>Y</v>
      </c>
      <c r="G684" s="146"/>
      <c r="H684" s="141"/>
      <c r="I684" s="141"/>
      <c r="J684" s="141"/>
      <c r="K684" s="141"/>
      <c r="L684" s="141"/>
      <c r="M684" s="141"/>
      <c r="N684" s="140"/>
      <c r="O684" s="140"/>
      <c r="P684" s="140"/>
      <c r="Q684" s="140"/>
      <c r="R684" s="140"/>
      <c r="S684" s="140"/>
      <c r="T684" s="140"/>
    </row>
    <row r="685" spans="1:20" ht="15" customHeight="1" x14ac:dyDescent="0.2">
      <c r="A685" s="141"/>
      <c r="B685" s="143" t="str">
        <f>IF(ISBLANK(A685),"",IF(AND(ISNA(VLOOKUP(A685,Interface_Platform!E:E,1,FALSE())),ISNA(VLOOKUP(A685,D:D,1,FALSE()))),"N","Y"))</f>
        <v/>
      </c>
      <c r="C685" s="143" t="s">
        <v>1433</v>
      </c>
      <c r="D685" s="143" t="s">
        <v>193</v>
      </c>
      <c r="E685" s="142">
        <v>1</v>
      </c>
      <c r="F685" s="144" t="str">
        <f>IF(AND(ISNA(VLOOKUP(D685,A:A,1,FALSE())),ISNA(VLOOKUP(D685,BaseType!A:A,1,FALSE())),D685&lt;&gt;"Struct"),"N","Y")</f>
        <v>Y</v>
      </c>
      <c r="G685" s="146"/>
      <c r="H685" s="141"/>
      <c r="I685" s="141"/>
      <c r="J685" s="141"/>
      <c r="K685" s="141"/>
      <c r="L685" s="141"/>
      <c r="M685" s="141"/>
      <c r="N685" s="140"/>
      <c r="O685" s="140"/>
      <c r="P685" s="140"/>
      <c r="Q685" s="140"/>
      <c r="R685" s="140"/>
      <c r="S685" s="140"/>
      <c r="T685" s="140"/>
    </row>
    <row r="686" spans="1:20" ht="15" customHeight="1" x14ac:dyDescent="0.2">
      <c r="A686" s="141"/>
      <c r="B686" s="143" t="str">
        <f>IF(ISBLANK(A686),"",IF(AND(ISNA(VLOOKUP(A686,Interface_Platform!E:E,1,FALSE())),ISNA(VLOOKUP(A686,D:D,1,FALSE()))),"N","Y"))</f>
        <v/>
      </c>
      <c r="C686" s="143" t="s">
        <v>1434</v>
      </c>
      <c r="D686" s="143" t="s">
        <v>193</v>
      </c>
      <c r="E686" s="142">
        <v>1</v>
      </c>
      <c r="F686" s="144" t="str">
        <f>IF(AND(ISNA(VLOOKUP(D686,A:A,1,FALSE())),ISNA(VLOOKUP(D686,BaseType!A:A,1,FALSE())),D686&lt;&gt;"Struct"),"N","Y")</f>
        <v>Y</v>
      </c>
      <c r="G686" s="146"/>
      <c r="H686" s="141"/>
      <c r="I686" s="141"/>
      <c r="J686" s="141"/>
      <c r="K686" s="141"/>
      <c r="L686" s="141"/>
      <c r="M686" s="141"/>
      <c r="N686" s="140"/>
      <c r="O686" s="140"/>
      <c r="P686" s="140"/>
      <c r="Q686" s="140"/>
      <c r="R686" s="140"/>
      <c r="S686" s="140"/>
      <c r="T686" s="140"/>
    </row>
    <row r="687" spans="1:20" ht="15" customHeight="1" x14ac:dyDescent="0.2">
      <c r="A687" s="141"/>
      <c r="B687" s="143" t="str">
        <f>IF(ISBLANK(A687),"",IF(AND(ISNA(VLOOKUP(A687,Interface_Platform!E:E,1,FALSE())),ISNA(VLOOKUP(A687,D:D,1,FALSE()))),"N","Y"))</f>
        <v/>
      </c>
      <c r="C687" s="143" t="s">
        <v>1435</v>
      </c>
      <c r="D687" s="143" t="s">
        <v>193</v>
      </c>
      <c r="E687" s="142">
        <v>1</v>
      </c>
      <c r="F687" s="144" t="str">
        <f>IF(AND(ISNA(VLOOKUP(D687,A:A,1,FALSE())),ISNA(VLOOKUP(D687,BaseType!A:A,1,FALSE())),D687&lt;&gt;"Struct"),"N","Y")</f>
        <v>Y</v>
      </c>
      <c r="G687" s="146"/>
      <c r="H687" s="141"/>
      <c r="I687" s="141"/>
      <c r="J687" s="141"/>
      <c r="K687" s="141"/>
      <c r="L687" s="141"/>
      <c r="M687" s="141"/>
      <c r="N687" s="140"/>
      <c r="O687" s="140"/>
      <c r="P687" s="140"/>
      <c r="Q687" s="140"/>
      <c r="R687" s="140"/>
      <c r="S687" s="140"/>
      <c r="T687" s="140"/>
    </row>
    <row r="688" spans="1:20" ht="15" customHeight="1" x14ac:dyDescent="0.2">
      <c r="A688" s="141"/>
      <c r="B688" s="143" t="str">
        <f>IF(ISBLANK(A688),"",IF(AND(ISNA(VLOOKUP(A688,Interface_Platform!E:E,1,FALSE())),ISNA(VLOOKUP(A688,D:D,1,FALSE()))),"N","Y"))</f>
        <v/>
      </c>
      <c r="C688" s="143" t="s">
        <v>1436</v>
      </c>
      <c r="D688" s="143" t="s">
        <v>225</v>
      </c>
      <c r="E688" s="142">
        <v>1</v>
      </c>
      <c r="F688" s="144" t="str">
        <f>IF(AND(ISNA(VLOOKUP(D688,A:A,1,FALSE())),ISNA(VLOOKUP(D688,BaseType!A:A,1,FALSE())),D688&lt;&gt;"Struct"),"N","Y")</f>
        <v>Y</v>
      </c>
      <c r="G688" s="146"/>
      <c r="H688" s="141"/>
      <c r="I688" s="141"/>
      <c r="J688" s="141"/>
      <c r="K688" s="141"/>
      <c r="L688" s="141"/>
      <c r="M688" s="141"/>
      <c r="N688" s="140"/>
      <c r="O688" s="140"/>
      <c r="P688" s="140"/>
      <c r="Q688" s="140"/>
      <c r="R688" s="140"/>
      <c r="S688" s="140"/>
      <c r="T688" s="140"/>
    </row>
    <row r="689" spans="1:20" ht="15" customHeight="1" x14ac:dyDescent="0.2">
      <c r="A689" s="141"/>
      <c r="B689" s="143" t="str">
        <f>IF(ISBLANK(A689),"",IF(AND(ISNA(VLOOKUP(A689,Interface_Platform!E:E,1,FALSE())),ISNA(VLOOKUP(A689,D:D,1,FALSE()))),"N","Y"))</f>
        <v/>
      </c>
      <c r="C689" s="143" t="s">
        <v>1437</v>
      </c>
      <c r="D689" s="143" t="s">
        <v>225</v>
      </c>
      <c r="E689" s="142">
        <v>1</v>
      </c>
      <c r="F689" s="144" t="str">
        <f>IF(AND(ISNA(VLOOKUP(D689,A:A,1,FALSE())),ISNA(VLOOKUP(D689,BaseType!A:A,1,FALSE())),D689&lt;&gt;"Struct"),"N","Y")</f>
        <v>Y</v>
      </c>
      <c r="G689" s="146"/>
      <c r="H689" s="141"/>
      <c r="I689" s="141"/>
      <c r="J689" s="141"/>
      <c r="K689" s="141"/>
      <c r="L689" s="141"/>
      <c r="M689" s="141"/>
      <c r="N689" s="140"/>
      <c r="O689" s="140"/>
      <c r="P689" s="140"/>
      <c r="Q689" s="140"/>
      <c r="R689" s="140"/>
      <c r="S689" s="140"/>
      <c r="T689" s="140"/>
    </row>
    <row r="690" spans="1:20" ht="15" customHeight="1" x14ac:dyDescent="0.2">
      <c r="A690" s="141"/>
      <c r="B690" s="143" t="str">
        <f>IF(ISBLANK(A690),"",IF(AND(ISNA(VLOOKUP(A690,Interface_Platform!E:E,1,FALSE())),ISNA(VLOOKUP(A690,D:D,1,FALSE()))),"N","Y"))</f>
        <v/>
      </c>
      <c r="C690" s="143" t="s">
        <v>1438</v>
      </c>
      <c r="D690" s="143" t="s">
        <v>193</v>
      </c>
      <c r="E690" s="142">
        <v>1</v>
      </c>
      <c r="F690" s="144" t="str">
        <f>IF(AND(ISNA(VLOOKUP(D690,A:A,1,FALSE())),ISNA(VLOOKUP(D690,BaseType!A:A,1,FALSE())),D690&lt;&gt;"Struct"),"N","Y")</f>
        <v>Y</v>
      </c>
      <c r="G690" s="146"/>
      <c r="H690" s="141"/>
      <c r="I690" s="141"/>
      <c r="J690" s="141"/>
      <c r="K690" s="141"/>
      <c r="L690" s="141"/>
      <c r="M690" s="141"/>
      <c r="N690" s="140"/>
      <c r="O690" s="140"/>
      <c r="P690" s="140"/>
      <c r="Q690" s="140"/>
      <c r="R690" s="140"/>
      <c r="S690" s="140"/>
      <c r="T690" s="140"/>
    </row>
    <row r="691" spans="1:20" ht="15" customHeight="1" x14ac:dyDescent="0.2">
      <c r="A691" s="141"/>
      <c r="B691" s="143" t="str">
        <f>IF(ISBLANK(A691),"",IF(AND(ISNA(VLOOKUP(A691,Interface_Platform!E:E,1,FALSE())),ISNA(VLOOKUP(A691,D:D,1,FALSE()))),"N","Y"))</f>
        <v/>
      </c>
      <c r="C691" s="143" t="s">
        <v>1439</v>
      </c>
      <c r="D691" s="143" t="s">
        <v>193</v>
      </c>
      <c r="E691" s="142">
        <v>1</v>
      </c>
      <c r="F691" s="144" t="str">
        <f>IF(AND(ISNA(VLOOKUP(D691,A:A,1,FALSE())),ISNA(VLOOKUP(D691,BaseType!A:A,1,FALSE())),D691&lt;&gt;"Struct"),"N","Y")</f>
        <v>Y</v>
      </c>
      <c r="G691" s="146"/>
      <c r="H691" s="141"/>
      <c r="I691" s="141"/>
      <c r="J691" s="141"/>
      <c r="K691" s="141"/>
      <c r="L691" s="141"/>
      <c r="M691" s="141"/>
      <c r="N691" s="140"/>
      <c r="O691" s="140"/>
      <c r="P691" s="140"/>
      <c r="Q691" s="140"/>
      <c r="R691" s="140"/>
      <c r="S691" s="140"/>
      <c r="T691" s="140"/>
    </row>
    <row r="692" spans="1:20" ht="15" customHeight="1" x14ac:dyDescent="0.2">
      <c r="A692" s="143"/>
      <c r="B692" s="143"/>
      <c r="C692" s="161" t="s">
        <v>1440</v>
      </c>
      <c r="D692" s="143" t="s">
        <v>193</v>
      </c>
      <c r="E692" s="142">
        <v>1</v>
      </c>
      <c r="F692" s="144" t="str">
        <f>IF(AND(ISNA(VLOOKUP(D692,A:A,1,FALSE())),ISNA(VLOOKUP(D692,BaseType!A:A,1,FALSE())),D692&lt;&gt;"Struct"),"N","Y")</f>
        <v>Y</v>
      </c>
      <c r="G692" s="146" t="s">
        <v>1441</v>
      </c>
      <c r="H692" s="141"/>
      <c r="I692" s="141"/>
      <c r="J692" s="141"/>
      <c r="K692" s="141"/>
      <c r="L692" s="141"/>
      <c r="M692" s="141"/>
      <c r="N692" s="140"/>
      <c r="O692" s="140"/>
      <c r="P692" s="140"/>
      <c r="Q692" s="140"/>
      <c r="R692" s="140"/>
      <c r="S692" s="140"/>
      <c r="T692" s="140"/>
    </row>
    <row r="693" spans="1:20" ht="15" customHeight="1" x14ac:dyDescent="0.2">
      <c r="A693" s="143"/>
      <c r="B693" s="143"/>
      <c r="C693" s="161" t="s">
        <v>1442</v>
      </c>
      <c r="D693" s="143" t="s">
        <v>193</v>
      </c>
      <c r="E693" s="142">
        <v>1</v>
      </c>
      <c r="F693" s="144" t="str">
        <f>IF(AND(ISNA(VLOOKUP(D693,A:A,1,FALSE())),ISNA(VLOOKUP(D693,BaseType!A:A,1,FALSE())),D693&lt;&gt;"Struct"),"N","Y")</f>
        <v>Y</v>
      </c>
      <c r="G693" s="146" t="s">
        <v>1416</v>
      </c>
      <c r="H693" s="141"/>
      <c r="I693" s="141"/>
      <c r="J693" s="141"/>
      <c r="K693" s="141"/>
      <c r="L693" s="141"/>
      <c r="M693" s="141"/>
      <c r="N693" s="140"/>
      <c r="O693" s="140"/>
      <c r="P693" s="140"/>
      <c r="Q693" s="140"/>
      <c r="R693" s="140"/>
      <c r="S693" s="140"/>
      <c r="T693" s="140"/>
    </row>
    <row r="694" spans="1:20" ht="15" customHeight="1" x14ac:dyDescent="0.2">
      <c r="A694" s="143" t="s">
        <v>1443</v>
      </c>
      <c r="B694" s="143" t="str">
        <f>IF(ISBLANK(A694),"",IF(AND(ISNA(VLOOKUP(A694,Interface_Platform!E:E,1,FALSE())),ISNA(VLOOKUP(A694,D:D,1,FALSE()))),"N","Y"))</f>
        <v>Y</v>
      </c>
      <c r="C694" s="75"/>
      <c r="D694" s="143" t="s">
        <v>484</v>
      </c>
      <c r="E694" s="40"/>
      <c r="F694" s="144" t="str">
        <f>IF(AND(ISNA(VLOOKUP(D694,A:A,1,FALSE())),ISNA(VLOOKUP(D694,BaseType!A:A,1,FALSE())),D694&lt;&gt;"Struct"),"N","Y")</f>
        <v>Y</v>
      </c>
      <c r="G694" s="146"/>
      <c r="H694" s="141"/>
      <c r="I694" s="141"/>
      <c r="J694" s="141"/>
      <c r="K694" s="141"/>
      <c r="L694" s="141"/>
      <c r="M694" s="141"/>
      <c r="N694" s="140"/>
      <c r="O694" s="140"/>
      <c r="P694" s="140"/>
      <c r="Q694" s="140"/>
      <c r="R694" s="140"/>
      <c r="S694" s="140"/>
      <c r="T694" s="140"/>
    </row>
    <row r="695" spans="1:20" ht="15" customHeight="1" x14ac:dyDescent="0.2">
      <c r="A695" s="141"/>
      <c r="B695" s="143" t="str">
        <f>IF(ISBLANK(A695),"",IF(AND(ISNA(VLOOKUP(A695,Interface_Platform!E:E,1,FALSE())),ISNA(VLOOKUP(A695,D:D,1,FALSE()))),"N","Y"))</f>
        <v/>
      </c>
      <c r="C695" s="143" t="s">
        <v>1444</v>
      </c>
      <c r="D695" s="143" t="s">
        <v>298</v>
      </c>
      <c r="E695" s="142">
        <v>1</v>
      </c>
      <c r="F695" s="144" t="str">
        <f>IF(AND(ISNA(VLOOKUP(D695,A:A,1,FALSE())),ISNA(VLOOKUP(D695,BaseType!A:A,1,FALSE())),D695&lt;&gt;"Struct"),"N","Y")</f>
        <v>Y</v>
      </c>
      <c r="G695" s="146"/>
      <c r="H695" s="141"/>
      <c r="I695" s="141"/>
      <c r="J695" s="141"/>
      <c r="K695" s="141"/>
      <c r="L695" s="141"/>
      <c r="M695" s="141"/>
      <c r="N695" s="140"/>
      <c r="O695" s="140"/>
      <c r="P695" s="140"/>
      <c r="Q695" s="140"/>
      <c r="R695" s="140"/>
      <c r="S695" s="140"/>
      <c r="T695" s="140"/>
    </row>
    <row r="696" spans="1:20" ht="15" customHeight="1" x14ac:dyDescent="0.2">
      <c r="A696" s="141"/>
      <c r="B696" s="143" t="str">
        <f>IF(ISBLANK(A696),"",IF(AND(ISNA(VLOOKUP(A696,Interface_Platform!E:E,1,FALSE())),ISNA(VLOOKUP(A696,D:D,1,FALSE()))),"N","Y"))</f>
        <v/>
      </c>
      <c r="C696" s="143" t="s">
        <v>1445</v>
      </c>
      <c r="D696" s="143" t="s">
        <v>298</v>
      </c>
      <c r="E696" s="142">
        <v>1</v>
      </c>
      <c r="F696" s="144" t="str">
        <f>IF(AND(ISNA(VLOOKUP(D696,A:A,1,FALSE())),ISNA(VLOOKUP(D696,BaseType!A:A,1,FALSE())),D696&lt;&gt;"Struct"),"N","Y")</f>
        <v>Y</v>
      </c>
      <c r="G696" s="146"/>
      <c r="H696" s="141"/>
      <c r="I696" s="141"/>
      <c r="J696" s="141"/>
      <c r="K696" s="141"/>
      <c r="L696" s="141"/>
      <c r="M696" s="141"/>
      <c r="N696" s="140"/>
      <c r="O696" s="140"/>
      <c r="P696" s="140"/>
      <c r="Q696" s="140"/>
      <c r="R696" s="140"/>
      <c r="S696" s="140"/>
      <c r="T696" s="140"/>
    </row>
    <row r="697" spans="1:20" ht="15" customHeight="1" x14ac:dyDescent="0.2">
      <c r="A697" s="143" t="s">
        <v>180</v>
      </c>
      <c r="B697" s="143" t="str">
        <f>IF(ISBLANK(A697),"",IF(AND(ISNA(VLOOKUP(A697,Interface_Platform!E:E,1,FALSE())),ISNA(VLOOKUP(A697,D:D,1,FALSE()))),"N","Y"))</f>
        <v>Y</v>
      </c>
      <c r="C697" s="75"/>
      <c r="D697" s="143" t="s">
        <v>484</v>
      </c>
      <c r="E697" s="40"/>
      <c r="F697" s="144" t="str">
        <f>IF(AND(ISNA(VLOOKUP(D697,A:A,1,FALSE())),ISNA(VLOOKUP(D697,BaseType!A:A,1,FALSE())),D697&lt;&gt;"Struct"),"N","Y")</f>
        <v>Y</v>
      </c>
      <c r="G697" s="146"/>
      <c r="H697" s="141"/>
      <c r="I697" s="141"/>
      <c r="J697" s="141"/>
      <c r="K697" s="141"/>
      <c r="L697" s="141"/>
      <c r="M697" s="141"/>
      <c r="N697" s="140"/>
      <c r="O697" s="140"/>
      <c r="P697" s="140"/>
      <c r="Q697" s="140"/>
      <c r="R697" s="140"/>
      <c r="S697" s="140"/>
      <c r="T697" s="140"/>
    </row>
    <row r="698" spans="1:20" ht="15" customHeight="1" x14ac:dyDescent="0.2">
      <c r="A698" s="141"/>
      <c r="B698" s="143" t="str">
        <f>IF(ISBLANK(A698),"",IF(AND(ISNA(VLOOKUP(A698,Interface_Platform!E:E,1,FALSE())),ISNA(VLOOKUP(A698,D:D,1,FALSE()))),"N","Y"))</f>
        <v/>
      </c>
      <c r="C698" s="143" t="s">
        <v>1446</v>
      </c>
      <c r="D698" s="143" t="s">
        <v>1396</v>
      </c>
      <c r="E698" s="142">
        <v>1</v>
      </c>
      <c r="F698" s="144" t="str">
        <f>IF(AND(ISNA(VLOOKUP(D698,A:A,1,FALSE())),ISNA(VLOOKUP(D698,BaseType!A:A,1,FALSE())),D698&lt;&gt;"Struct"),"N","Y")</f>
        <v>Y</v>
      </c>
      <c r="G698" s="146"/>
      <c r="H698" s="141"/>
      <c r="I698" s="141"/>
      <c r="J698" s="141"/>
      <c r="K698" s="141"/>
      <c r="L698" s="141"/>
      <c r="M698" s="141"/>
      <c r="N698" s="140"/>
      <c r="O698" s="140"/>
      <c r="P698" s="140"/>
      <c r="Q698" s="140"/>
      <c r="R698" s="140"/>
      <c r="S698" s="140"/>
      <c r="T698" s="140"/>
    </row>
    <row r="699" spans="1:20" ht="15" customHeight="1" x14ac:dyDescent="0.2">
      <c r="A699" s="141"/>
      <c r="B699" s="143"/>
      <c r="C699" s="181" t="s">
        <v>1447</v>
      </c>
      <c r="D699" s="181" t="s">
        <v>1389</v>
      </c>
      <c r="E699" s="142">
        <v>1</v>
      </c>
      <c r="F699" s="144" t="str">
        <f>IF(AND(ISNA(VLOOKUP(D699,A:A,1,FALSE())),ISNA(VLOOKUP(D699,BaseType!A:A,1,FALSE())),D699&lt;&gt;"Struct"),"N","Y")</f>
        <v>Y</v>
      </c>
      <c r="G699" s="146"/>
      <c r="H699" s="141"/>
      <c r="I699" s="141"/>
      <c r="J699" s="141"/>
      <c r="K699" s="141"/>
      <c r="L699" s="141"/>
      <c r="M699" s="141"/>
      <c r="N699" s="140"/>
      <c r="O699" s="140"/>
      <c r="P699" s="140"/>
      <c r="Q699" s="140"/>
      <c r="R699" s="140"/>
      <c r="S699" s="140"/>
      <c r="T699" s="140"/>
    </row>
    <row r="700" spans="1:20" ht="15" customHeight="1" x14ac:dyDescent="0.2">
      <c r="A700" s="141"/>
      <c r="B700" s="143" t="str">
        <f>IF(ISBLANK(A700),"",IF(AND(ISNA(VLOOKUP(A700,Interface_Platform!E:E,1,FALSE())),ISNA(VLOOKUP(A700,D:D,1,FALSE()))),"N","Y"))</f>
        <v/>
      </c>
      <c r="C700" s="143" t="s">
        <v>1448</v>
      </c>
      <c r="D700" s="143" t="s">
        <v>1405</v>
      </c>
      <c r="E700" s="142">
        <v>1</v>
      </c>
      <c r="F700" s="144" t="str">
        <f>IF(AND(ISNA(VLOOKUP(D700,A:A,1,FALSE())),ISNA(VLOOKUP(D700,BaseType!A:A,1,FALSE())),D700&lt;&gt;"Struct"),"N","Y")</f>
        <v>Y</v>
      </c>
      <c r="G700" s="146"/>
      <c r="H700" s="141"/>
      <c r="I700" s="141"/>
      <c r="J700" s="141"/>
      <c r="K700" s="141"/>
      <c r="L700" s="141"/>
      <c r="M700" s="141"/>
      <c r="N700" s="140"/>
      <c r="O700" s="140"/>
      <c r="P700" s="140"/>
      <c r="Q700" s="140"/>
      <c r="R700" s="140"/>
      <c r="S700" s="140"/>
      <c r="T700" s="140"/>
    </row>
    <row r="701" spans="1:20" ht="15" customHeight="1" x14ac:dyDescent="0.2">
      <c r="A701" s="141"/>
      <c r="B701" s="143" t="str">
        <f>IF(ISBLANK(A701),"",IF(AND(ISNA(VLOOKUP(A701,Interface_Platform!E:E,1,FALSE())),ISNA(VLOOKUP(A701,D:D,1,FALSE()))),"N","Y"))</f>
        <v/>
      </c>
      <c r="C701" s="143" t="s">
        <v>1449</v>
      </c>
      <c r="D701" s="143" t="s">
        <v>1443</v>
      </c>
      <c r="E701" s="142">
        <v>1</v>
      </c>
      <c r="F701" s="144" t="str">
        <f>IF(AND(ISNA(VLOOKUP(D701,A:A,1,FALSE())),ISNA(VLOOKUP(D701,BaseType!A:A,1,FALSE())),D701&lt;&gt;"Struct"),"N","Y")</f>
        <v>Y</v>
      </c>
      <c r="G701" s="146"/>
      <c r="H701" s="141"/>
      <c r="I701" s="141"/>
      <c r="J701" s="141"/>
      <c r="K701" s="141"/>
      <c r="L701" s="141"/>
      <c r="M701" s="141"/>
      <c r="N701" s="140"/>
      <c r="O701" s="140"/>
      <c r="P701" s="140"/>
      <c r="Q701" s="140"/>
      <c r="R701" s="140"/>
      <c r="S701" s="140"/>
      <c r="T701" s="140"/>
    </row>
    <row r="702" spans="1:20" ht="15" customHeight="1" x14ac:dyDescent="0.2">
      <c r="A702" s="143" t="s">
        <v>1450</v>
      </c>
      <c r="B702" s="143" t="str">
        <f>IF(ISBLANK(A702),"",IF(AND(ISNA(VLOOKUP(A702,Interface_Platform!E:E,1,FALSE())),ISNA(VLOOKUP(A702,D:D,1,FALSE()))),"N","Y"))</f>
        <v>Y</v>
      </c>
      <c r="C702" s="75"/>
      <c r="D702" s="143" t="s">
        <v>484</v>
      </c>
      <c r="E702" s="40"/>
      <c r="F702" s="144" t="str">
        <f>IF(AND(ISNA(VLOOKUP(D702,A:A,1,FALSE())),ISNA(VLOOKUP(D702,BaseType!A:A,1,FALSE())),D702&lt;&gt;"Struct"),"N","Y")</f>
        <v>Y</v>
      </c>
      <c r="G702" s="146"/>
      <c r="H702" s="141"/>
      <c r="I702" s="141"/>
      <c r="J702" s="141"/>
      <c r="K702" s="141"/>
      <c r="L702" s="141"/>
      <c r="M702" s="141"/>
      <c r="N702" s="140"/>
      <c r="O702" s="140"/>
      <c r="P702" s="140"/>
      <c r="Q702" s="140"/>
      <c r="R702" s="140"/>
      <c r="S702" s="140"/>
      <c r="T702" s="140"/>
    </row>
    <row r="703" spans="1:20" ht="15" customHeight="1" x14ac:dyDescent="0.2">
      <c r="A703" s="141"/>
      <c r="B703" s="143" t="str">
        <f>IF(ISBLANK(A703),"",IF(AND(ISNA(VLOOKUP(A703,Interface_Platform!E:E,1,FALSE())),ISNA(VLOOKUP(A703,D:D,1,FALSE()))),"N","Y"))</f>
        <v/>
      </c>
      <c r="C703" s="143" t="s">
        <v>1401</v>
      </c>
      <c r="D703" s="143" t="s">
        <v>193</v>
      </c>
      <c r="E703" s="142">
        <v>1</v>
      </c>
      <c r="F703" s="144" t="str">
        <f>IF(AND(ISNA(VLOOKUP(D703,A:A,1,FALSE())),ISNA(VLOOKUP(D703,BaseType!A:A,1,FALSE())),D703&lt;&gt;"Struct"),"N","Y")</f>
        <v>Y</v>
      </c>
      <c r="G703" s="146"/>
      <c r="H703" s="141"/>
      <c r="I703" s="141"/>
      <c r="J703" s="141"/>
      <c r="K703" s="141"/>
      <c r="L703" s="141"/>
      <c r="M703" s="141"/>
      <c r="N703" s="140"/>
      <c r="O703" s="140"/>
      <c r="P703" s="140"/>
      <c r="Q703" s="140"/>
      <c r="R703" s="140"/>
      <c r="S703" s="140"/>
      <c r="T703" s="140"/>
    </row>
    <row r="704" spans="1:20" ht="15" customHeight="1" x14ac:dyDescent="0.2">
      <c r="A704" s="141"/>
      <c r="B704" s="143" t="str">
        <f>IF(ISBLANK(A704),"",IF(AND(ISNA(VLOOKUP(A704,Interface_Platform!E:E,1,FALSE())),ISNA(VLOOKUP(A704,D:D,1,FALSE()))),"N","Y"))</f>
        <v/>
      </c>
      <c r="C704" s="143" t="s">
        <v>1402</v>
      </c>
      <c r="D704" s="143" t="s">
        <v>193</v>
      </c>
      <c r="E704" s="142">
        <v>1</v>
      </c>
      <c r="F704" s="144" t="str">
        <f>IF(AND(ISNA(VLOOKUP(D704,A:A,1,FALSE())),ISNA(VLOOKUP(D704,BaseType!A:A,1,FALSE())),D704&lt;&gt;"Struct"),"N","Y")</f>
        <v>Y</v>
      </c>
      <c r="G704" s="146"/>
      <c r="H704" s="141"/>
      <c r="I704" s="141"/>
      <c r="J704" s="141"/>
      <c r="K704" s="141"/>
      <c r="L704" s="141"/>
      <c r="M704" s="141"/>
      <c r="N704" s="140"/>
      <c r="O704" s="140"/>
      <c r="P704" s="140"/>
      <c r="Q704" s="140"/>
      <c r="R704" s="140"/>
      <c r="S704" s="140"/>
      <c r="T704" s="140"/>
    </row>
    <row r="705" spans="1:20" ht="15" customHeight="1" x14ac:dyDescent="0.2">
      <c r="A705" s="141"/>
      <c r="B705" s="143" t="str">
        <f>IF(ISBLANK(A705),"",IF(AND(ISNA(VLOOKUP(A705,Interface_Platform!E:E,1,FALSE())),ISNA(VLOOKUP(A705,D:D,1,FALSE()))),"N","Y"))</f>
        <v/>
      </c>
      <c r="C705" s="143" t="s">
        <v>1451</v>
      </c>
      <c r="D705" s="143" t="s">
        <v>193</v>
      </c>
      <c r="E705" s="142">
        <v>1</v>
      </c>
      <c r="F705" s="144" t="str">
        <f>IF(AND(ISNA(VLOOKUP(D705,A:A,1,FALSE())),ISNA(VLOOKUP(D705,BaseType!A:A,1,FALSE())),D705&lt;&gt;"Struct"),"N","Y")</f>
        <v>Y</v>
      </c>
      <c r="G705" s="146"/>
      <c r="H705" s="141"/>
      <c r="I705" s="141"/>
      <c r="J705" s="141"/>
      <c r="K705" s="141"/>
      <c r="L705" s="141"/>
      <c r="M705" s="141"/>
      <c r="N705" s="140"/>
      <c r="O705" s="140"/>
      <c r="P705" s="140"/>
      <c r="Q705" s="140"/>
      <c r="R705" s="140"/>
      <c r="S705" s="140"/>
      <c r="T705" s="140"/>
    </row>
    <row r="706" spans="1:20" ht="15" customHeight="1" x14ac:dyDescent="0.2">
      <c r="A706" s="141"/>
      <c r="B706" s="143" t="str">
        <f>IF(ISBLANK(A706),"",IF(AND(ISNA(VLOOKUP(A706,Interface_Platform!E:E,1,FALSE())),ISNA(VLOOKUP(A706,D:D,1,FALSE()))),"N","Y"))</f>
        <v/>
      </c>
      <c r="C706" s="143" t="s">
        <v>1452</v>
      </c>
      <c r="D706" s="143" t="s">
        <v>298</v>
      </c>
      <c r="E706" s="142">
        <v>1</v>
      </c>
      <c r="F706" s="144" t="str">
        <f>IF(AND(ISNA(VLOOKUP(D706,A:A,1,FALSE())),ISNA(VLOOKUP(D706,BaseType!A:A,1,FALSE())),D706&lt;&gt;"Struct"),"N","Y")</f>
        <v>Y</v>
      </c>
      <c r="G706" s="146"/>
      <c r="H706" s="141"/>
      <c r="I706" s="141"/>
      <c r="J706" s="141"/>
      <c r="K706" s="141"/>
      <c r="L706" s="141"/>
      <c r="M706" s="141"/>
      <c r="N706" s="140"/>
      <c r="O706" s="140"/>
      <c r="P706" s="140"/>
      <c r="Q706" s="140"/>
      <c r="R706" s="140"/>
      <c r="S706" s="140"/>
      <c r="T706" s="140"/>
    </row>
    <row r="707" spans="1:20" ht="15" customHeight="1" x14ac:dyDescent="0.2">
      <c r="A707" s="143" t="s">
        <v>1453</v>
      </c>
      <c r="B707" s="143" t="str">
        <f>IF(ISBLANK(A707),"",IF(AND(ISNA(VLOOKUP(A707,Interface_Platform!E:E,1,FALSE())),ISNA(VLOOKUP(A707,D:D,1,FALSE()))),"N","Y"))</f>
        <v>Y</v>
      </c>
      <c r="C707" s="75"/>
      <c r="D707" s="143" t="s">
        <v>484</v>
      </c>
      <c r="E707" s="40"/>
      <c r="F707" s="144" t="str">
        <f>IF(AND(ISNA(VLOOKUP(D707,A:A,1,FALSE())),ISNA(VLOOKUP(D707,BaseType!A:A,1,FALSE())),D707&lt;&gt;"Struct"),"N","Y")</f>
        <v>Y</v>
      </c>
      <c r="G707" s="146"/>
      <c r="H707" s="141"/>
      <c r="I707" s="141"/>
      <c r="J707" s="141"/>
      <c r="K707" s="141"/>
      <c r="L707" s="141"/>
      <c r="M707" s="141"/>
      <c r="N707" s="140"/>
      <c r="O707" s="140"/>
      <c r="P707" s="140"/>
      <c r="Q707" s="140"/>
      <c r="R707" s="140"/>
      <c r="S707" s="140"/>
      <c r="T707" s="140"/>
    </row>
    <row r="708" spans="1:20" ht="15" customHeight="1" x14ac:dyDescent="0.2">
      <c r="A708" s="141"/>
      <c r="B708" s="143" t="str">
        <f>IF(ISBLANK(A708),"",IF(AND(ISNA(VLOOKUP(A708,Interface_Platform!E:E,1,FALSE())),ISNA(VLOOKUP(A708,D:D,1,FALSE()))),"N","Y"))</f>
        <v/>
      </c>
      <c r="C708" s="143" t="s">
        <v>1454</v>
      </c>
      <c r="D708" s="143" t="s">
        <v>193</v>
      </c>
      <c r="E708" s="142">
        <v>1</v>
      </c>
      <c r="F708" s="144" t="str">
        <f>IF(AND(ISNA(VLOOKUP(D708,A:A,1,FALSE())),ISNA(VLOOKUP(D708,BaseType!A:A,1,FALSE())),D708&lt;&gt;"Struct"),"N","Y")</f>
        <v>Y</v>
      </c>
      <c r="G708" s="146"/>
      <c r="H708" s="141"/>
      <c r="I708" s="141"/>
      <c r="J708" s="141"/>
      <c r="K708" s="141"/>
      <c r="L708" s="141"/>
      <c r="M708" s="141"/>
      <c r="N708" s="140"/>
      <c r="O708" s="140"/>
      <c r="P708" s="140"/>
      <c r="Q708" s="140"/>
      <c r="R708" s="140"/>
      <c r="S708" s="140"/>
      <c r="T708" s="140"/>
    </row>
    <row r="709" spans="1:20" ht="15" customHeight="1" x14ac:dyDescent="0.2">
      <c r="A709" s="141"/>
      <c r="B709" s="143" t="str">
        <f>IF(ISBLANK(A709),"",IF(AND(ISNA(VLOOKUP(A709,Interface_Platform!E:E,1,FALSE())),ISNA(VLOOKUP(A709,D:D,1,FALSE()))),"N","Y"))</f>
        <v/>
      </c>
      <c r="C709" s="143" t="s">
        <v>1455</v>
      </c>
      <c r="D709" s="143" t="s">
        <v>225</v>
      </c>
      <c r="E709" s="142">
        <v>1</v>
      </c>
      <c r="F709" s="144" t="str">
        <f>IF(AND(ISNA(VLOOKUP(D709,A:A,1,FALSE())),ISNA(VLOOKUP(D709,BaseType!A:A,1,FALSE())),D709&lt;&gt;"Struct"),"N","Y")</f>
        <v>Y</v>
      </c>
      <c r="G709" s="146"/>
      <c r="H709" s="141"/>
      <c r="I709" s="141"/>
      <c r="J709" s="141"/>
      <c r="K709" s="141"/>
      <c r="L709" s="141"/>
      <c r="M709" s="141"/>
      <c r="N709" s="140"/>
      <c r="O709" s="140"/>
      <c r="P709" s="140"/>
      <c r="Q709" s="140"/>
      <c r="R709" s="140"/>
      <c r="S709" s="140"/>
      <c r="T709" s="140"/>
    </row>
    <row r="710" spans="1:20" ht="15" customHeight="1" x14ac:dyDescent="0.2">
      <c r="A710" s="141"/>
      <c r="B710" s="143" t="str">
        <f>IF(ISBLANK(A710),"",IF(AND(ISNA(VLOOKUP(A710,Interface_Platform!E:E,1,FALSE())),ISNA(VLOOKUP(A710,D:D,1,FALSE()))),"N","Y"))</f>
        <v/>
      </c>
      <c r="C710" s="143" t="s">
        <v>1456</v>
      </c>
      <c r="D710" s="143" t="s">
        <v>225</v>
      </c>
      <c r="E710" s="142">
        <v>1</v>
      </c>
      <c r="F710" s="144" t="str">
        <f>IF(AND(ISNA(VLOOKUP(D710,A:A,1,FALSE())),ISNA(VLOOKUP(D710,BaseType!A:A,1,FALSE())),D710&lt;&gt;"Struct"),"N","Y")</f>
        <v>Y</v>
      </c>
      <c r="G710" s="146"/>
      <c r="H710" s="141"/>
      <c r="I710" s="141"/>
      <c r="J710" s="141"/>
      <c r="K710" s="141"/>
      <c r="L710" s="141"/>
      <c r="M710" s="141"/>
      <c r="N710" s="140"/>
      <c r="O710" s="140"/>
      <c r="P710" s="140"/>
      <c r="Q710" s="140"/>
      <c r="R710" s="140"/>
      <c r="S710" s="140"/>
      <c r="T710" s="140"/>
    </row>
    <row r="711" spans="1:20" ht="15" customHeight="1" x14ac:dyDescent="0.2">
      <c r="A711" s="143" t="s">
        <v>164</v>
      </c>
      <c r="B711" s="143" t="str">
        <f>IF(ISBLANK(A711),"",IF(AND(ISNA(VLOOKUP(A711,Interface_Platform!E:E,1,FALSE())),ISNA(VLOOKUP(A711,D:D,1,FALSE()))),"N","Y"))</f>
        <v>Y</v>
      </c>
      <c r="C711" s="75"/>
      <c r="D711" s="143" t="s">
        <v>484</v>
      </c>
      <c r="E711" s="40"/>
      <c r="F711" s="144" t="str">
        <f>IF(AND(ISNA(VLOOKUP(D711,A:A,1,FALSE())),ISNA(VLOOKUP(D711,BaseType!A:A,1,FALSE())),D711&lt;&gt;"Struct"),"N","Y")</f>
        <v>Y</v>
      </c>
      <c r="G711" s="146"/>
      <c r="H711" s="141"/>
      <c r="I711" s="141"/>
      <c r="J711" s="141"/>
      <c r="K711" s="141"/>
      <c r="L711" s="141"/>
      <c r="M711" s="141"/>
      <c r="N711" s="140"/>
      <c r="O711" s="140"/>
      <c r="P711" s="140"/>
      <c r="Q711" s="140"/>
      <c r="R711" s="140"/>
      <c r="S711" s="140"/>
      <c r="T711" s="140"/>
    </row>
    <row r="712" spans="1:20" ht="15" customHeight="1" x14ac:dyDescent="0.2">
      <c r="A712" s="141"/>
      <c r="B712" s="143" t="str">
        <f>IF(ISBLANK(A712),"",IF(AND(ISNA(VLOOKUP(A712,Interface_Platform!E:E,1,FALSE())),ISNA(VLOOKUP(A712,D:D,1,FALSE()))),"N","Y"))</f>
        <v/>
      </c>
      <c r="C712" s="143" t="s">
        <v>1457</v>
      </c>
      <c r="D712" s="143" t="s">
        <v>1450</v>
      </c>
      <c r="E712" s="142">
        <v>1</v>
      </c>
      <c r="F712" s="144" t="str">
        <f>IF(AND(ISNA(VLOOKUP(D712,A:A,1,FALSE())),ISNA(VLOOKUP(D712,BaseType!A:A,1,FALSE())),D712&lt;&gt;"Struct"),"N","Y")</f>
        <v>Y</v>
      </c>
      <c r="G712" s="146"/>
      <c r="H712" s="141"/>
      <c r="I712" s="141"/>
      <c r="J712" s="141"/>
      <c r="K712" s="141"/>
      <c r="L712" s="141"/>
      <c r="M712" s="141"/>
      <c r="N712" s="140"/>
      <c r="O712" s="140"/>
      <c r="P712" s="140"/>
      <c r="Q712" s="140"/>
      <c r="R712" s="140"/>
      <c r="S712" s="140"/>
      <c r="T712" s="140"/>
    </row>
    <row r="713" spans="1:20" ht="15" customHeight="1" x14ac:dyDescent="0.2">
      <c r="A713" s="141"/>
      <c r="B713" s="143"/>
      <c r="C713" s="181" t="s">
        <v>1458</v>
      </c>
      <c r="D713" s="181" t="s">
        <v>1389</v>
      </c>
      <c r="E713" s="142">
        <v>1</v>
      </c>
      <c r="F713" s="144" t="str">
        <f>IF(AND(ISNA(VLOOKUP(D713,A:A,1,FALSE())),ISNA(VLOOKUP(D713,BaseType!A:A,1,FALSE())),D713&lt;&gt;"Struct"),"N","Y")</f>
        <v>Y</v>
      </c>
      <c r="G713" s="146"/>
      <c r="H713" s="141"/>
      <c r="I713" s="141"/>
      <c r="J713" s="141"/>
      <c r="K713" s="141"/>
      <c r="L713" s="141"/>
      <c r="M713" s="141"/>
      <c r="N713" s="140"/>
      <c r="O713" s="140"/>
      <c r="P713" s="140"/>
      <c r="Q713" s="140"/>
      <c r="R713" s="140"/>
      <c r="S713" s="140"/>
      <c r="T713" s="140"/>
    </row>
    <row r="714" spans="1:20" ht="15" customHeight="1" x14ac:dyDescent="0.2">
      <c r="A714" s="141"/>
      <c r="B714" s="143" t="str">
        <f>IF(ISBLANK(A714),"",IF(AND(ISNA(VLOOKUP(A714,Interface_Platform!E:E,1,FALSE())),ISNA(VLOOKUP(A714,D:D,1,FALSE()))),"N","Y"))</f>
        <v/>
      </c>
      <c r="C714" s="143" t="s">
        <v>1459</v>
      </c>
      <c r="D714" s="143" t="s">
        <v>1453</v>
      </c>
      <c r="E714" s="142">
        <v>64</v>
      </c>
      <c r="F714" s="144" t="str">
        <f>IF(AND(ISNA(VLOOKUP(D714,A:A,1,FALSE())),ISNA(VLOOKUP(D714,BaseType!A:A,1,FALSE())),D714&lt;&gt;"Struct"),"N","Y")</f>
        <v>Y</v>
      </c>
      <c r="G714" s="146"/>
      <c r="H714" s="141"/>
      <c r="I714" s="141"/>
      <c r="J714" s="141"/>
      <c r="K714" s="141"/>
      <c r="L714" s="141"/>
      <c r="M714" s="141"/>
      <c r="N714" s="140"/>
      <c r="O714" s="140"/>
      <c r="P714" s="140"/>
      <c r="Q714" s="140"/>
      <c r="R714" s="140"/>
      <c r="S714" s="140"/>
      <c r="T714" s="140"/>
    </row>
    <row r="715" spans="1:20" ht="15" customHeight="1" x14ac:dyDescent="0.2">
      <c r="A715" s="143" t="s">
        <v>1460</v>
      </c>
      <c r="B715" s="143" t="str">
        <f>IF(ISBLANK(A715),"",IF(AND(ISNA(VLOOKUP(A715,Interface_Platform!E:E,1,FALSE())),ISNA(VLOOKUP(A715,D:D,1,FALSE()))),"N","Y"))</f>
        <v>Y</v>
      </c>
      <c r="C715" s="75"/>
      <c r="D715" s="143" t="s">
        <v>484</v>
      </c>
      <c r="E715" s="40"/>
      <c r="F715" s="144" t="str">
        <f>IF(AND(ISNA(VLOOKUP(D715,A:A,1,FALSE())),ISNA(VLOOKUP(D715,BaseType!A:A,1,FALSE())),D715&lt;&gt;"Struct"),"N","Y")</f>
        <v>Y</v>
      </c>
      <c r="G715" s="146"/>
      <c r="H715" s="141"/>
      <c r="I715" s="141"/>
      <c r="J715" s="141"/>
      <c r="K715" s="141"/>
      <c r="L715" s="141"/>
      <c r="M715" s="141"/>
      <c r="N715" s="140"/>
      <c r="O715" s="140"/>
      <c r="P715" s="140"/>
      <c r="Q715" s="140"/>
      <c r="R715" s="140"/>
      <c r="S715" s="140"/>
      <c r="T715" s="140"/>
    </row>
    <row r="716" spans="1:20" ht="15" customHeight="1" x14ac:dyDescent="0.2">
      <c r="A716" s="141"/>
      <c r="B716" s="143" t="str">
        <f>IF(ISBLANK(A716),"",IF(AND(ISNA(VLOOKUP(A716,Interface_Platform!E:E,1,FALSE())),ISNA(VLOOKUP(A716,D:D,1,FALSE()))),"N","Y"))</f>
        <v/>
      </c>
      <c r="C716" s="143" t="s">
        <v>1461</v>
      </c>
      <c r="D716" s="143" t="s">
        <v>193</v>
      </c>
      <c r="E716" s="142">
        <v>1</v>
      </c>
      <c r="F716" s="144" t="str">
        <f>IF(AND(ISNA(VLOOKUP(D716,A:A,1,FALSE())),ISNA(VLOOKUP(D716,BaseType!A:A,1,FALSE())),D716&lt;&gt;"Struct"),"N","Y")</f>
        <v>Y</v>
      </c>
      <c r="G716" s="147" t="s">
        <v>1462</v>
      </c>
      <c r="H716" s="141"/>
      <c r="I716" s="141"/>
      <c r="J716" s="141"/>
      <c r="K716" s="141"/>
      <c r="L716" s="141"/>
      <c r="M716" s="141"/>
      <c r="N716" s="140"/>
      <c r="O716" s="140"/>
      <c r="P716" s="140"/>
      <c r="Q716" s="140"/>
      <c r="R716" s="140"/>
      <c r="S716" s="140"/>
      <c r="T716" s="140"/>
    </row>
    <row r="717" spans="1:20" ht="15" customHeight="1" x14ac:dyDescent="0.2">
      <c r="A717" s="141"/>
      <c r="B717" s="143" t="str">
        <f>IF(ISBLANK(A717),"",IF(AND(ISNA(VLOOKUP(A717,Interface_Platform!E:E,1,FALSE())),ISNA(VLOOKUP(A717,D:D,1,FALSE()))),"N","Y"))</f>
        <v/>
      </c>
      <c r="C717" s="143" t="s">
        <v>1463</v>
      </c>
      <c r="D717" s="143" t="s">
        <v>193</v>
      </c>
      <c r="E717" s="142">
        <v>1</v>
      </c>
      <c r="F717" s="144" t="str">
        <f>IF(AND(ISNA(VLOOKUP(D717,A:A,1,FALSE())),ISNA(VLOOKUP(D717,BaseType!A:A,1,FALSE())),D717&lt;&gt;"Struct"),"N","Y")</f>
        <v>Y</v>
      </c>
      <c r="G717" s="147" t="s">
        <v>1464</v>
      </c>
      <c r="H717" s="141"/>
      <c r="I717" s="141"/>
      <c r="J717" s="141"/>
      <c r="K717" s="141"/>
      <c r="L717" s="141"/>
      <c r="M717" s="141"/>
      <c r="N717" s="140"/>
      <c r="O717" s="140"/>
      <c r="P717" s="140"/>
      <c r="Q717" s="140"/>
      <c r="R717" s="140"/>
      <c r="S717" s="140"/>
      <c r="T717" s="140"/>
    </row>
    <row r="718" spans="1:20" ht="15" customHeight="1" x14ac:dyDescent="0.2">
      <c r="A718" s="141"/>
      <c r="B718" s="143" t="str">
        <f>IF(ISBLANK(A718),"",IF(AND(ISNA(VLOOKUP(A718,Interface_Platform!E:E,1,FALSE())),ISNA(VLOOKUP(A718,D:D,1,FALSE()))),"N","Y"))</f>
        <v/>
      </c>
      <c r="C718" s="143" t="s">
        <v>1465</v>
      </c>
      <c r="D718" s="143" t="s">
        <v>193</v>
      </c>
      <c r="E718" s="142">
        <v>1</v>
      </c>
      <c r="F718" s="144" t="str">
        <f>IF(AND(ISNA(VLOOKUP(D718,A:A,1,FALSE())),ISNA(VLOOKUP(D718,BaseType!A:A,1,FALSE())),D718&lt;&gt;"Struct"),"N","Y")</f>
        <v>Y</v>
      </c>
      <c r="G718" s="147" t="s">
        <v>1466</v>
      </c>
      <c r="H718" s="141"/>
      <c r="I718" s="141"/>
      <c r="J718" s="141"/>
      <c r="K718" s="141"/>
      <c r="L718" s="141"/>
      <c r="M718" s="141"/>
      <c r="N718" s="140"/>
      <c r="O718" s="140"/>
      <c r="P718" s="140"/>
      <c r="Q718" s="140"/>
      <c r="R718" s="140"/>
      <c r="S718" s="140"/>
      <c r="T718" s="140"/>
    </row>
    <row r="719" spans="1:20" ht="15" customHeight="1" x14ac:dyDescent="0.2">
      <c r="A719" s="141"/>
      <c r="B719" s="143" t="str">
        <f>IF(ISBLANK(A719),"",IF(AND(ISNA(VLOOKUP(A719,Interface_Platform!E:E,1,FALSE())),ISNA(VLOOKUP(A719,D:D,1,FALSE()))),"N","Y"))</f>
        <v/>
      </c>
      <c r="C719" s="143" t="s">
        <v>1401</v>
      </c>
      <c r="D719" s="143" t="s">
        <v>193</v>
      </c>
      <c r="E719" s="142">
        <v>1</v>
      </c>
      <c r="F719" s="144" t="str">
        <f>IF(AND(ISNA(VLOOKUP(D719,A:A,1,FALSE())),ISNA(VLOOKUP(D719,BaseType!A:A,1,FALSE())),D719&lt;&gt;"Struct"),"N","Y")</f>
        <v>Y</v>
      </c>
      <c r="G719" s="147" t="s">
        <v>1467</v>
      </c>
      <c r="H719" s="141"/>
      <c r="I719" s="141"/>
      <c r="J719" s="141"/>
      <c r="K719" s="141"/>
      <c r="L719" s="141"/>
      <c r="M719" s="141"/>
      <c r="N719" s="140"/>
      <c r="O719" s="140"/>
      <c r="P719" s="140"/>
      <c r="Q719" s="140"/>
      <c r="R719" s="140"/>
      <c r="S719" s="140"/>
      <c r="T719" s="140"/>
    </row>
    <row r="720" spans="1:20" ht="15" customHeight="1" x14ac:dyDescent="0.2">
      <c r="A720" s="141"/>
      <c r="B720" s="143" t="str">
        <f>IF(ISBLANK(A720),"",IF(AND(ISNA(VLOOKUP(A720,Interface_Platform!E:E,1,FALSE())),ISNA(VLOOKUP(A720,D:D,1,FALSE()))),"N","Y"))</f>
        <v/>
      </c>
      <c r="C720" s="143" t="s">
        <v>1402</v>
      </c>
      <c r="D720" s="143" t="s">
        <v>193</v>
      </c>
      <c r="E720" s="142">
        <v>1</v>
      </c>
      <c r="F720" s="144" t="str">
        <f>IF(AND(ISNA(VLOOKUP(D720,A:A,1,FALSE())),ISNA(VLOOKUP(D720,BaseType!A:A,1,FALSE())),D720&lt;&gt;"Struct"),"N","Y")</f>
        <v>Y</v>
      </c>
      <c r="G720" s="147" t="s">
        <v>1468</v>
      </c>
      <c r="H720" s="141"/>
      <c r="I720" s="141"/>
      <c r="J720" s="141"/>
      <c r="K720" s="141"/>
      <c r="L720" s="141"/>
      <c r="M720" s="141"/>
      <c r="N720" s="140"/>
      <c r="O720" s="140"/>
      <c r="P720" s="140"/>
      <c r="Q720" s="140"/>
      <c r="R720" s="140"/>
      <c r="S720" s="140"/>
      <c r="T720" s="140"/>
    </row>
    <row r="721" spans="1:20" ht="15" customHeight="1" x14ac:dyDescent="0.2">
      <c r="A721" s="141"/>
      <c r="B721" s="143" t="str">
        <f>IF(ISBLANK(A721),"",IF(AND(ISNA(VLOOKUP(A721,Interface_Platform!E:E,1,FALSE())),ISNA(VLOOKUP(A721,D:D,1,FALSE()))),"N","Y"))</f>
        <v/>
      </c>
      <c r="C721" s="143" t="s">
        <v>1469</v>
      </c>
      <c r="D721" s="143" t="s">
        <v>193</v>
      </c>
      <c r="E721" s="142">
        <v>1</v>
      </c>
      <c r="F721" s="144" t="str">
        <f>IF(AND(ISNA(VLOOKUP(D721,A:A,1,FALSE())),ISNA(VLOOKUP(D721,BaseType!A:A,1,FALSE())),D721&lt;&gt;"Struct"),"N","Y")</f>
        <v>Y</v>
      </c>
      <c r="G721" s="147" t="s">
        <v>1470</v>
      </c>
      <c r="H721" s="141"/>
      <c r="I721" s="141"/>
      <c r="J721" s="141"/>
      <c r="K721" s="141"/>
      <c r="L721" s="141"/>
      <c r="M721" s="141"/>
      <c r="N721" s="140"/>
      <c r="O721" s="140"/>
      <c r="P721" s="140"/>
      <c r="Q721" s="140"/>
      <c r="R721" s="140"/>
      <c r="S721" s="140"/>
      <c r="T721" s="140"/>
    </row>
    <row r="722" spans="1:20" ht="15" customHeight="1" x14ac:dyDescent="0.2">
      <c r="A722" s="141"/>
      <c r="B722" s="143" t="str">
        <f>IF(ISBLANK(A722),"",IF(AND(ISNA(VLOOKUP(A722,Interface_Platform!E:E,1,FALSE())),ISNA(VLOOKUP(A722,D:D,1,FALSE()))),"N","Y"))</f>
        <v/>
      </c>
      <c r="C722" s="143" t="s">
        <v>1471</v>
      </c>
      <c r="D722" s="143" t="s">
        <v>193</v>
      </c>
      <c r="E722" s="142">
        <v>1</v>
      </c>
      <c r="F722" s="144" t="str">
        <f>IF(AND(ISNA(VLOOKUP(D722,A:A,1,FALSE())),ISNA(VLOOKUP(D722,BaseType!A:A,1,FALSE())),D722&lt;&gt;"Struct"),"N","Y")</f>
        <v>Y</v>
      </c>
      <c r="G722" s="147" t="s">
        <v>1472</v>
      </c>
      <c r="H722" s="141"/>
      <c r="I722" s="141"/>
      <c r="J722" s="141"/>
      <c r="K722" s="141"/>
      <c r="L722" s="141"/>
      <c r="M722" s="141"/>
      <c r="N722" s="140"/>
      <c r="O722" s="140"/>
      <c r="P722" s="140"/>
      <c r="Q722" s="140"/>
      <c r="R722" s="140"/>
      <c r="S722" s="140"/>
      <c r="T722" s="140"/>
    </row>
    <row r="723" spans="1:20" ht="15" customHeight="1" x14ac:dyDescent="0.2">
      <c r="A723" s="141"/>
      <c r="B723" s="143" t="str">
        <f>IF(ISBLANK(A723),"",IF(AND(ISNA(VLOOKUP(A723,Interface_Platform!E:E,1,FALSE())),ISNA(VLOOKUP(A723,D:D,1,FALSE()))),"N","Y"))</f>
        <v/>
      </c>
      <c r="C723" s="143" t="s">
        <v>1473</v>
      </c>
      <c r="D723" s="143" t="s">
        <v>193</v>
      </c>
      <c r="E723" s="142">
        <v>1</v>
      </c>
      <c r="F723" s="144" t="str">
        <f>IF(AND(ISNA(VLOOKUP(D723,A:A,1,FALSE())),ISNA(VLOOKUP(D723,BaseType!A:A,1,FALSE())),D723&lt;&gt;"Struct"),"N","Y")</f>
        <v>Y</v>
      </c>
      <c r="G723" s="147" t="s">
        <v>1474</v>
      </c>
      <c r="H723" s="141"/>
      <c r="I723" s="141"/>
      <c r="J723" s="141"/>
      <c r="K723" s="141"/>
      <c r="L723" s="141"/>
      <c r="M723" s="141"/>
      <c r="N723" s="140"/>
      <c r="O723" s="140"/>
      <c r="P723" s="140"/>
      <c r="Q723" s="140"/>
      <c r="R723" s="140"/>
      <c r="S723" s="140"/>
      <c r="T723" s="140"/>
    </row>
    <row r="724" spans="1:20" ht="15" customHeight="1" x14ac:dyDescent="0.2">
      <c r="A724" s="141"/>
      <c r="B724" s="143" t="str">
        <f>IF(ISBLANK(A724),"",IF(AND(ISNA(VLOOKUP(A724,Interface_Platform!E:E,1,FALSE())),ISNA(VLOOKUP(A724,D:D,1,FALSE()))),"N","Y"))</f>
        <v/>
      </c>
      <c r="C724" s="143" t="s">
        <v>1475</v>
      </c>
      <c r="D724" s="143" t="s">
        <v>193</v>
      </c>
      <c r="E724" s="142">
        <v>1</v>
      </c>
      <c r="F724" s="144" t="str">
        <f>IF(AND(ISNA(VLOOKUP(D724,A:A,1,FALSE())),ISNA(VLOOKUP(D724,BaseType!A:A,1,FALSE())),D724&lt;&gt;"Struct"),"N","Y")</f>
        <v>Y</v>
      </c>
      <c r="G724" s="147" t="s">
        <v>1476</v>
      </c>
      <c r="H724" s="141"/>
      <c r="I724" s="141"/>
      <c r="J724" s="141"/>
      <c r="K724" s="141"/>
      <c r="L724" s="141"/>
      <c r="M724" s="141"/>
      <c r="N724" s="140"/>
      <c r="O724" s="140"/>
      <c r="P724" s="140"/>
      <c r="Q724" s="140"/>
      <c r="R724" s="140"/>
      <c r="S724" s="140"/>
      <c r="T724" s="140"/>
    </row>
    <row r="725" spans="1:20" ht="15" customHeight="1" x14ac:dyDescent="0.2">
      <c r="A725" s="141"/>
      <c r="B725" s="143" t="str">
        <f>IF(ISBLANK(A725),"",IF(AND(ISNA(VLOOKUP(A725,Interface_Platform!E:E,1,FALSE())),ISNA(VLOOKUP(A725,D:D,1,FALSE()))),"N","Y"))</f>
        <v/>
      </c>
      <c r="C725" s="143" t="s">
        <v>1477</v>
      </c>
      <c r="D725" s="143" t="s">
        <v>193</v>
      </c>
      <c r="E725" s="142">
        <v>1</v>
      </c>
      <c r="F725" s="144" t="str">
        <f>IF(AND(ISNA(VLOOKUP(D725,A:A,1,FALSE())),ISNA(VLOOKUP(D725,BaseType!A:A,1,FALSE())),D725&lt;&gt;"Struct"),"N","Y")</f>
        <v>Y</v>
      </c>
      <c r="G725" s="146"/>
      <c r="H725" s="141"/>
      <c r="I725" s="141"/>
      <c r="J725" s="141"/>
      <c r="K725" s="141"/>
      <c r="L725" s="141"/>
      <c r="M725" s="141"/>
      <c r="N725" s="140"/>
      <c r="O725" s="140"/>
      <c r="P725" s="140"/>
      <c r="Q725" s="140"/>
      <c r="R725" s="140"/>
      <c r="S725" s="140"/>
      <c r="T725" s="140"/>
    </row>
    <row r="726" spans="1:20" ht="15" customHeight="1" x14ac:dyDescent="0.2">
      <c r="A726" s="141"/>
      <c r="B726" s="143" t="str">
        <f>IF(ISBLANK(A726),"",IF(AND(ISNA(VLOOKUP(A726,Interface_Platform!E:E,1,FALSE())),ISNA(VLOOKUP(A726,D:D,1,FALSE()))),"N","Y"))</f>
        <v/>
      </c>
      <c r="C726" s="143" t="s">
        <v>1478</v>
      </c>
      <c r="D726" s="143" t="s">
        <v>298</v>
      </c>
      <c r="E726" s="142">
        <v>1</v>
      </c>
      <c r="F726" s="144" t="str">
        <f>IF(AND(ISNA(VLOOKUP(D726,A:A,1,FALSE())),ISNA(VLOOKUP(D726,BaseType!A:A,1,FALSE())),D726&lt;&gt;"Struct"),"N","Y")</f>
        <v>Y</v>
      </c>
      <c r="G726" s="146"/>
      <c r="H726" s="141"/>
      <c r="I726" s="141"/>
      <c r="J726" s="141"/>
      <c r="K726" s="141"/>
      <c r="L726" s="141"/>
      <c r="M726" s="141"/>
      <c r="N726" s="140"/>
      <c r="O726" s="140"/>
      <c r="P726" s="140"/>
      <c r="Q726" s="140"/>
      <c r="R726" s="140"/>
      <c r="S726" s="140"/>
      <c r="T726" s="140"/>
    </row>
    <row r="727" spans="1:20" ht="15" customHeight="1" x14ac:dyDescent="0.2">
      <c r="A727" s="141"/>
      <c r="B727" s="143" t="str">
        <f>IF(ISBLANK(A727),"",IF(AND(ISNA(VLOOKUP(A727,Interface_Platform!E:E,1,FALSE())),ISNA(VLOOKUP(A727,D:D,1,FALSE()))),"N","Y"))</f>
        <v/>
      </c>
      <c r="C727" s="143" t="s">
        <v>1479</v>
      </c>
      <c r="D727" s="143" t="s">
        <v>225</v>
      </c>
      <c r="E727" s="142">
        <v>1</v>
      </c>
      <c r="F727" s="144" t="str">
        <f>IF(AND(ISNA(VLOOKUP(D727,A:A,1,FALSE())),ISNA(VLOOKUP(D727,BaseType!A:A,1,FALSE())),D727&lt;&gt;"Struct"),"N","Y")</f>
        <v>Y</v>
      </c>
      <c r="G727" s="147" t="s">
        <v>1480</v>
      </c>
      <c r="H727" s="141"/>
      <c r="I727" s="141"/>
      <c r="J727" s="141"/>
      <c r="K727" s="141"/>
      <c r="L727" s="141"/>
      <c r="M727" s="141"/>
      <c r="N727" s="140"/>
      <c r="O727" s="140"/>
      <c r="P727" s="140"/>
      <c r="Q727" s="140"/>
      <c r="R727" s="140"/>
      <c r="S727" s="140"/>
      <c r="T727" s="140"/>
    </row>
    <row r="728" spans="1:20" ht="15" customHeight="1" x14ac:dyDescent="0.2">
      <c r="A728" s="141"/>
      <c r="B728" s="143" t="str">
        <f>IF(ISBLANK(A728),"",IF(AND(ISNA(VLOOKUP(A728,Interface_Platform!E:E,1,FALSE())),ISNA(VLOOKUP(A728,D:D,1,FALSE()))),"N","Y"))</f>
        <v/>
      </c>
      <c r="C728" s="143" t="s">
        <v>1481</v>
      </c>
      <c r="D728" s="143" t="s">
        <v>225</v>
      </c>
      <c r="E728" s="142">
        <v>1</v>
      </c>
      <c r="F728" s="144" t="str">
        <f>IF(AND(ISNA(VLOOKUP(D728,A:A,1,FALSE())),ISNA(VLOOKUP(D728,BaseType!A:A,1,FALSE())),D728&lt;&gt;"Struct"),"N","Y")</f>
        <v>Y</v>
      </c>
      <c r="G728" s="147" t="s">
        <v>1482</v>
      </c>
      <c r="H728" s="141"/>
      <c r="I728" s="141"/>
      <c r="J728" s="141"/>
      <c r="K728" s="141"/>
      <c r="L728" s="141"/>
      <c r="M728" s="141"/>
      <c r="N728" s="140"/>
      <c r="O728" s="140"/>
      <c r="P728" s="140"/>
      <c r="Q728" s="140"/>
      <c r="R728" s="140"/>
      <c r="S728" s="140"/>
      <c r="T728" s="140"/>
    </row>
    <row r="729" spans="1:20" ht="15" customHeight="1" x14ac:dyDescent="0.2">
      <c r="A729" s="143" t="s">
        <v>1483</v>
      </c>
      <c r="B729" s="143" t="str">
        <f>IF(ISBLANK(A729),"",IF(AND(ISNA(VLOOKUP(A729,Interface_Platform!E:E,1,FALSE())),ISNA(VLOOKUP(A729,D:D,1,FALSE()))),"N","Y"))</f>
        <v>Y</v>
      </c>
      <c r="C729" s="75"/>
      <c r="D729" s="143" t="s">
        <v>484</v>
      </c>
      <c r="E729" s="142">
        <v>1</v>
      </c>
      <c r="F729" s="144" t="str">
        <f>IF(AND(ISNA(VLOOKUP(D729,A:A,1,FALSE())),ISNA(VLOOKUP(D729,BaseType!A:A,1,FALSE())),D729&lt;&gt;"Struct"),"N","Y")</f>
        <v>Y</v>
      </c>
      <c r="G729" s="146"/>
      <c r="H729" s="141"/>
      <c r="I729" s="141"/>
      <c r="J729" s="141"/>
      <c r="K729" s="141"/>
      <c r="L729" s="141"/>
      <c r="M729" s="141"/>
      <c r="N729" s="140"/>
      <c r="O729" s="140"/>
      <c r="P729" s="140"/>
      <c r="Q729" s="140"/>
      <c r="R729" s="140"/>
      <c r="S729" s="140"/>
      <c r="T729" s="140"/>
    </row>
    <row r="730" spans="1:20" ht="15" customHeight="1" x14ac:dyDescent="0.2">
      <c r="A730" s="141"/>
      <c r="B730" s="143" t="str">
        <f>IF(ISBLANK(A730),"",IF(AND(ISNA(VLOOKUP(A730,Interface_Platform!E:E,1,FALSE())),ISNA(VLOOKUP(A730,D:D,1,FALSE()))),"N","Y"))</f>
        <v/>
      </c>
      <c r="C730" s="143" t="s">
        <v>1484</v>
      </c>
      <c r="D730" s="143" t="s">
        <v>193</v>
      </c>
      <c r="E730" s="142">
        <v>1</v>
      </c>
      <c r="F730" s="144" t="str">
        <f>IF(AND(ISNA(VLOOKUP(D730,A:A,1,FALSE())),ISNA(VLOOKUP(D730,BaseType!A:A,1,FALSE())),D730&lt;&gt;"Struct"),"N","Y")</f>
        <v>Y</v>
      </c>
      <c r="G730" s="147" t="s">
        <v>1485</v>
      </c>
      <c r="H730" s="141"/>
      <c r="I730" s="141"/>
      <c r="J730" s="141"/>
      <c r="K730" s="141"/>
      <c r="L730" s="141"/>
      <c r="M730" s="141"/>
      <c r="N730" s="140"/>
      <c r="O730" s="140"/>
      <c r="P730" s="140"/>
      <c r="Q730" s="140"/>
      <c r="R730" s="140"/>
      <c r="S730" s="140"/>
      <c r="T730" s="140"/>
    </row>
    <row r="731" spans="1:20" ht="15" customHeight="1" x14ac:dyDescent="0.2">
      <c r="A731" s="141"/>
      <c r="B731" s="143" t="str">
        <f>IF(ISBLANK(A731),"",IF(AND(ISNA(VLOOKUP(A731,Interface_Platform!E:E,1,FALSE())),ISNA(VLOOKUP(A731,D:D,1,FALSE()))),"N","Y"))</f>
        <v/>
      </c>
      <c r="C731" s="143" t="s">
        <v>1486</v>
      </c>
      <c r="D731" s="143" t="s">
        <v>193</v>
      </c>
      <c r="E731" s="142">
        <v>1</v>
      </c>
      <c r="F731" s="144" t="str">
        <f>IF(AND(ISNA(VLOOKUP(D731,A:A,1,FALSE())),ISNA(VLOOKUP(D731,BaseType!A:A,1,FALSE())),D731&lt;&gt;"Struct"),"N","Y")</f>
        <v>Y</v>
      </c>
      <c r="G731" s="147" t="s">
        <v>1487</v>
      </c>
      <c r="H731" s="141"/>
      <c r="I731" s="141"/>
      <c r="J731" s="141"/>
      <c r="K731" s="141"/>
      <c r="L731" s="141"/>
      <c r="M731" s="141"/>
      <c r="N731" s="140"/>
      <c r="O731" s="140"/>
      <c r="P731" s="140"/>
      <c r="Q731" s="140"/>
      <c r="R731" s="140"/>
      <c r="S731" s="140"/>
      <c r="T731" s="140"/>
    </row>
    <row r="732" spans="1:20" ht="15" customHeight="1" x14ac:dyDescent="0.2">
      <c r="A732" s="141"/>
      <c r="B732" s="143" t="str">
        <f>IF(ISBLANK(A732),"",IF(AND(ISNA(VLOOKUP(A732,Interface_Platform!E:E,1,FALSE())),ISNA(VLOOKUP(A732,D:D,1,FALSE()))),"N","Y"))</f>
        <v/>
      </c>
      <c r="C732" s="143" t="s">
        <v>1488</v>
      </c>
      <c r="D732" s="143" t="s">
        <v>193</v>
      </c>
      <c r="E732" s="142">
        <v>1</v>
      </c>
      <c r="F732" s="144" t="str">
        <f>IF(AND(ISNA(VLOOKUP(D732,A:A,1,FALSE())),ISNA(VLOOKUP(D732,BaseType!A:A,1,FALSE())),D732&lt;&gt;"Struct"),"N","Y")</f>
        <v>Y</v>
      </c>
      <c r="G732" s="147" t="s">
        <v>1489</v>
      </c>
      <c r="H732" s="141"/>
      <c r="I732" s="141"/>
      <c r="J732" s="141"/>
      <c r="K732" s="141"/>
      <c r="L732" s="141"/>
      <c r="M732" s="141"/>
      <c r="N732" s="140"/>
      <c r="O732" s="140"/>
      <c r="P732" s="140"/>
      <c r="Q732" s="140"/>
      <c r="R732" s="140"/>
      <c r="S732" s="140"/>
      <c r="T732" s="140"/>
    </row>
    <row r="733" spans="1:20" ht="15" customHeight="1" x14ac:dyDescent="0.2">
      <c r="A733" s="141"/>
      <c r="B733" s="143" t="str">
        <f>IF(ISBLANK(A733),"",IF(AND(ISNA(VLOOKUP(A733,Interface_Platform!E:E,1,FALSE())),ISNA(VLOOKUP(A733,D:D,1,FALSE()))),"N","Y"))</f>
        <v/>
      </c>
      <c r="C733" s="143" t="s">
        <v>1490</v>
      </c>
      <c r="D733" s="143" t="s">
        <v>193</v>
      </c>
      <c r="E733" s="142">
        <v>1</v>
      </c>
      <c r="F733" s="144" t="str">
        <f>IF(AND(ISNA(VLOOKUP(D733,A:A,1,FALSE())),ISNA(VLOOKUP(D733,BaseType!A:A,1,FALSE())),D733&lt;&gt;"Struct"),"N","Y")</f>
        <v>Y</v>
      </c>
      <c r="G733" s="147" t="s">
        <v>1491</v>
      </c>
      <c r="H733" s="141"/>
      <c r="I733" s="141"/>
      <c r="J733" s="141"/>
      <c r="K733" s="141"/>
      <c r="L733" s="141"/>
      <c r="M733" s="141"/>
      <c r="N733" s="140"/>
      <c r="O733" s="140"/>
      <c r="P733" s="140"/>
      <c r="Q733" s="140"/>
      <c r="R733" s="140"/>
      <c r="S733" s="140"/>
      <c r="T733" s="140"/>
    </row>
    <row r="734" spans="1:20" ht="15" customHeight="1" x14ac:dyDescent="0.2">
      <c r="A734" s="141"/>
      <c r="B734" s="143" t="str">
        <f>IF(ISBLANK(A734),"",IF(AND(ISNA(VLOOKUP(A734,Interface_Platform!E:E,1,FALSE())),ISNA(VLOOKUP(A734,D:D,1,FALSE()))),"N","Y"))</f>
        <v/>
      </c>
      <c r="C734" s="143" t="s">
        <v>1492</v>
      </c>
      <c r="D734" s="143" t="s">
        <v>225</v>
      </c>
      <c r="E734" s="142">
        <v>1</v>
      </c>
      <c r="F734" s="144" t="str">
        <f>IF(AND(ISNA(VLOOKUP(D734,A:A,1,FALSE())),ISNA(VLOOKUP(D734,BaseType!A:A,1,FALSE())),D734&lt;&gt;"Struct"),"N","Y")</f>
        <v>Y</v>
      </c>
      <c r="G734" s="147" t="s">
        <v>1493</v>
      </c>
      <c r="H734" s="141"/>
      <c r="I734" s="141"/>
      <c r="J734" s="141"/>
      <c r="K734" s="141"/>
      <c r="L734" s="141"/>
      <c r="M734" s="141"/>
      <c r="N734" s="140"/>
      <c r="O734" s="140"/>
      <c r="P734" s="140"/>
      <c r="Q734" s="140"/>
      <c r="R734" s="140"/>
      <c r="S734" s="140"/>
      <c r="T734" s="140"/>
    </row>
    <row r="735" spans="1:20" ht="15" customHeight="1" x14ac:dyDescent="0.2">
      <c r="A735" s="141"/>
      <c r="B735" s="143" t="str">
        <f>IF(ISBLANK(A735),"",IF(AND(ISNA(VLOOKUP(A735,Interface_Platform!E:E,1,FALSE())),ISNA(VLOOKUP(A735,D:D,1,FALSE()))),"N","Y"))</f>
        <v/>
      </c>
      <c r="C735" s="143" t="s">
        <v>1494</v>
      </c>
      <c r="D735" s="143" t="s">
        <v>225</v>
      </c>
      <c r="E735" s="142">
        <v>1</v>
      </c>
      <c r="F735" s="144" t="str">
        <f>IF(AND(ISNA(VLOOKUP(D735,A:A,1,FALSE())),ISNA(VLOOKUP(D735,BaseType!A:A,1,FALSE())),D735&lt;&gt;"Struct"),"N","Y")</f>
        <v>Y</v>
      </c>
      <c r="G735" s="147" t="s">
        <v>1495</v>
      </c>
      <c r="H735" s="141"/>
      <c r="I735" s="141"/>
      <c r="J735" s="141"/>
      <c r="K735" s="141"/>
      <c r="L735" s="141"/>
      <c r="M735" s="141"/>
      <c r="N735" s="140"/>
      <c r="O735" s="140"/>
      <c r="P735" s="140"/>
      <c r="Q735" s="140"/>
      <c r="R735" s="140"/>
      <c r="S735" s="140"/>
      <c r="T735" s="140"/>
    </row>
    <row r="736" spans="1:20" ht="15" customHeight="1" x14ac:dyDescent="0.2">
      <c r="A736" s="141"/>
      <c r="B736" s="143" t="str">
        <f>IF(ISBLANK(A736),"",IF(AND(ISNA(VLOOKUP(A736,Interface_Platform!E:E,1,FALSE())),ISNA(VLOOKUP(A736,D:D,1,FALSE()))),"N","Y"))</f>
        <v/>
      </c>
      <c r="C736" s="143" t="s">
        <v>1496</v>
      </c>
      <c r="D736" s="143" t="s">
        <v>225</v>
      </c>
      <c r="E736" s="142">
        <v>1</v>
      </c>
      <c r="F736" s="144" t="str">
        <f>IF(AND(ISNA(VLOOKUP(D736,A:A,1,FALSE())),ISNA(VLOOKUP(D736,BaseType!A:A,1,FALSE())),D736&lt;&gt;"Struct"),"N","Y")</f>
        <v>Y</v>
      </c>
      <c r="G736" s="147" t="s">
        <v>1497</v>
      </c>
      <c r="H736" s="141"/>
      <c r="I736" s="141"/>
      <c r="J736" s="141"/>
      <c r="K736" s="141"/>
      <c r="L736" s="141"/>
      <c r="M736" s="141"/>
      <c r="N736" s="140"/>
      <c r="O736" s="140"/>
      <c r="P736" s="140"/>
      <c r="Q736" s="140"/>
      <c r="R736" s="140"/>
      <c r="S736" s="140"/>
      <c r="T736" s="140"/>
    </row>
    <row r="737" spans="1:20" ht="15" customHeight="1" x14ac:dyDescent="0.2">
      <c r="A737" s="141"/>
      <c r="B737" s="143" t="str">
        <f>IF(ISBLANK(A737),"",IF(AND(ISNA(VLOOKUP(A737,Interface_Platform!E:E,1,FALSE())),ISNA(VLOOKUP(A737,D:D,1,FALSE()))),"N","Y"))</f>
        <v/>
      </c>
      <c r="C737" s="143" t="s">
        <v>1498</v>
      </c>
      <c r="D737" s="143" t="s">
        <v>225</v>
      </c>
      <c r="E737" s="142">
        <v>1</v>
      </c>
      <c r="F737" s="144" t="str">
        <f>IF(AND(ISNA(VLOOKUP(D737,A:A,1,FALSE())),ISNA(VLOOKUP(D737,BaseType!A:A,1,FALSE())),D737&lt;&gt;"Struct"),"N","Y")</f>
        <v>Y</v>
      </c>
      <c r="G737" s="147" t="s">
        <v>1499</v>
      </c>
      <c r="H737" s="141"/>
      <c r="I737" s="141"/>
      <c r="J737" s="141"/>
      <c r="K737" s="141"/>
      <c r="L737" s="141"/>
      <c r="M737" s="141"/>
      <c r="N737" s="140"/>
      <c r="O737" s="140"/>
      <c r="P737" s="140"/>
      <c r="Q737" s="140"/>
      <c r="R737" s="140"/>
      <c r="S737" s="140"/>
      <c r="T737" s="140"/>
    </row>
    <row r="738" spans="1:20" ht="15" customHeight="1" x14ac:dyDescent="0.2">
      <c r="A738" s="141"/>
      <c r="B738" s="143" t="str">
        <f>IF(ISBLANK(A738),"",IF(AND(ISNA(VLOOKUP(A738,Interface_Platform!E:E,1,FALSE())),ISNA(VLOOKUP(A738,D:D,1,FALSE()))),"N","Y"))</f>
        <v/>
      </c>
      <c r="C738" s="143" t="s">
        <v>1500</v>
      </c>
      <c r="D738" s="143" t="s">
        <v>225</v>
      </c>
      <c r="E738" s="142">
        <v>1</v>
      </c>
      <c r="F738" s="144" t="str">
        <f>IF(AND(ISNA(VLOOKUP(D738,A:A,1,FALSE())),ISNA(VLOOKUP(D738,BaseType!A:A,1,FALSE())),D738&lt;&gt;"Struct"),"N","Y")</f>
        <v>Y</v>
      </c>
      <c r="G738" s="147" t="s">
        <v>1501</v>
      </c>
      <c r="H738" s="141"/>
      <c r="I738" s="141"/>
      <c r="J738" s="141"/>
      <c r="K738" s="141"/>
      <c r="L738" s="141"/>
      <c r="M738" s="141"/>
      <c r="N738" s="140"/>
      <c r="O738" s="140"/>
      <c r="P738" s="140"/>
      <c r="Q738" s="140"/>
      <c r="R738" s="140"/>
      <c r="S738" s="140"/>
      <c r="T738" s="140"/>
    </row>
    <row r="739" spans="1:20" ht="15" customHeight="1" x14ac:dyDescent="0.2">
      <c r="A739" s="141"/>
      <c r="B739" s="143" t="str">
        <f>IF(ISBLANK(A739),"",IF(AND(ISNA(VLOOKUP(A739,Interface_Platform!E:E,1,FALSE())),ISNA(VLOOKUP(A739,D:D,1,FALSE()))),"N","Y"))</f>
        <v/>
      </c>
      <c r="C739" s="143" t="s">
        <v>1502</v>
      </c>
      <c r="D739" s="143" t="s">
        <v>225</v>
      </c>
      <c r="E739" s="142">
        <v>1</v>
      </c>
      <c r="F739" s="144" t="str">
        <f>IF(AND(ISNA(VLOOKUP(D739,A:A,1,FALSE())),ISNA(VLOOKUP(D739,BaseType!A:A,1,FALSE())),D739&lt;&gt;"Struct"),"N","Y")</f>
        <v>Y</v>
      </c>
      <c r="G739" s="147" t="s">
        <v>1503</v>
      </c>
      <c r="H739" s="141"/>
      <c r="I739" s="141"/>
      <c r="J739" s="141"/>
      <c r="K739" s="141"/>
      <c r="L739" s="141"/>
      <c r="M739" s="141"/>
      <c r="N739" s="140"/>
      <c r="O739" s="140"/>
      <c r="P739" s="140"/>
      <c r="Q739" s="140"/>
      <c r="R739" s="140"/>
      <c r="S739" s="140"/>
      <c r="T739" s="140"/>
    </row>
    <row r="740" spans="1:20" ht="15" customHeight="1" x14ac:dyDescent="0.2">
      <c r="A740" s="141"/>
      <c r="B740" s="143" t="str">
        <f>IF(ISBLANK(A740),"",IF(AND(ISNA(VLOOKUP(A740,Interface_Platform!E:E,1,FALSE())),ISNA(VLOOKUP(A740,D:D,1,FALSE()))),"N","Y"))</f>
        <v/>
      </c>
      <c r="C740" s="143" t="s">
        <v>1504</v>
      </c>
      <c r="D740" s="143" t="s">
        <v>225</v>
      </c>
      <c r="E740" s="142">
        <v>1</v>
      </c>
      <c r="F740" s="144" t="str">
        <f>IF(AND(ISNA(VLOOKUP(D740,A:A,1,FALSE())),ISNA(VLOOKUP(D740,BaseType!A:A,1,FALSE())),D740&lt;&gt;"Struct"),"N","Y")</f>
        <v>Y</v>
      </c>
      <c r="G740" s="147" t="s">
        <v>1505</v>
      </c>
      <c r="H740" s="141"/>
      <c r="I740" s="141"/>
      <c r="J740" s="141"/>
      <c r="K740" s="141"/>
      <c r="L740" s="141"/>
      <c r="M740" s="141"/>
      <c r="N740" s="140"/>
      <c r="O740" s="140"/>
      <c r="P740" s="140"/>
      <c r="Q740" s="140"/>
      <c r="R740" s="140"/>
      <c r="S740" s="140"/>
      <c r="T740" s="140"/>
    </row>
    <row r="741" spans="1:20" ht="15" customHeight="1" x14ac:dyDescent="0.2">
      <c r="A741" s="143" t="s">
        <v>168</v>
      </c>
      <c r="B741" s="143" t="str">
        <f>IF(ISBLANK(A741),"",IF(AND(ISNA(VLOOKUP(A741,Interface_Platform!E:E,1,FALSE())),ISNA(VLOOKUP(A741,D:D,1,FALSE()))),"N","Y"))</f>
        <v>Y</v>
      </c>
      <c r="C741" s="75"/>
      <c r="D741" s="143" t="s">
        <v>484</v>
      </c>
      <c r="E741" s="40"/>
      <c r="F741" s="144" t="str">
        <f>IF(AND(ISNA(VLOOKUP(D741,A:A,1,FALSE())),ISNA(VLOOKUP(D741,BaseType!A:A,1,FALSE())),D741&lt;&gt;"Struct"),"N","Y")</f>
        <v>Y</v>
      </c>
      <c r="G741" s="146"/>
      <c r="H741" s="141"/>
      <c r="I741" s="141"/>
      <c r="J741" s="141"/>
      <c r="K741" s="141"/>
      <c r="L741" s="141"/>
      <c r="M741" s="141"/>
      <c r="N741" s="140"/>
      <c r="O741" s="140"/>
      <c r="P741" s="140"/>
      <c r="Q741" s="140"/>
      <c r="R741" s="140"/>
      <c r="S741" s="140"/>
      <c r="T741" s="140"/>
    </row>
    <row r="742" spans="1:20" ht="15" customHeight="1" x14ac:dyDescent="0.2">
      <c r="A742" s="141"/>
      <c r="B742" s="143" t="str">
        <f>IF(ISBLANK(A742),"",IF(AND(ISNA(VLOOKUP(A742,Interface_Platform!E:E,1,FALSE())),ISNA(VLOOKUP(A742,D:D,1,FALSE()))),"N","Y"))</f>
        <v/>
      </c>
      <c r="C742" s="143" t="s">
        <v>1506</v>
      </c>
      <c r="D742" s="143" t="s">
        <v>1460</v>
      </c>
      <c r="E742" s="142">
        <v>1</v>
      </c>
      <c r="F742" s="144" t="str">
        <f>IF(AND(ISNA(VLOOKUP(D742,A:A,1,FALSE())),ISNA(VLOOKUP(D742,BaseType!A:A,1,FALSE())),D742&lt;&gt;"Struct"),"N","Y")</f>
        <v>Y</v>
      </c>
      <c r="G742" s="146"/>
      <c r="H742" s="141"/>
      <c r="I742" s="141"/>
      <c r="J742" s="141"/>
      <c r="K742" s="141"/>
      <c r="L742" s="141"/>
      <c r="M742" s="141"/>
      <c r="N742" s="140"/>
      <c r="O742" s="140"/>
      <c r="P742" s="140"/>
      <c r="Q742" s="140"/>
      <c r="R742" s="140"/>
      <c r="S742" s="140"/>
      <c r="T742" s="140"/>
    </row>
    <row r="743" spans="1:20" ht="15" customHeight="1" x14ac:dyDescent="0.2">
      <c r="A743" s="141"/>
      <c r="B743" s="143"/>
      <c r="C743" s="181" t="s">
        <v>1507</v>
      </c>
      <c r="D743" s="181" t="s">
        <v>1389</v>
      </c>
      <c r="E743" s="154">
        <v>1</v>
      </c>
      <c r="F743" s="144" t="str">
        <f>IF(AND(ISNA(VLOOKUP(D743,A:A,1,FALSE())),ISNA(VLOOKUP(D743,BaseType!A:A,1,FALSE())),D743&lt;&gt;"Struct"),"N","Y")</f>
        <v>Y</v>
      </c>
      <c r="G743" s="146"/>
      <c r="H743" s="141"/>
      <c r="I743" s="141"/>
      <c r="J743" s="141"/>
      <c r="K743" s="141"/>
      <c r="L743" s="141"/>
      <c r="M743" s="141"/>
      <c r="N743" s="140"/>
      <c r="O743" s="140"/>
      <c r="P743" s="140"/>
      <c r="Q743" s="140"/>
      <c r="R743" s="140"/>
      <c r="S743" s="140"/>
      <c r="T743" s="140"/>
    </row>
    <row r="744" spans="1:20" ht="15" customHeight="1" x14ac:dyDescent="0.2">
      <c r="A744" s="141"/>
      <c r="B744" s="143" t="str">
        <f>IF(ISBLANK(A744),"",IF(AND(ISNA(VLOOKUP(A744,Interface_Platform!E:E,1,FALSE())),ISNA(VLOOKUP(A744,D:D,1,FALSE()))),"N","Y"))</f>
        <v/>
      </c>
      <c r="C744" s="143" t="s">
        <v>1508</v>
      </c>
      <c r="D744" s="143" t="s">
        <v>1483</v>
      </c>
      <c r="E744" s="142">
        <v>12</v>
      </c>
      <c r="F744" s="144" t="str">
        <f>IF(AND(ISNA(VLOOKUP(D744,A:A,1,FALSE())),ISNA(VLOOKUP(D744,BaseType!A:A,1,FALSE())),D744&lt;&gt;"Struct"),"N","Y")</f>
        <v>Y</v>
      </c>
      <c r="G744" s="146"/>
      <c r="H744" s="141"/>
      <c r="I744" s="141"/>
      <c r="J744" s="141"/>
      <c r="K744" s="141"/>
      <c r="L744" s="141"/>
      <c r="M744" s="141"/>
      <c r="N744" s="140"/>
      <c r="O744" s="140"/>
      <c r="P744" s="140"/>
      <c r="Q744" s="140"/>
      <c r="R744" s="140"/>
      <c r="S744" s="140"/>
      <c r="T744" s="140"/>
    </row>
    <row r="745" spans="1:20" ht="15" customHeight="1" x14ac:dyDescent="0.2">
      <c r="A745" s="143" t="s">
        <v>1509</v>
      </c>
      <c r="B745" s="143" t="str">
        <f>IF(ISBLANK(A745),"",IF(AND(ISNA(VLOOKUP(A745,Interface_Platform!E:E,1,FALSE())),ISNA(VLOOKUP(A745,D:D,1,FALSE()))),"N","Y"))</f>
        <v>Y</v>
      </c>
      <c r="C745" s="75"/>
      <c r="D745" s="143" t="s">
        <v>484</v>
      </c>
      <c r="E745" s="40"/>
      <c r="F745" s="144" t="str">
        <f>IF(AND(ISNA(VLOOKUP(D745,A:A,1,FALSE())),ISNA(VLOOKUP(D745,BaseType!A:A,1,FALSE())),D745&lt;&gt;"Struct"),"N","Y")</f>
        <v>Y</v>
      </c>
      <c r="G745" s="146"/>
      <c r="H745" s="141"/>
      <c r="I745" s="141"/>
      <c r="J745" s="141"/>
      <c r="K745" s="141"/>
      <c r="L745" s="141"/>
      <c r="M745" s="141"/>
      <c r="N745" s="140"/>
      <c r="O745" s="140"/>
      <c r="P745" s="140"/>
      <c r="Q745" s="140"/>
      <c r="R745" s="140"/>
      <c r="S745" s="140"/>
      <c r="T745" s="140"/>
    </row>
    <row r="746" spans="1:20" ht="15" customHeight="1" x14ac:dyDescent="0.2">
      <c r="A746" s="141"/>
      <c r="B746" s="143" t="str">
        <f>IF(ISBLANK(A746),"",IF(AND(ISNA(VLOOKUP(A746,Interface_Platform!E:E,1,FALSE())),ISNA(VLOOKUP(A746,D:D,1,FALSE()))),"N","Y"))</f>
        <v/>
      </c>
      <c r="C746" s="143" t="s">
        <v>1510</v>
      </c>
      <c r="D746" s="143" t="s">
        <v>193</v>
      </c>
      <c r="E746" s="142">
        <v>1</v>
      </c>
      <c r="F746" s="144" t="str">
        <f>IF(AND(ISNA(VLOOKUP(D746,A:A,1,FALSE())),ISNA(VLOOKUP(D746,BaseType!A:A,1,FALSE())),D746&lt;&gt;"Struct"),"N","Y")</f>
        <v>Y</v>
      </c>
      <c r="G746" s="147" t="s">
        <v>1511</v>
      </c>
      <c r="H746" s="141"/>
      <c r="I746" s="141"/>
      <c r="J746" s="141"/>
      <c r="K746" s="141"/>
      <c r="L746" s="141"/>
      <c r="M746" s="141"/>
      <c r="N746" s="140"/>
      <c r="O746" s="140"/>
      <c r="P746" s="140"/>
      <c r="Q746" s="140"/>
      <c r="R746" s="140"/>
      <c r="S746" s="140"/>
      <c r="T746" s="140"/>
    </row>
    <row r="747" spans="1:20" ht="15" customHeight="1" x14ac:dyDescent="0.2">
      <c r="A747" s="141"/>
      <c r="B747" s="143" t="str">
        <f>IF(ISBLANK(A747),"",IF(AND(ISNA(VLOOKUP(A747,Interface_Platform!E:E,1,FALSE())),ISNA(VLOOKUP(A747,D:D,1,FALSE()))),"N","Y"))</f>
        <v/>
      </c>
      <c r="C747" s="143" t="s">
        <v>1512</v>
      </c>
      <c r="D747" s="143" t="s">
        <v>193</v>
      </c>
      <c r="E747" s="142">
        <v>1</v>
      </c>
      <c r="F747" s="144" t="str">
        <f>IF(AND(ISNA(VLOOKUP(D747,A:A,1,FALSE())),ISNA(VLOOKUP(D747,BaseType!A:A,1,FALSE())),D747&lt;&gt;"Struct"),"N","Y")</f>
        <v>Y</v>
      </c>
      <c r="G747" s="147" t="s">
        <v>1513</v>
      </c>
      <c r="H747" s="141"/>
      <c r="I747" s="141"/>
      <c r="J747" s="141"/>
      <c r="K747" s="141"/>
      <c r="L747" s="141"/>
      <c r="M747" s="141"/>
      <c r="N747" s="140"/>
      <c r="O747" s="140"/>
      <c r="P747" s="140"/>
      <c r="Q747" s="140"/>
      <c r="R747" s="140"/>
      <c r="S747" s="140"/>
      <c r="T747" s="140"/>
    </row>
    <row r="748" spans="1:20" ht="15" customHeight="1" x14ac:dyDescent="0.2">
      <c r="A748" s="141"/>
      <c r="B748" s="143" t="str">
        <f>IF(ISBLANK(A748),"",IF(AND(ISNA(VLOOKUP(A748,Interface_Platform!E:E,1,FALSE())),ISNA(VLOOKUP(A748,D:D,1,FALSE()))),"N","Y"))</f>
        <v/>
      </c>
      <c r="C748" s="143" t="s">
        <v>1514</v>
      </c>
      <c r="D748" s="143" t="s">
        <v>193</v>
      </c>
      <c r="E748" s="142">
        <v>1</v>
      </c>
      <c r="F748" s="144" t="str">
        <f>IF(AND(ISNA(VLOOKUP(D748,A:A,1,FALSE())),ISNA(VLOOKUP(D748,BaseType!A:A,1,FALSE())),D748&lt;&gt;"Struct"),"N","Y")</f>
        <v>Y</v>
      </c>
      <c r="G748" s="147" t="s">
        <v>1515</v>
      </c>
      <c r="H748" s="141"/>
      <c r="I748" s="141"/>
      <c r="J748" s="141"/>
      <c r="K748" s="141"/>
      <c r="L748" s="141"/>
      <c r="M748" s="141"/>
      <c r="N748" s="140"/>
      <c r="O748" s="140"/>
      <c r="P748" s="140"/>
      <c r="Q748" s="140"/>
      <c r="R748" s="140"/>
      <c r="S748" s="140"/>
      <c r="T748" s="140"/>
    </row>
    <row r="749" spans="1:20" ht="15" customHeight="1" x14ac:dyDescent="0.2">
      <c r="A749" s="141"/>
      <c r="B749" s="143" t="str">
        <f>IF(ISBLANK(A749),"",IF(AND(ISNA(VLOOKUP(A749,Interface_Platform!E:E,1,FALSE())),ISNA(VLOOKUP(A749,D:D,1,FALSE()))),"N","Y"))</f>
        <v/>
      </c>
      <c r="C749" s="143" t="s">
        <v>1516</v>
      </c>
      <c r="D749" s="143" t="s">
        <v>193</v>
      </c>
      <c r="E749" s="142">
        <v>1</v>
      </c>
      <c r="F749" s="144" t="str">
        <f>IF(AND(ISNA(VLOOKUP(D749,A:A,1,FALSE())),ISNA(VLOOKUP(D749,BaseType!A:A,1,FALSE())),D749&lt;&gt;"Struct"),"N","Y")</f>
        <v>Y</v>
      </c>
      <c r="G749" s="147" t="s">
        <v>1517</v>
      </c>
      <c r="H749" s="141"/>
      <c r="I749" s="141"/>
      <c r="J749" s="141"/>
      <c r="K749" s="141"/>
      <c r="L749" s="141"/>
      <c r="M749" s="141"/>
      <c r="N749" s="140"/>
      <c r="O749" s="140"/>
      <c r="P749" s="140"/>
      <c r="Q749" s="140"/>
      <c r="R749" s="140"/>
      <c r="S749" s="140"/>
      <c r="T749" s="140"/>
    </row>
    <row r="750" spans="1:20" ht="15" customHeight="1" x14ac:dyDescent="0.2">
      <c r="A750" s="141"/>
      <c r="B750" s="143" t="str">
        <f>IF(ISBLANK(A750),"",IF(AND(ISNA(VLOOKUP(A750,Interface_Platform!E:E,1,FALSE())),ISNA(VLOOKUP(A750,D:D,1,FALSE()))),"N","Y"))</f>
        <v/>
      </c>
      <c r="C750" s="143" t="s">
        <v>1518</v>
      </c>
      <c r="D750" s="143" t="s">
        <v>298</v>
      </c>
      <c r="E750" s="142">
        <v>1</v>
      </c>
      <c r="F750" s="144" t="str">
        <f>IF(AND(ISNA(VLOOKUP(D750,A:A,1,FALSE())),ISNA(VLOOKUP(D750,BaseType!A:A,1,FALSE())),D750&lt;&gt;"Struct"),"N","Y")</f>
        <v>Y</v>
      </c>
      <c r="G750" s="147" t="s">
        <v>1519</v>
      </c>
      <c r="H750" s="141"/>
      <c r="I750" s="141"/>
      <c r="J750" s="141"/>
      <c r="K750" s="141"/>
      <c r="L750" s="141"/>
      <c r="M750" s="141"/>
      <c r="N750" s="140"/>
      <c r="O750" s="140"/>
      <c r="P750" s="140"/>
      <c r="Q750" s="140"/>
      <c r="R750" s="140"/>
      <c r="S750" s="140"/>
      <c r="T750" s="140"/>
    </row>
    <row r="751" spans="1:20" ht="15" customHeight="1" x14ac:dyDescent="0.2">
      <c r="A751" s="141"/>
      <c r="B751" s="143" t="str">
        <f>IF(ISBLANK(A751),"",IF(AND(ISNA(VLOOKUP(A751,Interface_Platform!E:E,1,FALSE())),ISNA(VLOOKUP(A751,D:D,1,FALSE()))),"N","Y"))</f>
        <v/>
      </c>
      <c r="C751" s="143" t="s">
        <v>1520</v>
      </c>
      <c r="D751" s="143" t="s">
        <v>225</v>
      </c>
      <c r="E751" s="142">
        <v>1</v>
      </c>
      <c r="F751" s="144" t="str">
        <f>IF(AND(ISNA(VLOOKUP(D751,A:A,1,FALSE())),ISNA(VLOOKUP(D751,BaseType!A:A,1,FALSE())),D751&lt;&gt;"Struct"),"N","Y")</f>
        <v>Y</v>
      </c>
      <c r="G751" s="147" t="s">
        <v>1521</v>
      </c>
      <c r="H751" s="141"/>
      <c r="I751" s="141"/>
      <c r="J751" s="141"/>
      <c r="K751" s="141"/>
      <c r="L751" s="141"/>
      <c r="M751" s="141"/>
      <c r="N751" s="140"/>
      <c r="O751" s="140"/>
      <c r="P751" s="140"/>
      <c r="Q751" s="140"/>
      <c r="R751" s="140"/>
      <c r="S751" s="140"/>
      <c r="T751" s="140"/>
    </row>
    <row r="752" spans="1:20" ht="15" customHeight="1" x14ac:dyDescent="0.2">
      <c r="A752" s="141"/>
      <c r="B752" s="143" t="str">
        <f>IF(ISBLANK(A752),"",IF(AND(ISNA(VLOOKUP(A752,Interface_Platform!E:E,1,FALSE())),ISNA(VLOOKUP(A752,D:D,1,FALSE()))),"N","Y"))</f>
        <v/>
      </c>
      <c r="C752" s="143" t="s">
        <v>1522</v>
      </c>
      <c r="D752" s="143" t="s">
        <v>225</v>
      </c>
      <c r="E752" s="142">
        <v>1</v>
      </c>
      <c r="F752" s="144" t="str">
        <f>IF(AND(ISNA(VLOOKUP(D752,A:A,1,FALSE())),ISNA(VLOOKUP(D752,BaseType!A:A,1,FALSE())),D752&lt;&gt;"Struct"),"N","Y")</f>
        <v>Y</v>
      </c>
      <c r="G752" s="147" t="s">
        <v>1523</v>
      </c>
      <c r="H752" s="141"/>
      <c r="I752" s="141"/>
      <c r="J752" s="141"/>
      <c r="K752" s="141"/>
      <c r="L752" s="141"/>
      <c r="M752" s="141"/>
      <c r="N752" s="140"/>
      <c r="O752" s="140"/>
      <c r="P752" s="140"/>
      <c r="Q752" s="140"/>
      <c r="R752" s="140"/>
      <c r="S752" s="140"/>
      <c r="T752" s="140"/>
    </row>
    <row r="753" spans="1:20" ht="15" customHeight="1" x14ac:dyDescent="0.2">
      <c r="A753" s="143" t="s">
        <v>1524</v>
      </c>
      <c r="B753" s="143" t="str">
        <f>IF(ISBLANK(A753),"",IF(AND(ISNA(VLOOKUP(A753,Interface_Platform!E:E,1,FALSE())),ISNA(VLOOKUP(A753,D:D,1,FALSE()))),"N","Y"))</f>
        <v>Y</v>
      </c>
      <c r="C753" s="75"/>
      <c r="D753" s="143" t="s">
        <v>484</v>
      </c>
      <c r="E753" s="40"/>
      <c r="F753" s="144" t="str">
        <f>IF(AND(ISNA(VLOOKUP(D753,A:A,1,FALSE())),ISNA(VLOOKUP(D753,BaseType!A:A,1,FALSE())),D753&lt;&gt;"Struct"),"N","Y")</f>
        <v>Y</v>
      </c>
      <c r="G753" s="146"/>
      <c r="H753" s="141"/>
      <c r="I753" s="141"/>
      <c r="J753" s="141"/>
      <c r="K753" s="141"/>
      <c r="L753" s="141"/>
      <c r="M753" s="141"/>
      <c r="N753" s="140"/>
      <c r="O753" s="140"/>
      <c r="P753" s="140"/>
      <c r="Q753" s="140"/>
      <c r="R753" s="140"/>
      <c r="S753" s="140"/>
      <c r="T753" s="140"/>
    </row>
    <row r="754" spans="1:20" ht="15" customHeight="1" x14ac:dyDescent="0.2">
      <c r="A754" s="141"/>
      <c r="B754" s="143" t="str">
        <f>IF(ISBLANK(A754),"",IF(AND(ISNA(VLOOKUP(A754,Interface_Platform!E:E,1,FALSE())),ISNA(VLOOKUP(A754,D:D,1,FALSE()))),"N","Y"))</f>
        <v/>
      </c>
      <c r="C754" s="143" t="s">
        <v>1401</v>
      </c>
      <c r="D754" s="143" t="s">
        <v>193</v>
      </c>
      <c r="E754" s="142">
        <v>1</v>
      </c>
      <c r="F754" s="144" t="str">
        <f>IF(AND(ISNA(VLOOKUP(D754,A:A,1,FALSE())),ISNA(VLOOKUP(D754,BaseType!A:A,1,FALSE())),D754&lt;&gt;"Struct"),"N","Y")</f>
        <v>Y</v>
      </c>
      <c r="G754" s="147" t="s">
        <v>1467</v>
      </c>
      <c r="H754" s="141"/>
      <c r="I754" s="141"/>
      <c r="J754" s="141"/>
      <c r="K754" s="141"/>
      <c r="L754" s="141"/>
      <c r="M754" s="141"/>
      <c r="N754" s="140"/>
      <c r="O754" s="140"/>
      <c r="P754" s="140"/>
      <c r="Q754" s="140"/>
      <c r="R754" s="140"/>
      <c r="S754" s="140"/>
      <c r="T754" s="140"/>
    </row>
    <row r="755" spans="1:20" ht="15" customHeight="1" x14ac:dyDescent="0.2">
      <c r="A755" s="141"/>
      <c r="B755" s="143" t="str">
        <f>IF(ISBLANK(A755),"",IF(AND(ISNA(VLOOKUP(A755,Interface_Platform!E:E,1,FALSE())),ISNA(VLOOKUP(A755,D:D,1,FALSE()))),"N","Y"))</f>
        <v/>
      </c>
      <c r="C755" s="143" t="s">
        <v>1402</v>
      </c>
      <c r="D755" s="143" t="s">
        <v>193</v>
      </c>
      <c r="E755" s="142">
        <v>1</v>
      </c>
      <c r="F755" s="144" t="str">
        <f>IF(AND(ISNA(VLOOKUP(D755,A:A,1,FALSE())),ISNA(VLOOKUP(D755,BaseType!A:A,1,FALSE())),D755&lt;&gt;"Struct"),"N","Y")</f>
        <v>Y</v>
      </c>
      <c r="G755" s="147" t="s">
        <v>1468</v>
      </c>
      <c r="H755" s="141"/>
      <c r="I755" s="141"/>
      <c r="J755" s="141"/>
      <c r="K755" s="141"/>
      <c r="L755" s="141"/>
      <c r="M755" s="141"/>
      <c r="N755" s="140"/>
      <c r="O755" s="140"/>
      <c r="P755" s="140"/>
      <c r="Q755" s="140"/>
      <c r="R755" s="140"/>
      <c r="S755" s="140"/>
      <c r="T755" s="140"/>
    </row>
    <row r="756" spans="1:20" ht="15" customHeight="1" x14ac:dyDescent="0.2">
      <c r="A756" s="141"/>
      <c r="B756" s="143" t="str">
        <f>IF(ISBLANK(A756),"",IF(AND(ISNA(VLOOKUP(A756,Interface_Platform!E:E,1,FALSE())),ISNA(VLOOKUP(A756,D:D,1,FALSE()))),"N","Y"))</f>
        <v/>
      </c>
      <c r="C756" s="143" t="s">
        <v>1525</v>
      </c>
      <c r="D756" s="143" t="s">
        <v>193</v>
      </c>
      <c r="E756" s="142">
        <v>1</v>
      </c>
      <c r="F756" s="144" t="str">
        <f>IF(AND(ISNA(VLOOKUP(D756,A:A,1,FALSE())),ISNA(VLOOKUP(D756,BaseType!A:A,1,FALSE())),D756&lt;&gt;"Struct"),"N","Y")</f>
        <v>Y</v>
      </c>
      <c r="G756" s="147" t="s">
        <v>1526</v>
      </c>
      <c r="H756" s="141"/>
      <c r="I756" s="141"/>
      <c r="J756" s="141"/>
      <c r="K756" s="141"/>
      <c r="L756" s="141"/>
      <c r="M756" s="141"/>
      <c r="N756" s="140"/>
      <c r="O756" s="140"/>
      <c r="P756" s="140"/>
      <c r="Q756" s="140"/>
      <c r="R756" s="140"/>
      <c r="S756" s="140"/>
      <c r="T756" s="140"/>
    </row>
    <row r="757" spans="1:20" ht="15" customHeight="1" x14ac:dyDescent="0.2">
      <c r="A757" s="141"/>
      <c r="B757" s="143" t="str">
        <f>IF(ISBLANK(A757),"",IF(AND(ISNA(VLOOKUP(A757,Interface_Platform!E:E,1,FALSE())),ISNA(VLOOKUP(A757,D:D,1,FALSE()))),"N","Y"))</f>
        <v/>
      </c>
      <c r="C757" s="143" t="s">
        <v>1527</v>
      </c>
      <c r="D757" s="143" t="s">
        <v>193</v>
      </c>
      <c r="E757" s="142">
        <v>1</v>
      </c>
      <c r="F757" s="144" t="str">
        <f>IF(AND(ISNA(VLOOKUP(D757,A:A,1,FALSE())),ISNA(VLOOKUP(D757,BaseType!A:A,1,FALSE())),D757&lt;&gt;"Struct"),"N","Y")</f>
        <v>Y</v>
      </c>
      <c r="G757" s="146"/>
      <c r="H757" s="141"/>
      <c r="I757" s="141"/>
      <c r="J757" s="141"/>
      <c r="K757" s="141"/>
      <c r="L757" s="141"/>
      <c r="M757" s="141"/>
      <c r="N757" s="140"/>
      <c r="O757" s="140"/>
      <c r="P757" s="140"/>
      <c r="Q757" s="140"/>
      <c r="R757" s="140"/>
      <c r="S757" s="140"/>
      <c r="T757" s="140"/>
    </row>
    <row r="758" spans="1:20" ht="15" customHeight="1" x14ac:dyDescent="0.2">
      <c r="A758" s="141"/>
      <c r="B758" s="143" t="str">
        <f>IF(ISBLANK(A758),"",IF(AND(ISNA(VLOOKUP(A758,Interface_Platform!E:E,1,FALSE())),ISNA(VLOOKUP(A758,D:D,1,FALSE()))),"N","Y"))</f>
        <v/>
      </c>
      <c r="C758" s="143" t="s">
        <v>1528</v>
      </c>
      <c r="D758" s="143" t="s">
        <v>298</v>
      </c>
      <c r="E758" s="142">
        <v>1</v>
      </c>
      <c r="F758" s="144" t="str">
        <f>IF(AND(ISNA(VLOOKUP(D758,A:A,1,FALSE())),ISNA(VLOOKUP(D758,BaseType!A:A,1,FALSE())),D758&lt;&gt;"Struct"),"N","Y")</f>
        <v>Y</v>
      </c>
      <c r="G758" s="146"/>
      <c r="H758" s="141"/>
      <c r="I758" s="141"/>
      <c r="J758" s="141"/>
      <c r="K758" s="141"/>
      <c r="L758" s="141"/>
      <c r="M758" s="141"/>
      <c r="N758" s="140"/>
      <c r="O758" s="140"/>
      <c r="P758" s="140"/>
      <c r="Q758" s="140"/>
      <c r="R758" s="140"/>
      <c r="S758" s="140"/>
      <c r="T758" s="140"/>
    </row>
    <row r="759" spans="1:20" ht="15" customHeight="1" x14ac:dyDescent="0.2">
      <c r="A759" s="143" t="s">
        <v>170</v>
      </c>
      <c r="B759" s="143" t="str">
        <f>IF(ISBLANK(A759),"",IF(AND(ISNA(VLOOKUP(A759,Interface_Platform!E:E,1,FALSE())),ISNA(VLOOKUP(A759,D:D,1,FALSE()))),"N","Y"))</f>
        <v>Y</v>
      </c>
      <c r="C759" s="75"/>
      <c r="D759" s="143" t="s">
        <v>484</v>
      </c>
      <c r="E759" s="40"/>
      <c r="F759" s="144" t="str">
        <f>IF(AND(ISNA(VLOOKUP(D759,A:A,1,FALSE())),ISNA(VLOOKUP(D759,BaseType!A:A,1,FALSE())),D759&lt;&gt;"Struct"),"N","Y")</f>
        <v>Y</v>
      </c>
      <c r="G759" s="146"/>
      <c r="H759" s="141"/>
      <c r="I759" s="141"/>
      <c r="J759" s="141"/>
      <c r="K759" s="141"/>
      <c r="L759" s="141"/>
      <c r="M759" s="141"/>
      <c r="N759" s="140"/>
      <c r="O759" s="140"/>
      <c r="P759" s="140"/>
      <c r="Q759" s="140"/>
      <c r="R759" s="140"/>
      <c r="S759" s="140"/>
      <c r="T759" s="140"/>
    </row>
    <row r="760" spans="1:20" ht="15" customHeight="1" x14ac:dyDescent="0.2">
      <c r="A760" s="141"/>
      <c r="B760" s="143" t="str">
        <f>IF(ISBLANK(A760),"",IF(AND(ISNA(VLOOKUP(A760,Interface_Platform!E:E,1,FALSE())),ISNA(VLOOKUP(A760,D:D,1,FALSE()))),"N","Y"))</f>
        <v/>
      </c>
      <c r="C760" s="143" t="s">
        <v>1529</v>
      </c>
      <c r="D760" s="143" t="s">
        <v>1524</v>
      </c>
      <c r="E760" s="142">
        <v>1</v>
      </c>
      <c r="F760" s="144" t="str">
        <f>IF(AND(ISNA(VLOOKUP(D760,A:A,1,FALSE())),ISNA(VLOOKUP(D760,BaseType!A:A,1,FALSE())),D760&lt;&gt;"Struct"),"N","Y")</f>
        <v>Y</v>
      </c>
      <c r="G760" s="146"/>
      <c r="H760" s="141"/>
      <c r="I760" s="141"/>
      <c r="J760" s="141"/>
      <c r="K760" s="141"/>
      <c r="L760" s="141"/>
      <c r="M760" s="141"/>
      <c r="N760" s="140"/>
      <c r="O760" s="140"/>
      <c r="P760" s="140"/>
      <c r="Q760" s="140"/>
      <c r="R760" s="140"/>
      <c r="S760" s="140"/>
      <c r="T760" s="140"/>
    </row>
    <row r="761" spans="1:20" ht="15" customHeight="1" x14ac:dyDescent="0.2">
      <c r="A761" s="141"/>
      <c r="B761" s="143"/>
      <c r="C761" s="181" t="s">
        <v>1530</v>
      </c>
      <c r="D761" s="181" t="s">
        <v>1389</v>
      </c>
      <c r="E761" s="154">
        <v>1</v>
      </c>
      <c r="F761" s="144" t="str">
        <f>IF(AND(ISNA(VLOOKUP(D761,A:A,1,FALSE())),ISNA(VLOOKUP(D761,BaseType!A:A,1,FALSE())),D761&lt;&gt;"Struct"),"N","Y")</f>
        <v>Y</v>
      </c>
      <c r="G761" s="146"/>
      <c r="H761" s="141"/>
      <c r="I761" s="141"/>
      <c r="J761" s="141"/>
      <c r="K761" s="141"/>
      <c r="L761" s="141"/>
      <c r="M761" s="141"/>
      <c r="N761" s="140"/>
      <c r="O761" s="140"/>
      <c r="P761" s="140"/>
      <c r="Q761" s="140"/>
      <c r="R761" s="140"/>
      <c r="S761" s="140"/>
      <c r="T761" s="140"/>
    </row>
    <row r="762" spans="1:20" ht="15" customHeight="1" x14ac:dyDescent="0.2">
      <c r="A762" s="141"/>
      <c r="B762" s="143" t="str">
        <f>IF(ISBLANK(A762),"",IF(AND(ISNA(VLOOKUP(A762,Interface_Platform!E:E,1,FALSE())),ISNA(VLOOKUP(A762,D:D,1,FALSE()))),"N","Y"))</f>
        <v/>
      </c>
      <c r="C762" s="143" t="s">
        <v>1531</v>
      </c>
      <c r="D762" s="143" t="s">
        <v>1509</v>
      </c>
      <c r="E762" s="142">
        <v>8</v>
      </c>
      <c r="F762" s="144" t="str">
        <f>IF(AND(ISNA(VLOOKUP(D762,A:A,1,FALSE())),ISNA(VLOOKUP(D762,BaseType!A:A,1,FALSE())),D762&lt;&gt;"Struct"),"N","Y")</f>
        <v>Y</v>
      </c>
      <c r="G762" s="146"/>
      <c r="H762" s="141"/>
      <c r="I762" s="141"/>
      <c r="J762" s="141"/>
      <c r="K762" s="141"/>
      <c r="L762" s="141"/>
      <c r="M762" s="141"/>
      <c r="N762" s="140"/>
      <c r="O762" s="140"/>
      <c r="P762" s="140"/>
      <c r="Q762" s="140"/>
      <c r="R762" s="140"/>
      <c r="S762" s="140"/>
      <c r="T762" s="140"/>
    </row>
    <row r="763" spans="1:20" ht="15" customHeight="1" x14ac:dyDescent="0.2">
      <c r="A763" s="143" t="s">
        <v>1532</v>
      </c>
      <c r="B763" s="143" t="str">
        <f>IF(ISBLANK(A763),"",IF(AND(ISNA(VLOOKUP(A763,Interface_Platform!E:E,1,FALSE())),ISNA(VLOOKUP(A763,D:D,1,FALSE()))),"N","Y"))</f>
        <v>Y</v>
      </c>
      <c r="C763" s="75"/>
      <c r="D763" s="143" t="s">
        <v>484</v>
      </c>
      <c r="E763" s="40"/>
      <c r="F763" s="144" t="str">
        <f>IF(AND(ISNA(VLOOKUP(D763,A:A,1,FALSE())),ISNA(VLOOKUP(D763,BaseType!A:A,1,FALSE())),D763&lt;&gt;"Struct"),"N","Y")</f>
        <v>Y</v>
      </c>
      <c r="G763" s="146"/>
      <c r="H763" s="141"/>
      <c r="I763" s="141"/>
      <c r="J763" s="141"/>
      <c r="K763" s="141"/>
      <c r="L763" s="141"/>
      <c r="M763" s="141"/>
      <c r="N763" s="140"/>
      <c r="O763" s="140"/>
      <c r="P763" s="140"/>
      <c r="Q763" s="140"/>
      <c r="R763" s="140"/>
      <c r="S763" s="140"/>
      <c r="T763" s="140"/>
    </row>
    <row r="764" spans="1:20" ht="15" customHeight="1" x14ac:dyDescent="0.2">
      <c r="A764" s="141"/>
      <c r="B764" s="143" t="str">
        <f>IF(ISBLANK(A764),"",IF(AND(ISNA(VLOOKUP(A764,Interface_Platform!E:E,1,FALSE())),ISNA(VLOOKUP(A764,D:D,1,FALSE()))),"N","Y"))</f>
        <v/>
      </c>
      <c r="C764" s="143" t="s">
        <v>1533</v>
      </c>
      <c r="D764" s="143" t="s">
        <v>193</v>
      </c>
      <c r="E764" s="142">
        <v>1</v>
      </c>
      <c r="F764" s="144" t="str">
        <f>IF(AND(ISNA(VLOOKUP(D764,A:A,1,FALSE())),ISNA(VLOOKUP(D764,BaseType!A:A,1,FALSE())),D764&lt;&gt;"Struct"),"N","Y")</f>
        <v>Y</v>
      </c>
      <c r="G764" s="147" t="s">
        <v>1534</v>
      </c>
      <c r="H764" s="141"/>
      <c r="I764" s="141"/>
      <c r="J764" s="141"/>
      <c r="K764" s="141"/>
      <c r="L764" s="141"/>
      <c r="M764" s="141"/>
      <c r="N764" s="140"/>
      <c r="O764" s="140"/>
      <c r="P764" s="140"/>
      <c r="Q764" s="140"/>
      <c r="R764" s="140"/>
      <c r="S764" s="140"/>
      <c r="T764" s="140"/>
    </row>
    <row r="765" spans="1:20" ht="15" customHeight="1" x14ac:dyDescent="0.2">
      <c r="A765" s="141"/>
      <c r="B765" s="143" t="str">
        <f>IF(ISBLANK(A765),"",IF(AND(ISNA(VLOOKUP(A765,Interface_Platform!E:E,1,FALSE())),ISNA(VLOOKUP(A765,D:D,1,FALSE()))),"N","Y"))</f>
        <v/>
      </c>
      <c r="C765" s="143" t="s">
        <v>1535</v>
      </c>
      <c r="D765" s="143" t="s">
        <v>193</v>
      </c>
      <c r="E765" s="142">
        <v>1</v>
      </c>
      <c r="F765" s="144" t="str">
        <f>IF(AND(ISNA(VLOOKUP(D765,A:A,1,FALSE())),ISNA(VLOOKUP(D765,BaseType!A:A,1,FALSE())),D765&lt;&gt;"Struct"),"N","Y")</f>
        <v>Y</v>
      </c>
      <c r="G765" s="150" t="s">
        <v>1536</v>
      </c>
      <c r="H765" s="141"/>
      <c r="I765" s="141"/>
      <c r="J765" s="141"/>
      <c r="K765" s="141"/>
      <c r="L765" s="141"/>
      <c r="M765" s="141"/>
      <c r="N765" s="140"/>
      <c r="O765" s="140"/>
      <c r="P765" s="140"/>
      <c r="Q765" s="140"/>
      <c r="R765" s="140"/>
      <c r="S765" s="140"/>
      <c r="T765" s="140"/>
    </row>
    <row r="766" spans="1:20" ht="15" customHeight="1" x14ac:dyDescent="0.2">
      <c r="A766" s="141"/>
      <c r="B766" s="143" t="str">
        <f>IF(ISBLANK(A766),"",IF(AND(ISNA(VLOOKUP(A766,Interface_Platform!E:E,1,FALSE())),ISNA(VLOOKUP(A766,D:D,1,FALSE()))),"N","Y"))</f>
        <v/>
      </c>
      <c r="C766" s="143" t="s">
        <v>1537</v>
      </c>
      <c r="D766" s="143" t="s">
        <v>193</v>
      </c>
      <c r="E766" s="142">
        <v>1</v>
      </c>
      <c r="F766" s="144" t="str">
        <f>IF(AND(ISNA(VLOOKUP(D766,A:A,1,FALSE())),ISNA(VLOOKUP(D766,BaseType!A:A,1,FALSE())),D766&lt;&gt;"Struct"),"N","Y")</f>
        <v>Y</v>
      </c>
      <c r="G766" s="147" t="s">
        <v>1538</v>
      </c>
      <c r="H766" s="141"/>
      <c r="I766" s="141"/>
      <c r="J766" s="141"/>
      <c r="K766" s="141"/>
      <c r="L766" s="141"/>
      <c r="M766" s="141"/>
      <c r="N766" s="140"/>
      <c r="O766" s="140"/>
      <c r="P766" s="140"/>
      <c r="Q766" s="140"/>
      <c r="R766" s="140"/>
      <c r="S766" s="140"/>
      <c r="T766" s="140"/>
    </row>
    <row r="767" spans="1:20" ht="15" customHeight="1" x14ac:dyDescent="0.2">
      <c r="A767" s="141"/>
      <c r="B767" s="143" t="str">
        <f>IF(ISBLANK(A767),"",IF(AND(ISNA(VLOOKUP(A767,Interface_Platform!E:E,1,FALSE())),ISNA(VLOOKUP(A767,D:D,1,FALSE()))),"N","Y"))</f>
        <v/>
      </c>
      <c r="C767" s="143" t="s">
        <v>1539</v>
      </c>
      <c r="D767" s="143" t="s">
        <v>193</v>
      </c>
      <c r="E767" s="142">
        <v>1</v>
      </c>
      <c r="F767" s="144" t="str">
        <f>IF(AND(ISNA(VLOOKUP(D767,A:A,1,FALSE())),ISNA(VLOOKUP(D767,BaseType!A:A,1,FALSE())),D767&lt;&gt;"Struct"),"N","Y")</f>
        <v>Y</v>
      </c>
      <c r="G767" s="147" t="s">
        <v>1540</v>
      </c>
      <c r="H767" s="141"/>
      <c r="I767" s="141"/>
      <c r="J767" s="141"/>
      <c r="K767" s="141"/>
      <c r="L767" s="141"/>
      <c r="M767" s="141"/>
      <c r="N767" s="140"/>
      <c r="O767" s="140"/>
      <c r="P767" s="140"/>
      <c r="Q767" s="140"/>
      <c r="R767" s="140"/>
      <c r="S767" s="140"/>
      <c r="T767" s="140"/>
    </row>
    <row r="768" spans="1:20" ht="15" customHeight="1" x14ac:dyDescent="0.2">
      <c r="A768" s="141"/>
      <c r="B768" s="143" t="str">
        <f>IF(ISBLANK(A768),"",IF(AND(ISNA(VLOOKUP(A768,Interface_Platform!E:E,1,FALSE())),ISNA(VLOOKUP(A768,D:D,1,FALSE()))),"N","Y"))</f>
        <v/>
      </c>
      <c r="C768" s="143" t="s">
        <v>1541</v>
      </c>
      <c r="D768" s="143" t="s">
        <v>298</v>
      </c>
      <c r="E768" s="142">
        <v>1</v>
      </c>
      <c r="F768" s="144" t="str">
        <f>IF(AND(ISNA(VLOOKUP(D768,A:A,1,FALSE())),ISNA(VLOOKUP(D768,BaseType!A:A,1,FALSE())),D768&lt;&gt;"Struct"),"N","Y")</f>
        <v>Y</v>
      </c>
      <c r="G768" s="147" t="s">
        <v>1542</v>
      </c>
      <c r="H768" s="141"/>
      <c r="I768" s="141"/>
      <c r="J768" s="141"/>
      <c r="K768" s="141"/>
      <c r="L768" s="141"/>
      <c r="M768" s="141"/>
      <c r="N768" s="140"/>
      <c r="O768" s="140"/>
      <c r="P768" s="140"/>
      <c r="Q768" s="140"/>
      <c r="R768" s="140"/>
      <c r="S768" s="140"/>
      <c r="T768" s="140"/>
    </row>
    <row r="769" spans="1:20" ht="15" customHeight="1" x14ac:dyDescent="0.2">
      <c r="A769" s="141"/>
      <c r="B769" s="143" t="str">
        <f>IF(ISBLANK(A769),"",IF(AND(ISNA(VLOOKUP(A769,Interface_Platform!E:E,1,FALSE())),ISNA(VLOOKUP(A769,D:D,1,FALSE()))),"N","Y"))</f>
        <v/>
      </c>
      <c r="C769" s="143" t="s">
        <v>1543</v>
      </c>
      <c r="D769" s="143" t="s">
        <v>225</v>
      </c>
      <c r="E769" s="142">
        <v>1</v>
      </c>
      <c r="F769" s="144" t="str">
        <f>IF(AND(ISNA(VLOOKUP(D769,A:A,1,FALSE())),ISNA(VLOOKUP(D769,BaseType!A:A,1,FALSE())),D769&lt;&gt;"Struct"),"N","Y")</f>
        <v>Y</v>
      </c>
      <c r="G769" s="146"/>
      <c r="H769" s="141"/>
      <c r="I769" s="141"/>
      <c r="J769" s="141"/>
      <c r="K769" s="141"/>
      <c r="L769" s="141"/>
      <c r="M769" s="141"/>
      <c r="N769" s="140"/>
      <c r="O769" s="140"/>
      <c r="P769" s="140"/>
      <c r="Q769" s="140"/>
      <c r="R769" s="140"/>
      <c r="S769" s="140"/>
      <c r="T769" s="140"/>
    </row>
    <row r="770" spans="1:20" ht="15" customHeight="1" x14ac:dyDescent="0.2">
      <c r="A770" s="141"/>
      <c r="B770" s="143" t="str">
        <f>IF(ISBLANK(A770),"",IF(AND(ISNA(VLOOKUP(A770,Interface_Platform!E:E,1,FALSE())),ISNA(VLOOKUP(A770,D:D,1,FALSE()))),"N","Y"))</f>
        <v/>
      </c>
      <c r="C770" s="143" t="s">
        <v>1544</v>
      </c>
      <c r="D770" s="143" t="s">
        <v>225</v>
      </c>
      <c r="E770" s="142">
        <v>1</v>
      </c>
      <c r="F770" s="144" t="str">
        <f>IF(AND(ISNA(VLOOKUP(D770,A:A,1,FALSE())),ISNA(VLOOKUP(D770,BaseType!A:A,1,FALSE())),D770&lt;&gt;"Struct"),"N","Y")</f>
        <v>Y</v>
      </c>
      <c r="G770" s="146"/>
      <c r="H770" s="141"/>
      <c r="I770" s="141"/>
      <c r="J770" s="141"/>
      <c r="K770" s="141"/>
      <c r="L770" s="141"/>
      <c r="M770" s="141"/>
      <c r="N770" s="140"/>
      <c r="O770" s="140"/>
      <c r="P770" s="140"/>
      <c r="Q770" s="140"/>
      <c r="R770" s="140"/>
      <c r="S770" s="140"/>
      <c r="T770" s="140"/>
    </row>
    <row r="771" spans="1:20" ht="15" customHeight="1" x14ac:dyDescent="0.2">
      <c r="A771" s="141"/>
      <c r="B771" s="143" t="str">
        <f>IF(ISBLANK(A771),"",IF(AND(ISNA(VLOOKUP(A771,Interface_Platform!E:E,1,FALSE())),ISNA(VLOOKUP(A771,D:D,1,FALSE()))),"N","Y"))</f>
        <v/>
      </c>
      <c r="C771" s="143" t="s">
        <v>1545</v>
      </c>
      <c r="D771" s="143" t="s">
        <v>225</v>
      </c>
      <c r="E771" s="142">
        <v>1</v>
      </c>
      <c r="F771" s="144" t="str">
        <f>IF(AND(ISNA(VLOOKUP(D771,A:A,1,FALSE())),ISNA(VLOOKUP(D771,BaseType!A:A,1,FALSE())),D771&lt;&gt;"Struct"),"N","Y")</f>
        <v>Y</v>
      </c>
      <c r="G771" s="146"/>
      <c r="H771" s="141"/>
      <c r="I771" s="141"/>
      <c r="J771" s="141"/>
      <c r="K771" s="141"/>
      <c r="L771" s="141"/>
      <c r="M771" s="141"/>
      <c r="N771" s="140"/>
      <c r="O771" s="140"/>
      <c r="P771" s="140"/>
      <c r="Q771" s="140"/>
      <c r="R771" s="140"/>
      <c r="S771" s="140"/>
      <c r="T771" s="140"/>
    </row>
    <row r="772" spans="1:20" ht="15" customHeight="1" x14ac:dyDescent="0.2">
      <c r="A772" s="141"/>
      <c r="B772" s="143" t="str">
        <f>IF(ISBLANK(A772),"",IF(AND(ISNA(VLOOKUP(A772,Interface_Platform!E:E,1,FALSE())),ISNA(VLOOKUP(A772,D:D,1,FALSE()))),"N","Y"))</f>
        <v/>
      </c>
      <c r="C772" s="143" t="s">
        <v>1546</v>
      </c>
      <c r="D772" s="143" t="s">
        <v>225</v>
      </c>
      <c r="E772" s="142">
        <v>1</v>
      </c>
      <c r="F772" s="144" t="str">
        <f>IF(AND(ISNA(VLOOKUP(D772,A:A,1,FALSE())),ISNA(VLOOKUP(D772,BaseType!A:A,1,FALSE())),D772&lt;&gt;"Struct"),"N","Y")</f>
        <v>Y</v>
      </c>
      <c r="G772" s="146"/>
      <c r="H772" s="141"/>
      <c r="I772" s="141"/>
      <c r="J772" s="141"/>
      <c r="K772" s="141"/>
      <c r="L772" s="141"/>
      <c r="M772" s="141"/>
      <c r="N772" s="140"/>
      <c r="O772" s="140"/>
      <c r="P772" s="140"/>
      <c r="Q772" s="140"/>
      <c r="R772" s="140"/>
      <c r="S772" s="140"/>
      <c r="T772" s="140"/>
    </row>
    <row r="773" spans="1:20" ht="15" customHeight="1" x14ac:dyDescent="0.2">
      <c r="A773" s="143" t="s">
        <v>1547</v>
      </c>
      <c r="B773" s="143" t="str">
        <f>IF(ISBLANK(A773),"",IF(AND(ISNA(VLOOKUP(A773,Interface_Platform!E:E,1,FALSE())),ISNA(VLOOKUP(A773,D:D,1,FALSE()))),"N","Y"))</f>
        <v>Y</v>
      </c>
      <c r="C773" s="75"/>
      <c r="D773" s="143" t="s">
        <v>484</v>
      </c>
      <c r="E773" s="40"/>
      <c r="F773" s="144" t="str">
        <f>IF(AND(ISNA(VLOOKUP(D773,A:A,1,FALSE())),ISNA(VLOOKUP(D773,BaseType!A:A,1,FALSE())),D773&lt;&gt;"Struct"),"N","Y")</f>
        <v>Y</v>
      </c>
      <c r="G773" s="146"/>
      <c r="H773" s="141"/>
      <c r="I773" s="141"/>
      <c r="J773" s="141"/>
      <c r="K773" s="141"/>
      <c r="L773" s="141"/>
      <c r="M773" s="141"/>
      <c r="N773" s="140"/>
      <c r="O773" s="140"/>
      <c r="P773" s="140"/>
      <c r="Q773" s="140"/>
      <c r="R773" s="140"/>
      <c r="S773" s="140"/>
      <c r="T773" s="140"/>
    </row>
    <row r="774" spans="1:20" ht="15" customHeight="1" x14ac:dyDescent="0.2">
      <c r="A774" s="141"/>
      <c r="B774" s="143" t="str">
        <f>IF(ISBLANK(A774),"",IF(AND(ISNA(VLOOKUP(A774,Interface_Platform!E:E,1,FALSE())),ISNA(VLOOKUP(A774,D:D,1,FALSE()))),"N","Y"))</f>
        <v/>
      </c>
      <c r="C774" s="143" t="s">
        <v>1401</v>
      </c>
      <c r="D774" s="143" t="s">
        <v>193</v>
      </c>
      <c r="E774" s="142">
        <v>1</v>
      </c>
      <c r="F774" s="144" t="str">
        <f>IF(AND(ISNA(VLOOKUP(D774,A:A,1,FALSE())),ISNA(VLOOKUP(D774,BaseType!A:A,1,FALSE())),D774&lt;&gt;"Struct"),"N","Y")</f>
        <v>Y</v>
      </c>
      <c r="G774" s="146"/>
      <c r="H774" s="141"/>
      <c r="I774" s="141"/>
      <c r="J774" s="141"/>
      <c r="K774" s="141"/>
      <c r="L774" s="141"/>
      <c r="M774" s="141"/>
      <c r="N774" s="140"/>
      <c r="O774" s="140"/>
      <c r="P774" s="140"/>
      <c r="Q774" s="140"/>
      <c r="R774" s="140"/>
      <c r="S774" s="140"/>
      <c r="T774" s="140"/>
    </row>
    <row r="775" spans="1:20" ht="15" customHeight="1" x14ac:dyDescent="0.2">
      <c r="A775" s="141"/>
      <c r="B775" s="143" t="str">
        <f>IF(ISBLANK(A775),"",IF(AND(ISNA(VLOOKUP(A775,Interface_Platform!E:E,1,FALSE())),ISNA(VLOOKUP(A775,D:D,1,FALSE()))),"N","Y"))</f>
        <v/>
      </c>
      <c r="C775" s="143" t="s">
        <v>1402</v>
      </c>
      <c r="D775" s="143" t="s">
        <v>193</v>
      </c>
      <c r="E775" s="142">
        <v>1</v>
      </c>
      <c r="F775" s="144" t="str">
        <f>IF(AND(ISNA(VLOOKUP(D775,A:A,1,FALSE())),ISNA(VLOOKUP(D775,BaseType!A:A,1,FALSE())),D775&lt;&gt;"Struct"),"N","Y")</f>
        <v>Y</v>
      </c>
      <c r="G775" s="146"/>
      <c r="H775" s="141"/>
      <c r="I775" s="141"/>
      <c r="J775" s="141"/>
      <c r="K775" s="141"/>
      <c r="L775" s="141"/>
      <c r="M775" s="141"/>
      <c r="N775" s="140"/>
      <c r="O775" s="140"/>
      <c r="P775" s="140"/>
      <c r="Q775" s="140"/>
      <c r="R775" s="140"/>
      <c r="S775" s="140"/>
      <c r="T775" s="140"/>
    </row>
    <row r="776" spans="1:20" ht="15" customHeight="1" x14ac:dyDescent="0.2">
      <c r="A776" s="141"/>
      <c r="B776" s="143" t="str">
        <f>IF(ISBLANK(A776),"",IF(AND(ISNA(VLOOKUP(A776,Interface_Platform!E:E,1,FALSE())),ISNA(VLOOKUP(A776,D:D,1,FALSE()))),"N","Y"))</f>
        <v/>
      </c>
      <c r="C776" s="143" t="s">
        <v>1548</v>
      </c>
      <c r="D776" s="143" t="s">
        <v>193</v>
      </c>
      <c r="E776" s="142">
        <v>1</v>
      </c>
      <c r="F776" s="144" t="str">
        <f>IF(AND(ISNA(VLOOKUP(D776,A:A,1,FALSE())),ISNA(VLOOKUP(D776,BaseType!A:A,1,FALSE())),D776&lt;&gt;"Struct"),"N","Y")</f>
        <v>Y</v>
      </c>
      <c r="G776" s="147" t="s">
        <v>1549</v>
      </c>
      <c r="H776" s="141"/>
      <c r="I776" s="141"/>
      <c r="J776" s="141"/>
      <c r="K776" s="141"/>
      <c r="L776" s="141"/>
      <c r="M776" s="141"/>
      <c r="N776" s="140"/>
      <c r="O776" s="140"/>
      <c r="P776" s="140"/>
      <c r="Q776" s="140"/>
      <c r="R776" s="140"/>
      <c r="S776" s="140"/>
      <c r="T776" s="140"/>
    </row>
    <row r="777" spans="1:20" ht="15" customHeight="1" x14ac:dyDescent="0.2">
      <c r="A777" s="143" t="s">
        <v>172</v>
      </c>
      <c r="B777" s="143" t="str">
        <f>IF(ISBLANK(A777),"",IF(AND(ISNA(VLOOKUP(A777,Interface_Platform!E:E,1,FALSE())),ISNA(VLOOKUP(A777,D:D,1,FALSE()))),"N","Y"))</f>
        <v>Y</v>
      </c>
      <c r="C777" s="75"/>
      <c r="D777" s="143" t="s">
        <v>484</v>
      </c>
      <c r="E777" s="40"/>
      <c r="F777" s="144" t="str">
        <f>IF(AND(ISNA(VLOOKUP(D777,A:A,1,FALSE())),ISNA(VLOOKUP(D777,BaseType!A:A,1,FALSE())),D777&lt;&gt;"Struct"),"N","Y")</f>
        <v>Y</v>
      </c>
      <c r="G777" s="146"/>
      <c r="H777" s="141"/>
      <c r="I777" s="141"/>
      <c r="J777" s="141"/>
      <c r="K777" s="141"/>
      <c r="L777" s="141"/>
      <c r="M777" s="141"/>
      <c r="N777" s="140"/>
      <c r="O777" s="140"/>
      <c r="P777" s="140"/>
      <c r="Q777" s="140"/>
      <c r="R777" s="140"/>
      <c r="S777" s="140"/>
      <c r="T777" s="140"/>
    </row>
    <row r="778" spans="1:20" ht="15" customHeight="1" x14ac:dyDescent="0.2">
      <c r="A778" s="141"/>
      <c r="B778" s="143" t="str">
        <f>IF(ISBLANK(A778),"",IF(AND(ISNA(VLOOKUP(A778,Interface_Platform!E:E,1,FALSE())),ISNA(VLOOKUP(A778,D:D,1,FALSE()))),"N","Y"))</f>
        <v/>
      </c>
      <c r="C778" s="143" t="s">
        <v>1550</v>
      </c>
      <c r="D778" s="143" t="s">
        <v>1547</v>
      </c>
      <c r="E778" s="142">
        <v>1</v>
      </c>
      <c r="F778" s="144" t="str">
        <f>IF(AND(ISNA(VLOOKUP(D778,A:A,1,FALSE())),ISNA(VLOOKUP(D778,BaseType!A:A,1,FALSE())),D778&lt;&gt;"Struct"),"N","Y")</f>
        <v>Y</v>
      </c>
      <c r="G778" s="146"/>
      <c r="H778" s="141"/>
      <c r="I778" s="141"/>
      <c r="J778" s="141"/>
      <c r="K778" s="141"/>
      <c r="L778" s="141"/>
      <c r="M778" s="141"/>
      <c r="N778" s="140"/>
      <c r="O778" s="140"/>
      <c r="P778" s="140"/>
      <c r="Q778" s="140"/>
      <c r="R778" s="140"/>
      <c r="S778" s="140"/>
      <c r="T778" s="140"/>
    </row>
    <row r="779" spans="1:20" ht="15" customHeight="1" x14ac:dyDescent="0.2">
      <c r="A779" s="141"/>
      <c r="B779" s="143"/>
      <c r="C779" s="181" t="s">
        <v>1551</v>
      </c>
      <c r="D779" s="181" t="s">
        <v>1389</v>
      </c>
      <c r="E779" s="154">
        <v>1</v>
      </c>
      <c r="F779" s="144" t="str">
        <f>IF(AND(ISNA(VLOOKUP(D779,A:A,1,FALSE())),ISNA(VLOOKUP(D779,BaseType!A:A,1,FALSE())),D779&lt;&gt;"Struct"),"N","Y")</f>
        <v>Y</v>
      </c>
      <c r="G779" s="146"/>
      <c r="H779" s="141"/>
      <c r="I779" s="141"/>
      <c r="J779" s="141"/>
      <c r="K779" s="141"/>
      <c r="L779" s="141"/>
      <c r="M779" s="141"/>
      <c r="N779" s="140"/>
      <c r="O779" s="140"/>
      <c r="P779" s="140"/>
      <c r="Q779" s="140"/>
      <c r="R779" s="140"/>
      <c r="S779" s="140"/>
      <c r="T779" s="140"/>
    </row>
    <row r="780" spans="1:20" ht="15" customHeight="1" x14ac:dyDescent="0.2">
      <c r="A780" s="141"/>
      <c r="B780" s="143" t="str">
        <f>IF(ISBLANK(A780),"",IF(AND(ISNA(VLOOKUP(A780,Interface_Platform!E:E,1,FALSE())),ISNA(VLOOKUP(A780,D:D,1,FALSE()))),"N","Y"))</f>
        <v/>
      </c>
      <c r="C780" s="143" t="s">
        <v>1552</v>
      </c>
      <c r="D780" s="143" t="s">
        <v>1532</v>
      </c>
      <c r="E780" s="142">
        <v>20</v>
      </c>
      <c r="F780" s="144" t="str">
        <f>IF(AND(ISNA(VLOOKUP(D780,A:A,1,FALSE())),ISNA(VLOOKUP(D780,BaseType!A:A,1,FALSE())),D780&lt;&gt;"Struct"),"N","Y")</f>
        <v>Y</v>
      </c>
      <c r="G780" s="146"/>
      <c r="H780" s="141"/>
      <c r="I780" s="141"/>
      <c r="J780" s="141"/>
      <c r="K780" s="141"/>
      <c r="L780" s="141"/>
      <c r="M780" s="141"/>
      <c r="N780" s="140"/>
      <c r="O780" s="140"/>
      <c r="P780" s="140"/>
      <c r="Q780" s="140"/>
      <c r="R780" s="140"/>
      <c r="S780" s="140"/>
      <c r="T780" s="140"/>
    </row>
    <row r="781" spans="1:20" ht="15" customHeight="1" x14ac:dyDescent="0.2">
      <c r="A781" s="143" t="s">
        <v>1553</v>
      </c>
      <c r="B781" s="143" t="str">
        <f>IF(ISBLANK(A781),"",IF(AND(ISNA(VLOOKUP(A781,Interface_Platform!E:E,1,FALSE())),ISNA(VLOOKUP(A781,D:D,1,FALSE()))),"N","Y"))</f>
        <v>Y</v>
      </c>
      <c r="C781" s="75"/>
      <c r="D781" s="143" t="s">
        <v>484</v>
      </c>
      <c r="E781" s="40"/>
      <c r="F781" s="144" t="str">
        <f>IF(AND(ISNA(VLOOKUP(D781,A:A,1,FALSE())),ISNA(VLOOKUP(D781,BaseType!A:A,1,FALSE())),D781&lt;&gt;"Struct"),"N","Y")</f>
        <v>Y</v>
      </c>
      <c r="G781" s="146"/>
      <c r="H781" s="141"/>
      <c r="I781" s="141"/>
      <c r="J781" s="141"/>
      <c r="K781" s="141"/>
      <c r="L781" s="141"/>
      <c r="M781" s="141"/>
      <c r="N781" s="140"/>
      <c r="O781" s="140"/>
      <c r="P781" s="140"/>
      <c r="Q781" s="140"/>
      <c r="R781" s="140"/>
      <c r="S781" s="140"/>
      <c r="T781" s="140"/>
    </row>
    <row r="782" spans="1:20" ht="15" customHeight="1" x14ac:dyDescent="0.2">
      <c r="A782" s="141"/>
      <c r="B782" s="143" t="str">
        <f>IF(ISBLANK(A782),"",IF(AND(ISNA(VLOOKUP(A782,Interface_Platform!E:E,1,FALSE())),ISNA(VLOOKUP(A782,D:D,1,FALSE()))),"N","Y"))</f>
        <v/>
      </c>
      <c r="C782" s="143" t="s">
        <v>1401</v>
      </c>
      <c r="D782" s="143" t="s">
        <v>193</v>
      </c>
      <c r="E782" s="142">
        <v>1</v>
      </c>
      <c r="F782" s="144" t="str">
        <f>IF(AND(ISNA(VLOOKUP(D782,A:A,1,FALSE())),ISNA(VLOOKUP(D782,BaseType!A:A,1,FALSE())),D782&lt;&gt;"Struct"),"N","Y")</f>
        <v>Y</v>
      </c>
      <c r="G782" s="146"/>
      <c r="H782" s="141"/>
      <c r="I782" s="141"/>
      <c r="J782" s="141"/>
      <c r="K782" s="141"/>
      <c r="L782" s="141"/>
      <c r="M782" s="141"/>
      <c r="N782" s="140"/>
      <c r="O782" s="140"/>
      <c r="P782" s="140"/>
      <c r="Q782" s="140"/>
      <c r="R782" s="140"/>
      <c r="S782" s="140"/>
      <c r="T782" s="140"/>
    </row>
    <row r="783" spans="1:20" ht="15" customHeight="1" x14ac:dyDescent="0.2">
      <c r="A783" s="141"/>
      <c r="B783" s="143" t="str">
        <f>IF(ISBLANK(A783),"",IF(AND(ISNA(VLOOKUP(A783,Interface_Platform!E:E,1,FALSE())),ISNA(VLOOKUP(A783,D:D,1,FALSE()))),"N","Y"))</f>
        <v/>
      </c>
      <c r="C783" s="143" t="s">
        <v>1402</v>
      </c>
      <c r="D783" s="143" t="s">
        <v>193</v>
      </c>
      <c r="E783" s="142">
        <v>1</v>
      </c>
      <c r="F783" s="144" t="str">
        <f>IF(AND(ISNA(VLOOKUP(D783,A:A,1,FALSE())),ISNA(VLOOKUP(D783,BaseType!A:A,1,FALSE())),D783&lt;&gt;"Struct"),"N","Y")</f>
        <v>Y</v>
      </c>
      <c r="G783" s="146"/>
      <c r="H783" s="141"/>
      <c r="I783" s="141"/>
      <c r="J783" s="141"/>
      <c r="K783" s="141"/>
      <c r="L783" s="141"/>
      <c r="M783" s="141"/>
      <c r="N783" s="140"/>
      <c r="O783" s="140"/>
      <c r="P783" s="140"/>
      <c r="Q783" s="140"/>
      <c r="R783" s="140"/>
      <c r="S783" s="140"/>
      <c r="T783" s="140"/>
    </row>
    <row r="784" spans="1:20" ht="15" customHeight="1" x14ac:dyDescent="0.2">
      <c r="A784" s="141"/>
      <c r="B784" s="143" t="str">
        <f>IF(ISBLANK(A784),"",IF(AND(ISNA(VLOOKUP(A784,Interface_Platform!E:E,1,FALSE())),ISNA(VLOOKUP(A784,D:D,1,FALSE()))),"N","Y"))</f>
        <v/>
      </c>
      <c r="C784" s="143" t="s">
        <v>1554</v>
      </c>
      <c r="D784" s="143" t="s">
        <v>193</v>
      </c>
      <c r="E784" s="142">
        <v>1</v>
      </c>
      <c r="F784" s="144" t="str">
        <f>IF(AND(ISNA(VLOOKUP(D784,A:A,1,FALSE())),ISNA(VLOOKUP(D784,BaseType!A:A,1,FALSE())),D784&lt;&gt;"Struct"),"N","Y")</f>
        <v>Y</v>
      </c>
      <c r="G784" s="147" t="s">
        <v>1555</v>
      </c>
      <c r="H784" s="141"/>
      <c r="I784" s="141"/>
      <c r="J784" s="141"/>
      <c r="K784" s="141"/>
      <c r="L784" s="141"/>
      <c r="M784" s="141"/>
      <c r="N784" s="140"/>
      <c r="O784" s="140"/>
      <c r="P784" s="140"/>
      <c r="Q784" s="140"/>
      <c r="R784" s="140"/>
      <c r="S784" s="140"/>
      <c r="T784" s="140"/>
    </row>
    <row r="785" spans="1:20" ht="15" customHeight="1" x14ac:dyDescent="0.2">
      <c r="A785" s="141"/>
      <c r="B785" s="143" t="str">
        <f>IF(ISBLANK(A785),"",IF(AND(ISNA(VLOOKUP(A785,Interface_Platform!E:E,1,FALSE())),ISNA(VLOOKUP(A785,D:D,1,FALSE()))),"N","Y"))</f>
        <v/>
      </c>
      <c r="C785" s="143" t="s">
        <v>1556</v>
      </c>
      <c r="D785" s="143" t="s">
        <v>193</v>
      </c>
      <c r="E785" s="142">
        <v>1</v>
      </c>
      <c r="F785" s="144" t="str">
        <f>IF(AND(ISNA(VLOOKUP(D785,A:A,1,FALSE())),ISNA(VLOOKUP(D785,BaseType!A:A,1,FALSE())),D785&lt;&gt;"Struct"),"N","Y")</f>
        <v>Y</v>
      </c>
      <c r="G785" s="147" t="s">
        <v>1557</v>
      </c>
      <c r="H785" s="141"/>
      <c r="I785" s="141"/>
      <c r="J785" s="141"/>
      <c r="K785" s="141"/>
      <c r="L785" s="141"/>
      <c r="M785" s="141"/>
      <c r="N785" s="140"/>
      <c r="O785" s="140"/>
      <c r="P785" s="140"/>
      <c r="Q785" s="140"/>
      <c r="R785" s="140"/>
      <c r="S785" s="140"/>
      <c r="T785" s="140"/>
    </row>
    <row r="786" spans="1:20" ht="15" customHeight="1" x14ac:dyDescent="0.2">
      <c r="A786" s="141"/>
      <c r="B786" s="143" t="str">
        <f>IF(ISBLANK(A786),"",IF(AND(ISNA(VLOOKUP(A786,Interface_Platform!E:E,1,FALSE())),ISNA(VLOOKUP(A786,D:D,1,FALSE()))),"N","Y"))</f>
        <v/>
      </c>
      <c r="C786" s="143" t="s">
        <v>1558</v>
      </c>
      <c r="D786" s="143" t="s">
        <v>193</v>
      </c>
      <c r="E786" s="142">
        <v>1</v>
      </c>
      <c r="F786" s="144" t="str">
        <f>IF(AND(ISNA(VLOOKUP(D786,A:A,1,FALSE())),ISNA(VLOOKUP(D786,BaseType!A:A,1,FALSE())),D786&lt;&gt;"Struct"),"N","Y")</f>
        <v>Y</v>
      </c>
      <c r="G786" s="146"/>
      <c r="H786" s="141"/>
      <c r="I786" s="141"/>
      <c r="J786" s="141"/>
      <c r="K786" s="141"/>
      <c r="L786" s="141"/>
      <c r="M786" s="141"/>
      <c r="N786" s="140"/>
      <c r="O786" s="140"/>
      <c r="P786" s="140"/>
      <c r="Q786" s="140"/>
      <c r="R786" s="140"/>
      <c r="S786" s="140"/>
      <c r="T786" s="140"/>
    </row>
    <row r="787" spans="1:20" ht="15" customHeight="1" x14ac:dyDescent="0.2">
      <c r="A787" s="141"/>
      <c r="B787" s="143" t="str">
        <f>IF(ISBLANK(A787),"",IF(AND(ISNA(VLOOKUP(A787,Interface_Platform!E:E,1,FALSE())),ISNA(VLOOKUP(A787,D:D,1,FALSE()))),"N","Y"))</f>
        <v/>
      </c>
      <c r="C787" s="143" t="s">
        <v>1559</v>
      </c>
      <c r="D787" s="143" t="s">
        <v>298</v>
      </c>
      <c r="E787" s="142">
        <v>1</v>
      </c>
      <c r="F787" s="144" t="str">
        <f>IF(AND(ISNA(VLOOKUP(D787,A:A,1,FALSE())),ISNA(VLOOKUP(D787,BaseType!A:A,1,FALSE())),D787&lt;&gt;"Struct"),"N","Y")</f>
        <v>Y</v>
      </c>
      <c r="G787" s="146"/>
      <c r="H787" s="141"/>
      <c r="I787" s="141"/>
      <c r="J787" s="141"/>
      <c r="K787" s="141"/>
      <c r="L787" s="141"/>
      <c r="M787" s="141"/>
      <c r="N787" s="140"/>
      <c r="O787" s="140"/>
      <c r="P787" s="140"/>
      <c r="Q787" s="140"/>
      <c r="R787" s="140"/>
      <c r="S787" s="140"/>
      <c r="T787" s="140"/>
    </row>
    <row r="788" spans="1:20" ht="15" customHeight="1" x14ac:dyDescent="0.2">
      <c r="A788" s="143" t="s">
        <v>1560</v>
      </c>
      <c r="B788" s="143" t="str">
        <f>IF(ISBLANK(A788),"",IF(AND(ISNA(VLOOKUP(A788,Interface_Platform!E:E,1,FALSE())),ISNA(VLOOKUP(A788,D:D,1,FALSE()))),"N","Y"))</f>
        <v>Y</v>
      </c>
      <c r="C788" s="75"/>
      <c r="D788" s="143" t="s">
        <v>484</v>
      </c>
      <c r="E788" s="40"/>
      <c r="F788" s="144" t="str">
        <f>IF(AND(ISNA(VLOOKUP(D788,A:A,1,FALSE())),ISNA(VLOOKUP(D788,BaseType!A:A,1,FALSE())),D788&lt;&gt;"Struct"),"N","Y")</f>
        <v>Y</v>
      </c>
      <c r="G788" s="146"/>
      <c r="H788" s="141"/>
      <c r="I788" s="141"/>
      <c r="J788" s="141"/>
      <c r="K788" s="141"/>
      <c r="L788" s="141"/>
      <c r="M788" s="141"/>
      <c r="N788" s="140"/>
      <c r="O788" s="140"/>
      <c r="P788" s="140"/>
      <c r="Q788" s="140"/>
      <c r="R788" s="140"/>
      <c r="S788" s="140"/>
      <c r="T788" s="140"/>
    </row>
    <row r="789" spans="1:20" ht="15" customHeight="1" x14ac:dyDescent="0.2">
      <c r="A789" s="141"/>
      <c r="B789" s="143" t="str">
        <f>IF(ISBLANK(A789),"",IF(AND(ISNA(VLOOKUP(A789,Interface_Platform!E:E,1,FALSE())),ISNA(VLOOKUP(A789,D:D,1,FALSE()))),"N","Y"))</f>
        <v/>
      </c>
      <c r="C789" s="143" t="s">
        <v>1561</v>
      </c>
      <c r="D789" s="143" t="s">
        <v>193</v>
      </c>
      <c r="E789" s="142">
        <v>1</v>
      </c>
      <c r="F789" s="144" t="str">
        <f>IF(AND(ISNA(VLOOKUP(D789,A:A,1,FALSE())),ISNA(VLOOKUP(D789,BaseType!A:A,1,FALSE())),D789&lt;&gt;"Struct"),"N","Y")</f>
        <v>Y</v>
      </c>
      <c r="G789" s="147" t="s">
        <v>1562</v>
      </c>
      <c r="H789" s="141"/>
      <c r="I789" s="141"/>
      <c r="J789" s="141"/>
      <c r="K789" s="141"/>
      <c r="L789" s="141"/>
      <c r="M789" s="141"/>
      <c r="N789" s="140"/>
      <c r="O789" s="140"/>
      <c r="P789" s="140"/>
      <c r="Q789" s="140"/>
      <c r="R789" s="140"/>
      <c r="S789" s="140"/>
      <c r="T789" s="140"/>
    </row>
    <row r="790" spans="1:20" ht="15" customHeight="1" x14ac:dyDescent="0.2">
      <c r="A790" s="141"/>
      <c r="B790" s="143" t="str">
        <f>IF(ISBLANK(A790),"",IF(AND(ISNA(VLOOKUP(A790,Interface_Platform!E:E,1,FALSE())),ISNA(VLOOKUP(A790,D:D,1,FALSE()))),"N","Y"))</f>
        <v/>
      </c>
      <c r="C790" s="143" t="s">
        <v>1563</v>
      </c>
      <c r="D790" s="143" t="s">
        <v>193</v>
      </c>
      <c r="E790" s="142">
        <v>1</v>
      </c>
      <c r="F790" s="144" t="str">
        <f>IF(AND(ISNA(VLOOKUP(D790,A:A,1,FALSE())),ISNA(VLOOKUP(D790,BaseType!A:A,1,FALSE())),D790&lt;&gt;"Struct"),"N","Y")</f>
        <v>Y</v>
      </c>
      <c r="G790" s="147" t="s">
        <v>1564</v>
      </c>
      <c r="H790" s="141"/>
      <c r="I790" s="141"/>
      <c r="J790" s="141"/>
      <c r="K790" s="141"/>
      <c r="L790" s="141"/>
      <c r="M790" s="141"/>
      <c r="N790" s="140"/>
      <c r="O790" s="140"/>
      <c r="P790" s="140"/>
      <c r="Q790" s="140"/>
      <c r="R790" s="140"/>
      <c r="S790" s="140"/>
      <c r="T790" s="140"/>
    </row>
    <row r="791" spans="1:20" ht="15" customHeight="1" x14ac:dyDescent="0.2">
      <c r="A791" s="141"/>
      <c r="B791" s="143" t="str">
        <f>IF(ISBLANK(A791),"",IF(AND(ISNA(VLOOKUP(A791,Interface_Platform!E:E,1,FALSE())),ISNA(VLOOKUP(A791,D:D,1,FALSE()))),"N","Y"))</f>
        <v/>
      </c>
      <c r="C791" s="143" t="s">
        <v>1565</v>
      </c>
      <c r="D791" s="143" t="s">
        <v>193</v>
      </c>
      <c r="E791" s="142">
        <v>1</v>
      </c>
      <c r="F791" s="144" t="str">
        <f>IF(AND(ISNA(VLOOKUP(D791,A:A,1,FALSE())),ISNA(VLOOKUP(D791,BaseType!A:A,1,FALSE())),D791&lt;&gt;"Struct"),"N","Y")</f>
        <v>Y</v>
      </c>
      <c r="G791" s="147" t="s">
        <v>1566</v>
      </c>
      <c r="H791" s="141"/>
      <c r="I791" s="141"/>
      <c r="J791" s="141"/>
      <c r="K791" s="141"/>
      <c r="L791" s="141"/>
      <c r="M791" s="141"/>
      <c r="N791" s="140"/>
      <c r="O791" s="140"/>
      <c r="P791" s="140"/>
      <c r="Q791" s="140"/>
      <c r="R791" s="140"/>
      <c r="S791" s="140"/>
      <c r="T791" s="140"/>
    </row>
    <row r="792" spans="1:20" ht="15" customHeight="1" x14ac:dyDescent="0.2">
      <c r="A792" s="141"/>
      <c r="B792" s="143" t="str">
        <f>IF(ISBLANK(A792),"",IF(AND(ISNA(VLOOKUP(A792,Interface_Platform!E:E,1,FALSE())),ISNA(VLOOKUP(A792,D:D,1,FALSE()))),"N","Y"))</f>
        <v/>
      </c>
      <c r="C792" s="143" t="s">
        <v>1567</v>
      </c>
      <c r="D792" s="143" t="s">
        <v>193</v>
      </c>
      <c r="E792" s="142">
        <v>1</v>
      </c>
      <c r="F792" s="144" t="str">
        <f>IF(AND(ISNA(VLOOKUP(D792,A:A,1,FALSE())),ISNA(VLOOKUP(D792,BaseType!A:A,1,FALSE())),D792&lt;&gt;"Struct"),"N","Y")</f>
        <v>Y</v>
      </c>
      <c r="G792" s="147" t="s">
        <v>1568</v>
      </c>
      <c r="H792" s="141"/>
      <c r="I792" s="141"/>
      <c r="J792" s="141"/>
      <c r="K792" s="141"/>
      <c r="L792" s="141"/>
      <c r="M792" s="141"/>
      <c r="N792" s="140"/>
      <c r="O792" s="140"/>
      <c r="P792" s="140"/>
      <c r="Q792" s="140"/>
      <c r="R792" s="140"/>
      <c r="S792" s="140"/>
      <c r="T792" s="140"/>
    </row>
    <row r="793" spans="1:20" ht="15" customHeight="1" x14ac:dyDescent="0.2">
      <c r="A793" s="141"/>
      <c r="B793" s="143" t="str">
        <f>IF(ISBLANK(A793),"",IF(AND(ISNA(VLOOKUP(A793,Interface_Platform!E:E,1,FALSE())),ISNA(VLOOKUP(A793,D:D,1,FALSE()))),"N","Y"))</f>
        <v/>
      </c>
      <c r="C793" s="143" t="s">
        <v>1569</v>
      </c>
      <c r="D793" s="143" t="s">
        <v>193</v>
      </c>
      <c r="E793" s="142">
        <v>1</v>
      </c>
      <c r="F793" s="144" t="str">
        <f>IF(AND(ISNA(VLOOKUP(D793,A:A,1,FALSE())),ISNA(VLOOKUP(D793,BaseType!A:A,1,FALSE())),D793&lt;&gt;"Struct"),"N","Y")</f>
        <v>Y</v>
      </c>
      <c r="G793" s="147" t="s">
        <v>1570</v>
      </c>
      <c r="H793" s="141"/>
      <c r="I793" s="141"/>
      <c r="J793" s="141"/>
      <c r="K793" s="141"/>
      <c r="L793" s="141"/>
      <c r="M793" s="141"/>
      <c r="N793" s="140"/>
      <c r="O793" s="140"/>
      <c r="P793" s="140"/>
      <c r="Q793" s="140"/>
      <c r="R793" s="140"/>
      <c r="S793" s="140"/>
      <c r="T793" s="140"/>
    </row>
    <row r="794" spans="1:20" ht="15" customHeight="1" x14ac:dyDescent="0.2">
      <c r="A794" s="141"/>
      <c r="B794" s="143" t="str">
        <f>IF(ISBLANK(A794),"",IF(AND(ISNA(VLOOKUP(A794,Interface_Platform!E:E,1,FALSE())),ISNA(VLOOKUP(A794,D:D,1,FALSE()))),"N","Y"))</f>
        <v/>
      </c>
      <c r="C794" s="143" t="s">
        <v>1571</v>
      </c>
      <c r="D794" s="143" t="s">
        <v>193</v>
      </c>
      <c r="E794" s="142">
        <v>1</v>
      </c>
      <c r="F794" s="144" t="str">
        <f>IF(AND(ISNA(VLOOKUP(D794,A:A,1,FALSE())),ISNA(VLOOKUP(D794,BaseType!A:A,1,FALSE())),D794&lt;&gt;"Struct"),"N","Y")</f>
        <v>Y</v>
      </c>
      <c r="G794" s="147" t="s">
        <v>1572</v>
      </c>
      <c r="H794" s="141"/>
      <c r="I794" s="141"/>
      <c r="J794" s="141"/>
      <c r="K794" s="141"/>
      <c r="L794" s="141"/>
      <c r="M794" s="141"/>
      <c r="N794" s="140"/>
      <c r="O794" s="140"/>
      <c r="P794" s="140"/>
      <c r="Q794" s="140"/>
      <c r="R794" s="140"/>
      <c r="S794" s="140"/>
      <c r="T794" s="140"/>
    </row>
    <row r="795" spans="1:20" ht="15" customHeight="1" x14ac:dyDescent="0.2">
      <c r="A795" s="141"/>
      <c r="B795" s="143" t="str">
        <f>IF(ISBLANK(A795),"",IF(AND(ISNA(VLOOKUP(A795,Interface_Platform!E:E,1,FALSE())),ISNA(VLOOKUP(A795,D:D,1,FALSE()))),"N","Y"))</f>
        <v/>
      </c>
      <c r="C795" s="143" t="s">
        <v>1573</v>
      </c>
      <c r="D795" s="143" t="s">
        <v>193</v>
      </c>
      <c r="E795" s="142">
        <v>1</v>
      </c>
      <c r="F795" s="144" t="str">
        <f>IF(AND(ISNA(VLOOKUP(D795,A:A,1,FALSE())),ISNA(VLOOKUP(D795,BaseType!A:A,1,FALSE())),D795&lt;&gt;"Struct"),"N","Y")</f>
        <v>Y</v>
      </c>
      <c r="G795" s="147" t="s">
        <v>1574</v>
      </c>
      <c r="H795" s="141"/>
      <c r="I795" s="141"/>
      <c r="J795" s="141"/>
      <c r="K795" s="141"/>
      <c r="L795" s="141"/>
      <c r="M795" s="141"/>
      <c r="N795" s="140"/>
      <c r="O795" s="140"/>
      <c r="P795" s="140"/>
      <c r="Q795" s="140"/>
      <c r="R795" s="140"/>
      <c r="S795" s="140"/>
      <c r="T795" s="140"/>
    </row>
    <row r="796" spans="1:20" ht="15" customHeight="1" x14ac:dyDescent="0.2">
      <c r="A796" s="141"/>
      <c r="B796" s="143" t="str">
        <f>IF(ISBLANK(A796),"",IF(AND(ISNA(VLOOKUP(A796,Interface_Platform!E:E,1,FALSE())),ISNA(VLOOKUP(A796,D:D,1,FALSE()))),"N","Y"))</f>
        <v/>
      </c>
      <c r="C796" s="143" t="s">
        <v>1575</v>
      </c>
      <c r="D796" s="143" t="s">
        <v>193</v>
      </c>
      <c r="E796" s="142">
        <v>1</v>
      </c>
      <c r="F796" s="144" t="str">
        <f>IF(AND(ISNA(VLOOKUP(D796,A:A,1,FALSE())),ISNA(VLOOKUP(D796,BaseType!A:A,1,FALSE())),D796&lt;&gt;"Struct"),"N","Y")</f>
        <v>Y</v>
      </c>
      <c r="G796" s="147" t="s">
        <v>1576</v>
      </c>
      <c r="H796" s="141"/>
      <c r="I796" s="141"/>
      <c r="J796" s="141"/>
      <c r="K796" s="141"/>
      <c r="L796" s="141"/>
      <c r="M796" s="141"/>
      <c r="N796" s="140"/>
      <c r="O796" s="140"/>
      <c r="P796" s="140"/>
      <c r="Q796" s="140"/>
      <c r="R796" s="140"/>
      <c r="S796" s="140"/>
      <c r="T796" s="140"/>
    </row>
    <row r="797" spans="1:20" ht="15" customHeight="1" x14ac:dyDescent="0.2">
      <c r="A797" s="141"/>
      <c r="B797" s="143" t="str">
        <f>IF(ISBLANK(A797),"",IF(AND(ISNA(VLOOKUP(A797,Interface_Platform!E:E,1,FALSE())),ISNA(VLOOKUP(A797,D:D,1,FALSE()))),"N","Y"))</f>
        <v/>
      </c>
      <c r="C797" s="143" t="s">
        <v>1577</v>
      </c>
      <c r="D797" s="143" t="s">
        <v>193</v>
      </c>
      <c r="E797" s="142">
        <v>1</v>
      </c>
      <c r="F797" s="144" t="str">
        <f>IF(AND(ISNA(VLOOKUP(D797,A:A,1,FALSE())),ISNA(VLOOKUP(D797,BaseType!A:A,1,FALSE())),D797&lt;&gt;"Struct"),"N","Y")</f>
        <v>Y</v>
      </c>
      <c r="G797" s="147" t="s">
        <v>1578</v>
      </c>
      <c r="H797" s="141"/>
      <c r="I797" s="141"/>
      <c r="J797" s="141"/>
      <c r="K797" s="141"/>
      <c r="L797" s="141"/>
      <c r="M797" s="141"/>
      <c r="N797" s="140"/>
      <c r="O797" s="140"/>
      <c r="P797" s="140"/>
      <c r="Q797" s="140"/>
      <c r="R797" s="140"/>
      <c r="S797" s="140"/>
      <c r="T797" s="140"/>
    </row>
    <row r="798" spans="1:20" ht="15" customHeight="1" x14ac:dyDescent="0.2">
      <c r="A798" s="141"/>
      <c r="B798" s="143" t="str">
        <f>IF(ISBLANK(A798),"",IF(AND(ISNA(VLOOKUP(A798,Interface_Platform!E:E,1,FALSE())),ISNA(VLOOKUP(A798,D:D,1,FALSE()))),"N","Y"))</f>
        <v/>
      </c>
      <c r="C798" s="143" t="s">
        <v>1579</v>
      </c>
      <c r="D798" s="143" t="s">
        <v>193</v>
      </c>
      <c r="E798" s="142">
        <v>1</v>
      </c>
      <c r="F798" s="144" t="str">
        <f>IF(AND(ISNA(VLOOKUP(D798,A:A,1,FALSE())),ISNA(VLOOKUP(D798,BaseType!A:A,1,FALSE())),D798&lt;&gt;"Struct"),"N","Y")</f>
        <v>Y</v>
      </c>
      <c r="G798" s="147" t="s">
        <v>1580</v>
      </c>
      <c r="H798" s="141"/>
      <c r="I798" s="141"/>
      <c r="J798" s="141"/>
      <c r="K798" s="141"/>
      <c r="L798" s="141"/>
      <c r="M798" s="141"/>
      <c r="N798" s="140"/>
      <c r="O798" s="140"/>
      <c r="P798" s="140"/>
      <c r="Q798" s="140"/>
      <c r="R798" s="140"/>
      <c r="S798" s="140"/>
      <c r="T798" s="140"/>
    </row>
    <row r="799" spans="1:20" ht="15" customHeight="1" x14ac:dyDescent="0.2">
      <c r="A799" s="141"/>
      <c r="B799" s="143" t="str">
        <f>IF(ISBLANK(A799),"",IF(AND(ISNA(VLOOKUP(A799,Interface_Platform!E:E,1,FALSE())),ISNA(VLOOKUP(A799,D:D,1,FALSE()))),"N","Y"))</f>
        <v/>
      </c>
      <c r="C799" s="143" t="s">
        <v>1581</v>
      </c>
      <c r="D799" s="143" t="s">
        <v>193</v>
      </c>
      <c r="E799" s="142">
        <v>1</v>
      </c>
      <c r="F799" s="144" t="str">
        <f>IF(AND(ISNA(VLOOKUP(D799,A:A,1,FALSE())),ISNA(VLOOKUP(D799,BaseType!A:A,1,FALSE())),D799&lt;&gt;"Struct"),"N","Y")</f>
        <v>Y</v>
      </c>
      <c r="G799" s="147" t="s">
        <v>1580</v>
      </c>
      <c r="H799" s="141"/>
      <c r="I799" s="141"/>
      <c r="J799" s="141"/>
      <c r="K799" s="141"/>
      <c r="L799" s="141"/>
      <c r="M799" s="141"/>
      <c r="N799" s="140"/>
      <c r="O799" s="140"/>
      <c r="P799" s="140"/>
      <c r="Q799" s="140"/>
      <c r="R799" s="140"/>
      <c r="S799" s="140"/>
      <c r="T799" s="140"/>
    </row>
    <row r="800" spans="1:20" ht="15" customHeight="1" x14ac:dyDescent="0.2">
      <c r="A800" s="141"/>
      <c r="B800" s="143" t="str">
        <f>IF(ISBLANK(A800),"",IF(AND(ISNA(VLOOKUP(A800,Interface_Platform!E:E,1,FALSE())),ISNA(VLOOKUP(A800,D:D,1,FALSE()))),"N","Y"))</f>
        <v/>
      </c>
      <c r="C800" s="143" t="s">
        <v>1582</v>
      </c>
      <c r="D800" s="143" t="s">
        <v>193</v>
      </c>
      <c r="E800" s="142">
        <v>1</v>
      </c>
      <c r="F800" s="144" t="str">
        <f>IF(AND(ISNA(VLOOKUP(D800,A:A,1,FALSE())),ISNA(VLOOKUP(D800,BaseType!A:A,1,FALSE())),D800&lt;&gt;"Struct"),"N","Y")</f>
        <v>Y</v>
      </c>
      <c r="G800" s="147" t="s">
        <v>1580</v>
      </c>
      <c r="H800" s="141"/>
      <c r="I800" s="141"/>
      <c r="J800" s="141"/>
      <c r="K800" s="141"/>
      <c r="L800" s="141"/>
      <c r="M800" s="141"/>
      <c r="N800" s="140"/>
      <c r="O800" s="140"/>
      <c r="P800" s="140"/>
      <c r="Q800" s="140"/>
      <c r="R800" s="140"/>
      <c r="S800" s="140"/>
      <c r="T800" s="140"/>
    </row>
    <row r="801" spans="1:20" ht="15" customHeight="1" x14ac:dyDescent="0.2">
      <c r="A801" s="141"/>
      <c r="B801" s="143" t="str">
        <f>IF(ISBLANK(A801),"",IF(AND(ISNA(VLOOKUP(A801,Interface_Platform!E:E,1,FALSE())),ISNA(VLOOKUP(A801,D:D,1,FALSE()))),"N","Y"))</f>
        <v/>
      </c>
      <c r="C801" s="143" t="s">
        <v>1583</v>
      </c>
      <c r="D801" s="143" t="s">
        <v>298</v>
      </c>
      <c r="E801" s="142">
        <v>1</v>
      </c>
      <c r="F801" s="144" t="str">
        <f>IF(AND(ISNA(VLOOKUP(D801,A:A,1,FALSE())),ISNA(VLOOKUP(D801,BaseType!A:A,1,FALSE())),D801&lt;&gt;"Struct"),"N","Y")</f>
        <v>Y</v>
      </c>
      <c r="G801" s="147"/>
      <c r="H801" s="141"/>
      <c r="I801" s="141"/>
      <c r="J801" s="141"/>
      <c r="K801" s="141"/>
      <c r="L801" s="141"/>
      <c r="M801" s="141"/>
      <c r="N801" s="140"/>
      <c r="O801" s="140"/>
      <c r="P801" s="140"/>
      <c r="Q801" s="140"/>
      <c r="R801" s="140"/>
      <c r="S801" s="140"/>
      <c r="T801" s="140"/>
    </row>
    <row r="802" spans="1:20" ht="15" customHeight="1" x14ac:dyDescent="0.2">
      <c r="A802" s="141"/>
      <c r="B802" s="143" t="str">
        <f>IF(ISBLANK(A802),"",IF(AND(ISNA(VLOOKUP(A802,Interface_Platform!E:E,1,FALSE())),ISNA(VLOOKUP(A802,D:D,1,FALSE()))),"N","Y"))</f>
        <v/>
      </c>
      <c r="C802" s="143" t="s">
        <v>1584</v>
      </c>
      <c r="D802" s="143" t="s">
        <v>225</v>
      </c>
      <c r="E802" s="142">
        <v>1</v>
      </c>
      <c r="F802" s="144" t="str">
        <f>IF(AND(ISNA(VLOOKUP(D802,A:A,1,FALSE())),ISNA(VLOOKUP(D802,BaseType!A:A,1,FALSE())),D802&lt;&gt;"Struct"),"N","Y")</f>
        <v>Y</v>
      </c>
      <c r="G802" s="147" t="s">
        <v>1585</v>
      </c>
      <c r="H802" s="141"/>
      <c r="I802" s="141"/>
      <c r="J802" s="141"/>
      <c r="K802" s="141"/>
      <c r="L802" s="141"/>
      <c r="M802" s="141"/>
      <c r="N802" s="140"/>
      <c r="O802" s="140"/>
      <c r="P802" s="140"/>
      <c r="Q802" s="140"/>
      <c r="R802" s="140"/>
      <c r="S802" s="140"/>
      <c r="T802" s="140"/>
    </row>
    <row r="803" spans="1:20" ht="15" customHeight="1" x14ac:dyDescent="0.2">
      <c r="A803" s="141"/>
      <c r="B803" s="143" t="str">
        <f>IF(ISBLANK(A803),"",IF(AND(ISNA(VLOOKUP(A803,Interface_Platform!E:E,1,FALSE())),ISNA(VLOOKUP(A803,D:D,1,FALSE()))),"N","Y"))</f>
        <v/>
      </c>
      <c r="C803" s="143" t="s">
        <v>1586</v>
      </c>
      <c r="D803" s="143" t="s">
        <v>225</v>
      </c>
      <c r="E803" s="142">
        <v>1</v>
      </c>
      <c r="F803" s="144" t="str">
        <f>IF(AND(ISNA(VLOOKUP(D803,A:A,1,FALSE())),ISNA(VLOOKUP(D803,BaseType!A:A,1,FALSE())),D803&lt;&gt;"Struct"),"N","Y")</f>
        <v>Y</v>
      </c>
      <c r="G803" s="147" t="s">
        <v>1587</v>
      </c>
      <c r="H803" s="141"/>
      <c r="I803" s="141"/>
      <c r="J803" s="141"/>
      <c r="K803" s="141"/>
      <c r="L803" s="141"/>
      <c r="M803" s="141"/>
      <c r="N803" s="140"/>
      <c r="O803" s="140"/>
      <c r="P803" s="140"/>
      <c r="Q803" s="140"/>
      <c r="R803" s="140"/>
      <c r="S803" s="140"/>
      <c r="T803" s="140"/>
    </row>
    <row r="804" spans="1:20" ht="15" customHeight="1" x14ac:dyDescent="0.2">
      <c r="A804" s="141"/>
      <c r="B804" s="143" t="str">
        <f>IF(ISBLANK(A804),"",IF(AND(ISNA(VLOOKUP(A804,Interface_Platform!E:E,1,FALSE())),ISNA(VLOOKUP(A804,D:D,1,FALSE()))),"N","Y"))</f>
        <v/>
      </c>
      <c r="C804" s="143" t="s">
        <v>1588</v>
      </c>
      <c r="D804" s="143" t="s">
        <v>225</v>
      </c>
      <c r="E804" s="142">
        <v>1</v>
      </c>
      <c r="F804" s="144" t="str">
        <f>IF(AND(ISNA(VLOOKUP(D804,A:A,1,FALSE())),ISNA(VLOOKUP(D804,BaseType!A:A,1,FALSE())),D804&lt;&gt;"Struct"),"N","Y")</f>
        <v>Y</v>
      </c>
      <c r="G804" s="146"/>
      <c r="H804" s="141"/>
      <c r="I804" s="141"/>
      <c r="J804" s="141"/>
      <c r="K804" s="141"/>
      <c r="L804" s="141"/>
      <c r="M804" s="141"/>
      <c r="N804" s="140"/>
      <c r="O804" s="140"/>
      <c r="P804" s="140"/>
      <c r="Q804" s="140"/>
      <c r="R804" s="140"/>
      <c r="S804" s="140"/>
      <c r="T804" s="140"/>
    </row>
    <row r="805" spans="1:20" ht="15" customHeight="1" x14ac:dyDescent="0.2">
      <c r="A805" s="141"/>
      <c r="B805" s="143" t="str">
        <f>IF(ISBLANK(A805),"",IF(AND(ISNA(VLOOKUP(A805,Interface_Platform!E:E,1,FALSE())),ISNA(VLOOKUP(A805,D:D,1,FALSE()))),"N","Y"))</f>
        <v/>
      </c>
      <c r="C805" s="143" t="s">
        <v>1589</v>
      </c>
      <c r="D805" s="143" t="s">
        <v>225</v>
      </c>
      <c r="E805" s="142">
        <v>1</v>
      </c>
      <c r="F805" s="144" t="str">
        <f>IF(AND(ISNA(VLOOKUP(D805,A:A,1,FALSE())),ISNA(VLOOKUP(D805,BaseType!A:A,1,FALSE())),D805&lt;&gt;"Struct"),"N","Y")</f>
        <v>Y</v>
      </c>
      <c r="G805" s="146"/>
      <c r="H805" s="141"/>
      <c r="I805" s="141"/>
      <c r="J805" s="141"/>
      <c r="K805" s="141"/>
      <c r="L805" s="141"/>
      <c r="M805" s="141"/>
      <c r="N805" s="140"/>
      <c r="O805" s="140"/>
      <c r="P805" s="140"/>
      <c r="Q805" s="140"/>
      <c r="R805" s="140"/>
      <c r="S805" s="140"/>
      <c r="T805" s="140"/>
    </row>
    <row r="806" spans="1:20" ht="15" customHeight="1" x14ac:dyDescent="0.2">
      <c r="A806" s="143" t="s">
        <v>174</v>
      </c>
      <c r="B806" s="143" t="str">
        <f>IF(ISBLANK(A806),"",IF(AND(ISNA(VLOOKUP(A806,Interface_Platform!E:E,1,FALSE())),ISNA(VLOOKUP(A806,D:D,1,FALSE()))),"N","Y"))</f>
        <v>Y</v>
      </c>
      <c r="C806" s="75"/>
      <c r="D806" s="143" t="s">
        <v>484</v>
      </c>
      <c r="E806" s="40"/>
      <c r="F806" s="144" t="str">
        <f>IF(AND(ISNA(VLOOKUP(D806,A:A,1,FALSE())),ISNA(VLOOKUP(D806,BaseType!A:A,1,FALSE())),D806&lt;&gt;"Struct"),"N","Y")</f>
        <v>Y</v>
      </c>
      <c r="G806" s="146"/>
      <c r="H806" s="141"/>
      <c r="I806" s="141"/>
      <c r="J806" s="141"/>
      <c r="K806" s="141"/>
      <c r="L806" s="141"/>
      <c r="M806" s="141"/>
      <c r="N806" s="140"/>
      <c r="O806" s="140"/>
      <c r="P806" s="140"/>
      <c r="Q806" s="140"/>
      <c r="R806" s="140"/>
      <c r="S806" s="140"/>
      <c r="T806" s="140"/>
    </row>
    <row r="807" spans="1:20" ht="15" customHeight="1" x14ac:dyDescent="0.2">
      <c r="A807" s="141"/>
      <c r="B807" s="143" t="str">
        <f>IF(ISBLANK(A807),"",IF(AND(ISNA(VLOOKUP(A807,Interface_Platform!E:E,1,FALSE())),ISNA(VLOOKUP(A807,D:D,1,FALSE()))),"N","Y"))</f>
        <v/>
      </c>
      <c r="C807" s="143" t="s">
        <v>1590</v>
      </c>
      <c r="D807" s="143" t="s">
        <v>1553</v>
      </c>
      <c r="E807" s="142">
        <v>1</v>
      </c>
      <c r="F807" s="144" t="str">
        <f>IF(AND(ISNA(VLOOKUP(D807,A:A,1,FALSE())),ISNA(VLOOKUP(D807,BaseType!A:A,1,FALSE())),D807&lt;&gt;"Struct"),"N","Y")</f>
        <v>Y</v>
      </c>
      <c r="G807" s="146"/>
      <c r="H807" s="141"/>
      <c r="I807" s="141"/>
      <c r="J807" s="141"/>
      <c r="K807" s="141"/>
      <c r="L807" s="141"/>
      <c r="M807" s="141"/>
      <c r="N807" s="140"/>
      <c r="O807" s="140"/>
      <c r="P807" s="140"/>
      <c r="Q807" s="140"/>
      <c r="R807" s="140"/>
      <c r="S807" s="140"/>
      <c r="T807" s="140"/>
    </row>
    <row r="808" spans="1:20" ht="15" customHeight="1" x14ac:dyDescent="0.2">
      <c r="A808" s="141"/>
      <c r="B808" s="143"/>
      <c r="C808" s="181" t="s">
        <v>1591</v>
      </c>
      <c r="D808" s="181" t="s">
        <v>1389</v>
      </c>
      <c r="E808" s="154">
        <v>1</v>
      </c>
      <c r="F808" s="144" t="str">
        <f>IF(AND(ISNA(VLOOKUP(D808,A:A,1,FALSE())),ISNA(VLOOKUP(D808,BaseType!A:A,1,FALSE())),D808&lt;&gt;"Struct"),"N","Y")</f>
        <v>Y</v>
      </c>
      <c r="G808" s="146"/>
      <c r="H808" s="141"/>
      <c r="I808" s="141"/>
      <c r="J808" s="141"/>
      <c r="K808" s="141"/>
      <c r="L808" s="141"/>
      <c r="M808" s="141"/>
      <c r="N808" s="140"/>
      <c r="O808" s="140"/>
      <c r="P808" s="140"/>
      <c r="Q808" s="140"/>
      <c r="R808" s="140"/>
      <c r="S808" s="140"/>
      <c r="T808" s="140"/>
    </row>
    <row r="809" spans="1:20" ht="15" customHeight="1" x14ac:dyDescent="0.2">
      <c r="A809" s="141"/>
      <c r="B809" s="143" t="str">
        <f>IF(ISBLANK(A809),"",IF(AND(ISNA(VLOOKUP(A809,Interface_Platform!E:E,1,FALSE())),ISNA(VLOOKUP(A809,D:D,1,FALSE()))),"N","Y"))</f>
        <v/>
      </c>
      <c r="C809" s="143" t="s">
        <v>1592</v>
      </c>
      <c r="D809" s="143" t="s">
        <v>1560</v>
      </c>
      <c r="E809" s="142">
        <v>8</v>
      </c>
      <c r="F809" s="144" t="str">
        <f>IF(AND(ISNA(VLOOKUP(D809,A:A,1,FALSE())),ISNA(VLOOKUP(D809,BaseType!A:A,1,FALSE())),D809&lt;&gt;"Struct"),"N","Y")</f>
        <v>Y</v>
      </c>
      <c r="G809" s="146"/>
      <c r="H809" s="141"/>
      <c r="I809" s="141"/>
      <c r="J809" s="141"/>
      <c r="K809" s="141"/>
      <c r="L809" s="141"/>
      <c r="M809" s="141"/>
      <c r="N809" s="140"/>
      <c r="O809" s="140"/>
      <c r="P809" s="140"/>
      <c r="Q809" s="140"/>
      <c r="R809" s="140"/>
      <c r="S809" s="140"/>
      <c r="T809" s="140"/>
    </row>
    <row r="810" spans="1:20" ht="15" customHeight="1" x14ac:dyDescent="0.2">
      <c r="A810" s="143" t="s">
        <v>1593</v>
      </c>
      <c r="B810" s="143" t="str">
        <f>IF(ISBLANK(A810),"",IF(AND(ISNA(VLOOKUP(A810,Interface_Platform!E:E,1,FALSE())),ISNA(VLOOKUP(A810,D:D,1,FALSE()))),"N","Y"))</f>
        <v>Y</v>
      </c>
      <c r="C810" s="75"/>
      <c r="D810" s="143" t="s">
        <v>484</v>
      </c>
      <c r="E810" s="40"/>
      <c r="F810" s="144" t="str">
        <f>IF(AND(ISNA(VLOOKUP(D810,A:A,1,FALSE())),ISNA(VLOOKUP(D810,BaseType!A:A,1,FALSE())),D810&lt;&gt;"Struct"),"N","Y")</f>
        <v>Y</v>
      </c>
      <c r="G810" s="146"/>
      <c r="H810" s="141"/>
      <c r="I810" s="141"/>
      <c r="J810" s="141"/>
      <c r="K810" s="141"/>
      <c r="L810" s="141"/>
      <c r="M810" s="141"/>
      <c r="N810" s="140"/>
      <c r="O810" s="140"/>
      <c r="P810" s="140"/>
      <c r="Q810" s="140"/>
      <c r="R810" s="140"/>
      <c r="S810" s="140"/>
      <c r="T810" s="140"/>
    </row>
    <row r="811" spans="1:20" ht="15" customHeight="1" x14ac:dyDescent="0.2">
      <c r="A811" s="141"/>
      <c r="B811" s="143" t="str">
        <f>IF(ISBLANK(A811),"",IF(AND(ISNA(VLOOKUP(A811,Interface_Platform!E:E,1,FALSE())),ISNA(VLOOKUP(A811,D:D,1,FALSE()))),"N","Y"))</f>
        <v/>
      </c>
      <c r="C811" s="143" t="s">
        <v>1594</v>
      </c>
      <c r="D811" s="143" t="s">
        <v>764</v>
      </c>
      <c r="E811" s="142">
        <v>1</v>
      </c>
      <c r="F811" s="144" t="str">
        <f>IF(AND(ISNA(VLOOKUP(D811,A:A,1,FALSE())),ISNA(VLOOKUP(D811,BaseType!A:A,1,FALSE())),D811&lt;&gt;"Struct"),"N","Y")</f>
        <v>Y</v>
      </c>
      <c r="G811" s="147" t="s">
        <v>1595</v>
      </c>
      <c r="H811" s="141"/>
      <c r="I811" s="141"/>
      <c r="J811" s="141"/>
      <c r="K811" s="141"/>
      <c r="L811" s="141"/>
      <c r="M811" s="141"/>
      <c r="N811" s="140"/>
      <c r="O811" s="140"/>
      <c r="P811" s="140"/>
      <c r="Q811" s="140"/>
      <c r="R811" s="140"/>
      <c r="S811" s="140"/>
      <c r="T811" s="140"/>
    </row>
    <row r="812" spans="1:20" ht="15" customHeight="1" x14ac:dyDescent="0.2">
      <c r="A812" s="141"/>
      <c r="B812" s="143" t="str">
        <f>IF(ISBLANK(A812),"",IF(AND(ISNA(VLOOKUP(A812,Interface_Platform!E:E,1,FALSE())),ISNA(VLOOKUP(A812,D:D,1,FALSE()))),"N","Y"))</f>
        <v/>
      </c>
      <c r="C812" s="143" t="s">
        <v>1596</v>
      </c>
      <c r="D812" s="143" t="s">
        <v>193</v>
      </c>
      <c r="E812" s="142">
        <v>1</v>
      </c>
      <c r="F812" s="144" t="str">
        <f>IF(AND(ISNA(VLOOKUP(D812,A:A,1,FALSE())),ISNA(VLOOKUP(D812,BaseType!A:A,1,FALSE())),D812&lt;&gt;"Struct"),"N","Y")</f>
        <v>Y</v>
      </c>
      <c r="G812" s="147" t="s">
        <v>1597</v>
      </c>
      <c r="H812" s="141"/>
      <c r="I812" s="141"/>
      <c r="J812" s="141"/>
      <c r="K812" s="141"/>
      <c r="L812" s="141"/>
      <c r="M812" s="141"/>
      <c r="N812" s="140"/>
      <c r="O812" s="140"/>
      <c r="P812" s="140"/>
      <c r="Q812" s="140"/>
      <c r="R812" s="140"/>
      <c r="S812" s="140"/>
      <c r="T812" s="140"/>
    </row>
    <row r="813" spans="1:20" ht="15" customHeight="1" x14ac:dyDescent="0.2">
      <c r="A813" s="141"/>
      <c r="B813" s="143" t="str">
        <f>IF(ISBLANK(A813),"",IF(AND(ISNA(VLOOKUP(A813,Interface_Platform!E:E,1,FALSE())),ISNA(VLOOKUP(A813,D:D,1,FALSE()))),"N","Y"))</f>
        <v/>
      </c>
      <c r="C813" s="143" t="s">
        <v>1598</v>
      </c>
      <c r="D813" s="143" t="s">
        <v>193</v>
      </c>
      <c r="E813" s="142">
        <v>1</v>
      </c>
      <c r="F813" s="144" t="str">
        <f>IF(AND(ISNA(VLOOKUP(D813,A:A,1,FALSE())),ISNA(VLOOKUP(D813,BaseType!A:A,1,FALSE())),D813&lt;&gt;"Struct"),"N","Y")</f>
        <v>Y</v>
      </c>
      <c r="G813" s="147" t="s">
        <v>1206</v>
      </c>
      <c r="H813" s="141"/>
      <c r="I813" s="141"/>
      <c r="J813" s="141"/>
      <c r="K813" s="141"/>
      <c r="L813" s="141"/>
      <c r="M813" s="141"/>
      <c r="N813" s="140"/>
      <c r="O813" s="140"/>
      <c r="P813" s="140"/>
      <c r="Q813" s="140"/>
      <c r="R813" s="140"/>
      <c r="S813" s="140"/>
      <c r="T813" s="140"/>
    </row>
    <row r="814" spans="1:20" ht="15" customHeight="1" x14ac:dyDescent="0.2">
      <c r="A814" s="141"/>
      <c r="B814" s="143" t="str">
        <f>IF(ISBLANK(A814),"",IF(AND(ISNA(VLOOKUP(A814,Interface_Platform!E:E,1,FALSE())),ISNA(VLOOKUP(A814,D:D,1,FALSE()))),"N","Y"))</f>
        <v/>
      </c>
      <c r="C814" s="143" t="s">
        <v>1599</v>
      </c>
      <c r="D814" s="143" t="s">
        <v>193</v>
      </c>
      <c r="E814" s="142">
        <v>1</v>
      </c>
      <c r="F814" s="144" t="str">
        <f>IF(AND(ISNA(VLOOKUP(D814,A:A,1,FALSE())),ISNA(VLOOKUP(D814,BaseType!A:A,1,FALSE())),D814&lt;&gt;"Struct"),"N","Y")</f>
        <v>Y</v>
      </c>
      <c r="G814" s="147" t="s">
        <v>1600</v>
      </c>
      <c r="H814" s="141"/>
      <c r="I814" s="141"/>
      <c r="J814" s="141"/>
      <c r="K814" s="141"/>
      <c r="L814" s="141"/>
      <c r="M814" s="141"/>
      <c r="N814" s="140"/>
      <c r="O814" s="140"/>
      <c r="P814" s="140"/>
      <c r="Q814" s="140"/>
      <c r="R814" s="140"/>
      <c r="S814" s="140"/>
      <c r="T814" s="140"/>
    </row>
    <row r="815" spans="1:20" ht="15" customHeight="1" x14ac:dyDescent="0.2">
      <c r="A815" s="141"/>
      <c r="B815" s="143" t="str">
        <f>IF(ISBLANK(A815),"",IF(AND(ISNA(VLOOKUP(A815,Interface_Platform!E:E,1,FALSE())),ISNA(VLOOKUP(A815,D:D,1,FALSE()))),"N","Y"))</f>
        <v/>
      </c>
      <c r="C815" s="143" t="s">
        <v>1601</v>
      </c>
      <c r="D815" s="143" t="s">
        <v>193</v>
      </c>
      <c r="E815" s="142">
        <v>1</v>
      </c>
      <c r="F815" s="144" t="str">
        <f>IF(AND(ISNA(VLOOKUP(D815,A:A,1,FALSE())),ISNA(VLOOKUP(D815,BaseType!A:A,1,FALSE())),D815&lt;&gt;"Struct"),"N","Y")</f>
        <v>Y</v>
      </c>
      <c r="G815" s="147"/>
      <c r="H815" s="141"/>
      <c r="I815" s="141"/>
      <c r="J815" s="141"/>
      <c r="K815" s="141"/>
      <c r="L815" s="141"/>
      <c r="M815" s="141"/>
      <c r="N815" s="140"/>
      <c r="O815" s="140"/>
      <c r="P815" s="140"/>
      <c r="Q815" s="140"/>
      <c r="R815" s="140"/>
      <c r="S815" s="140"/>
      <c r="T815" s="140"/>
    </row>
    <row r="816" spans="1:20" ht="15" customHeight="1" x14ac:dyDescent="0.2">
      <c r="A816" s="141"/>
      <c r="B816" s="143" t="str">
        <f>IF(ISBLANK(A816),"",IF(AND(ISNA(VLOOKUP(A816,Interface_Platform!E:E,1,FALSE())),ISNA(VLOOKUP(A816,D:D,1,FALSE()))),"N","Y"))</f>
        <v/>
      </c>
      <c r="C816" s="143" t="s">
        <v>1602</v>
      </c>
      <c r="D816" s="143" t="s">
        <v>193</v>
      </c>
      <c r="E816" s="142">
        <v>1</v>
      </c>
      <c r="F816" s="144" t="str">
        <f>IF(AND(ISNA(VLOOKUP(D816,A:A,1,FALSE())),ISNA(VLOOKUP(D816,BaseType!A:A,1,FALSE())),D816&lt;&gt;"Struct"),"N","Y")</f>
        <v>Y</v>
      </c>
      <c r="G816" s="147" t="s">
        <v>1603</v>
      </c>
      <c r="H816" s="141"/>
      <c r="I816" s="141"/>
      <c r="J816" s="141"/>
      <c r="K816" s="141"/>
      <c r="L816" s="141"/>
      <c r="M816" s="141"/>
      <c r="N816" s="140"/>
      <c r="O816" s="140"/>
      <c r="P816" s="140"/>
      <c r="Q816" s="140"/>
      <c r="R816" s="140"/>
      <c r="S816" s="140"/>
      <c r="T816" s="140"/>
    </row>
    <row r="817" spans="1:20" ht="15" customHeight="1" x14ac:dyDescent="0.2">
      <c r="A817" s="141"/>
      <c r="B817" s="143" t="str">
        <f>IF(ISBLANK(A817),"",IF(AND(ISNA(VLOOKUP(A817,Interface_Platform!E:E,1,FALSE())),ISNA(VLOOKUP(A817,D:D,1,FALSE()))),"N","Y"))</f>
        <v/>
      </c>
      <c r="C817" s="143" t="s">
        <v>1604</v>
      </c>
      <c r="D817" s="143" t="s">
        <v>298</v>
      </c>
      <c r="E817" s="142">
        <v>1</v>
      </c>
      <c r="F817" s="144" t="str">
        <f>IF(AND(ISNA(VLOOKUP(D817,A:A,1,FALSE())),ISNA(VLOOKUP(D817,BaseType!A:A,1,FALSE())),D817&lt;&gt;"Struct"),"N","Y")</f>
        <v>Y</v>
      </c>
      <c r="G817" s="146"/>
      <c r="H817" s="141"/>
      <c r="I817" s="141"/>
      <c r="J817" s="141"/>
      <c r="K817" s="141"/>
      <c r="L817" s="141"/>
      <c r="M817" s="141"/>
      <c r="N817" s="140"/>
      <c r="O817" s="140"/>
      <c r="P817" s="140"/>
      <c r="Q817" s="140"/>
      <c r="R817" s="140"/>
      <c r="S817" s="140"/>
      <c r="T817" s="140"/>
    </row>
    <row r="818" spans="1:20" ht="15" customHeight="1" x14ac:dyDescent="0.2">
      <c r="A818" s="141"/>
      <c r="B818" s="143" t="str">
        <f>IF(ISBLANK(A818),"",IF(AND(ISNA(VLOOKUP(A818,Interface_Platform!E:E,1,FALSE())),ISNA(VLOOKUP(A818,D:D,1,FALSE()))),"N","Y"))</f>
        <v/>
      </c>
      <c r="C818" s="143" t="s">
        <v>1605</v>
      </c>
      <c r="D818" s="143" t="s">
        <v>225</v>
      </c>
      <c r="E818" s="142">
        <v>1</v>
      </c>
      <c r="F818" s="144" t="str">
        <f>IF(AND(ISNA(VLOOKUP(D818,A:A,1,FALSE())),ISNA(VLOOKUP(D818,BaseType!A:A,1,FALSE())),D818&lt;&gt;"Struct"),"N","Y")</f>
        <v>Y</v>
      </c>
      <c r="G818" s="146"/>
      <c r="H818" s="141"/>
      <c r="I818" s="141"/>
      <c r="J818" s="141"/>
      <c r="K818" s="141"/>
      <c r="L818" s="141"/>
      <c r="M818" s="141"/>
      <c r="N818" s="140"/>
      <c r="O818" s="140"/>
      <c r="P818" s="140"/>
      <c r="Q818" s="140"/>
      <c r="R818" s="140"/>
      <c r="S818" s="140"/>
      <c r="T818" s="140"/>
    </row>
    <row r="819" spans="1:20" ht="15" customHeight="1" x14ac:dyDescent="0.2">
      <c r="A819" s="141"/>
      <c r="B819" s="143" t="str">
        <f>IF(ISBLANK(A819),"",IF(AND(ISNA(VLOOKUP(A819,Interface_Platform!E:E,1,FALSE())),ISNA(VLOOKUP(A819,D:D,1,FALSE()))),"N","Y"))</f>
        <v/>
      </c>
      <c r="C819" s="143" t="s">
        <v>1606</v>
      </c>
      <c r="D819" s="143" t="s">
        <v>225</v>
      </c>
      <c r="E819" s="142">
        <v>1</v>
      </c>
      <c r="F819" s="144" t="str">
        <f>IF(AND(ISNA(VLOOKUP(D819,A:A,1,FALSE())),ISNA(VLOOKUP(D819,BaseType!A:A,1,FALSE())),D819&lt;&gt;"Struct"),"N","Y")</f>
        <v>Y</v>
      </c>
      <c r="G819" s="146"/>
      <c r="H819" s="141"/>
      <c r="I819" s="141"/>
      <c r="J819" s="141"/>
      <c r="K819" s="141"/>
      <c r="L819" s="141"/>
      <c r="M819" s="141"/>
      <c r="N819" s="140"/>
      <c r="O819" s="140"/>
      <c r="P819" s="140"/>
      <c r="Q819" s="140"/>
      <c r="R819" s="140"/>
      <c r="S819" s="140"/>
      <c r="T819" s="140"/>
    </row>
    <row r="820" spans="1:20" ht="15" customHeight="1" x14ac:dyDescent="0.2">
      <c r="A820" s="141"/>
      <c r="B820" s="143" t="str">
        <f>IF(ISBLANK(A820),"",IF(AND(ISNA(VLOOKUP(A820,Interface_Platform!E:E,1,FALSE())),ISNA(VLOOKUP(A820,D:D,1,FALSE()))),"N","Y"))</f>
        <v/>
      </c>
      <c r="C820" s="143" t="s">
        <v>1607</v>
      </c>
      <c r="D820" s="143" t="s">
        <v>225</v>
      </c>
      <c r="E820" s="142">
        <v>1</v>
      </c>
      <c r="F820" s="144" t="str">
        <f>IF(AND(ISNA(VLOOKUP(D820,A:A,1,FALSE())),ISNA(VLOOKUP(D820,BaseType!A:A,1,FALSE())),D820&lt;&gt;"Struct"),"N","Y")</f>
        <v>Y</v>
      </c>
      <c r="G820" s="146"/>
      <c r="H820" s="141"/>
      <c r="I820" s="141"/>
      <c r="J820" s="141"/>
      <c r="K820" s="141"/>
      <c r="L820" s="141"/>
      <c r="M820" s="141"/>
      <c r="N820" s="140"/>
      <c r="O820" s="140"/>
      <c r="P820" s="140"/>
      <c r="Q820" s="140"/>
      <c r="R820" s="140"/>
      <c r="S820" s="140"/>
      <c r="T820" s="140"/>
    </row>
    <row r="821" spans="1:20" ht="15" customHeight="1" x14ac:dyDescent="0.2">
      <c r="A821" s="143" t="s">
        <v>1608</v>
      </c>
      <c r="B821" s="143" t="str">
        <f>IF(ISBLANK(A821),"",IF(AND(ISNA(VLOOKUP(A821,Interface_Platform!E:E,1,FALSE())),ISNA(VLOOKUP(A821,D:D,1,FALSE()))),"N","Y"))</f>
        <v>Y</v>
      </c>
      <c r="C821" s="75"/>
      <c r="D821" s="143" t="s">
        <v>484</v>
      </c>
      <c r="E821" s="40"/>
      <c r="F821" s="144" t="str">
        <f>IF(AND(ISNA(VLOOKUP(D821,A:A,1,FALSE())),ISNA(VLOOKUP(D821,BaseType!A:A,1,FALSE())),D821&lt;&gt;"Struct"),"N","Y")</f>
        <v>Y</v>
      </c>
      <c r="G821" s="146"/>
      <c r="H821" s="141"/>
      <c r="I821" s="141"/>
      <c r="J821" s="141"/>
      <c r="K821" s="141"/>
      <c r="L821" s="141"/>
      <c r="M821" s="141"/>
      <c r="N821" s="140"/>
      <c r="O821" s="140"/>
      <c r="P821" s="140"/>
      <c r="Q821" s="140"/>
      <c r="R821" s="140"/>
      <c r="S821" s="140"/>
      <c r="T821" s="140"/>
    </row>
    <row r="822" spans="1:20" ht="15" customHeight="1" x14ac:dyDescent="0.2">
      <c r="A822" s="141"/>
      <c r="B822" s="143" t="str">
        <f>IF(ISBLANK(A822),"",IF(AND(ISNA(VLOOKUP(A822,Interface_Platform!E:E,1,FALSE())),ISNA(VLOOKUP(A822,D:D,1,FALSE()))),"N","Y"))</f>
        <v/>
      </c>
      <c r="C822" s="143" t="s">
        <v>1401</v>
      </c>
      <c r="D822" s="143" t="s">
        <v>193</v>
      </c>
      <c r="E822" s="142">
        <v>1</v>
      </c>
      <c r="F822" s="144" t="str">
        <f>IF(AND(ISNA(VLOOKUP(D822,A:A,1,FALSE())),ISNA(VLOOKUP(D822,BaseType!A:A,1,FALSE())),D822&lt;&gt;"Struct"),"N","Y")</f>
        <v>Y</v>
      </c>
      <c r="G822" s="146"/>
      <c r="H822" s="141"/>
      <c r="I822" s="141"/>
      <c r="J822" s="141"/>
      <c r="K822" s="141"/>
      <c r="L822" s="141"/>
      <c r="M822" s="141"/>
      <c r="N822" s="140"/>
      <c r="O822" s="140"/>
      <c r="P822" s="140"/>
      <c r="Q822" s="140"/>
      <c r="R822" s="140"/>
      <c r="S822" s="140"/>
      <c r="T822" s="140"/>
    </row>
    <row r="823" spans="1:20" ht="15" customHeight="1" x14ac:dyDescent="0.2">
      <c r="A823" s="141"/>
      <c r="B823" s="143" t="str">
        <f>IF(ISBLANK(A823),"",IF(AND(ISNA(VLOOKUP(A823,Interface_Platform!E:E,1,FALSE())),ISNA(VLOOKUP(A823,D:D,1,FALSE()))),"N","Y"))</f>
        <v/>
      </c>
      <c r="C823" s="143" t="s">
        <v>1402</v>
      </c>
      <c r="D823" s="143" t="s">
        <v>193</v>
      </c>
      <c r="E823" s="142">
        <v>1</v>
      </c>
      <c r="F823" s="144" t="str">
        <f>IF(AND(ISNA(VLOOKUP(D823,A:A,1,FALSE())),ISNA(VLOOKUP(D823,BaseType!A:A,1,FALSE())),D823&lt;&gt;"Struct"),"N","Y")</f>
        <v>Y</v>
      </c>
      <c r="G823" s="146"/>
      <c r="H823" s="141"/>
      <c r="I823" s="141"/>
      <c r="J823" s="141"/>
      <c r="K823" s="141"/>
      <c r="L823" s="141"/>
      <c r="M823" s="141"/>
      <c r="N823" s="140"/>
      <c r="O823" s="140"/>
      <c r="P823" s="140"/>
      <c r="Q823" s="140"/>
      <c r="R823" s="140"/>
      <c r="S823" s="140"/>
      <c r="T823" s="140"/>
    </row>
    <row r="824" spans="1:20" ht="15" customHeight="1" x14ac:dyDescent="0.2">
      <c r="A824" s="141"/>
      <c r="B824" s="143" t="str">
        <f>IF(ISBLANK(A824),"",IF(AND(ISNA(VLOOKUP(A824,Interface_Platform!E:E,1,FALSE())),ISNA(VLOOKUP(A824,D:D,1,FALSE()))),"N","Y"))</f>
        <v/>
      </c>
      <c r="C824" s="143" t="s">
        <v>1609</v>
      </c>
      <c r="D824" s="143" t="s">
        <v>193</v>
      </c>
      <c r="E824" s="142">
        <v>1</v>
      </c>
      <c r="F824" s="144" t="str">
        <f>IF(AND(ISNA(VLOOKUP(D824,A:A,1,FALSE())),ISNA(VLOOKUP(D824,BaseType!A:A,1,FALSE())),D824&lt;&gt;"Struct"),"N","Y")</f>
        <v>Y</v>
      </c>
      <c r="G824" s="146"/>
      <c r="H824" s="141"/>
      <c r="I824" s="141"/>
      <c r="J824" s="141"/>
      <c r="K824" s="141"/>
      <c r="L824" s="141"/>
      <c r="M824" s="141"/>
      <c r="N824" s="140"/>
      <c r="O824" s="140"/>
      <c r="P824" s="140"/>
      <c r="Q824" s="140"/>
      <c r="R824" s="140"/>
      <c r="S824" s="140"/>
      <c r="T824" s="140"/>
    </row>
    <row r="825" spans="1:20" ht="15" customHeight="1" x14ac:dyDescent="0.2">
      <c r="A825" s="141"/>
      <c r="B825" s="143"/>
      <c r="C825" s="180" t="s">
        <v>1610</v>
      </c>
      <c r="D825" s="180" t="s">
        <v>193</v>
      </c>
      <c r="E825" s="142">
        <v>1</v>
      </c>
      <c r="F825" s="144" t="str">
        <f>IF(AND(ISNA(VLOOKUP(D825,A:A,1,FALSE())),ISNA(VLOOKUP(D825,BaseType!A:A,1,FALSE())),D825&lt;&gt;"Struct"),"N","Y")</f>
        <v>Y</v>
      </c>
      <c r="G825" s="146" t="s">
        <v>1611</v>
      </c>
      <c r="H825" s="141"/>
      <c r="I825" s="141"/>
      <c r="J825" s="141"/>
      <c r="K825" s="141"/>
      <c r="L825" s="141"/>
      <c r="M825" s="141"/>
      <c r="N825" s="140"/>
      <c r="O825" s="140"/>
      <c r="P825" s="140"/>
      <c r="Q825" s="140"/>
      <c r="R825" s="140"/>
      <c r="S825" s="140"/>
      <c r="T825" s="140"/>
    </row>
    <row r="826" spans="1:20" ht="15" customHeight="1" x14ac:dyDescent="0.2">
      <c r="A826" s="141"/>
      <c r="B826" s="143" t="str">
        <f>IF(ISBLANK(A826),"",IF(AND(ISNA(VLOOKUP(A826,Interface_Platform!E:E,1,FALSE())),ISNA(VLOOKUP(A826,D:D,1,FALSE()))),"N","Y"))</f>
        <v/>
      </c>
      <c r="C826" s="143" t="s">
        <v>1558</v>
      </c>
      <c r="D826" s="143" t="s">
        <v>193</v>
      </c>
      <c r="E826" s="142">
        <v>1</v>
      </c>
      <c r="F826" s="144" t="str">
        <f>IF(AND(ISNA(VLOOKUP(D826,A:A,1,FALSE())),ISNA(VLOOKUP(D826,BaseType!A:A,1,FALSE())),D826&lt;&gt;"Struct"),"N","Y")</f>
        <v>Y</v>
      </c>
      <c r="G826" s="146"/>
      <c r="H826" s="141"/>
      <c r="I826" s="141"/>
      <c r="J826" s="141"/>
      <c r="K826" s="141"/>
      <c r="L826" s="141"/>
      <c r="M826" s="141"/>
      <c r="N826" s="140"/>
      <c r="O826" s="140"/>
      <c r="P826" s="140"/>
      <c r="Q826" s="140"/>
      <c r="R826" s="140"/>
      <c r="S826" s="140"/>
      <c r="T826" s="140"/>
    </row>
    <row r="827" spans="1:20" ht="15" customHeight="1" x14ac:dyDescent="0.2">
      <c r="A827" s="141"/>
      <c r="B827" s="143" t="str">
        <f>IF(ISBLANK(A827),"",IF(AND(ISNA(VLOOKUP(A827,Interface_Platform!E:E,1,FALSE())),ISNA(VLOOKUP(A827,D:D,1,FALSE()))),"N","Y"))</f>
        <v/>
      </c>
      <c r="C827" s="143" t="s">
        <v>1559</v>
      </c>
      <c r="D827" s="143" t="s">
        <v>298</v>
      </c>
      <c r="E827" s="142">
        <v>1</v>
      </c>
      <c r="F827" s="144" t="str">
        <f>IF(AND(ISNA(VLOOKUP(D827,A:A,1,FALSE())),ISNA(VLOOKUP(D827,BaseType!A:A,1,FALSE())),D827&lt;&gt;"Struct"),"N","Y")</f>
        <v>Y</v>
      </c>
      <c r="G827" s="146"/>
      <c r="H827" s="141"/>
      <c r="I827" s="141"/>
      <c r="J827" s="141"/>
      <c r="K827" s="141"/>
      <c r="L827" s="141"/>
      <c r="M827" s="141"/>
      <c r="N827" s="140"/>
      <c r="O827" s="140"/>
      <c r="P827" s="140"/>
      <c r="Q827" s="140"/>
      <c r="R827" s="140"/>
      <c r="S827" s="140"/>
      <c r="T827" s="140"/>
    </row>
    <row r="828" spans="1:20" ht="15" customHeight="1" x14ac:dyDescent="0.2">
      <c r="A828" s="143" t="s">
        <v>176</v>
      </c>
      <c r="B828" s="143" t="str">
        <f>IF(ISBLANK(A828),"",IF(AND(ISNA(VLOOKUP(A828,Interface_Platform!E:E,1,FALSE())),ISNA(VLOOKUP(A828,D:D,1,FALSE()))),"N","Y"))</f>
        <v>Y</v>
      </c>
      <c r="C828" s="75"/>
      <c r="D828" s="143" t="s">
        <v>484</v>
      </c>
      <c r="E828" s="40"/>
      <c r="F828" s="144" t="str">
        <f>IF(AND(ISNA(VLOOKUP(D828,A:A,1,FALSE())),ISNA(VLOOKUP(D828,BaseType!A:A,1,FALSE())),D828&lt;&gt;"Struct"),"N","Y")</f>
        <v>Y</v>
      </c>
      <c r="G828" s="146"/>
      <c r="H828" s="141"/>
      <c r="I828" s="141"/>
      <c r="J828" s="141"/>
      <c r="K828" s="141"/>
      <c r="L828" s="141"/>
      <c r="M828" s="141"/>
      <c r="N828" s="140"/>
      <c r="O828" s="140"/>
      <c r="P828" s="140"/>
      <c r="Q828" s="140"/>
      <c r="R828" s="140"/>
      <c r="S828" s="140"/>
      <c r="T828" s="140"/>
    </row>
    <row r="829" spans="1:20" ht="15" customHeight="1" x14ac:dyDescent="0.2">
      <c r="A829" s="141"/>
      <c r="B829" s="143" t="str">
        <f>IF(ISBLANK(A829),"",IF(AND(ISNA(VLOOKUP(A829,Interface_Platform!E:E,1,FALSE())),ISNA(VLOOKUP(A829,D:D,1,FALSE()))),"N","Y"))</f>
        <v/>
      </c>
      <c r="C829" s="143" t="s">
        <v>1612</v>
      </c>
      <c r="D829" s="143" t="s">
        <v>1608</v>
      </c>
      <c r="E829" s="142">
        <v>1</v>
      </c>
      <c r="F829" s="144" t="str">
        <f>IF(AND(ISNA(VLOOKUP(D829,A:A,1,FALSE())),ISNA(VLOOKUP(D829,BaseType!A:A,1,FALSE())),D829&lt;&gt;"Struct"),"N","Y")</f>
        <v>Y</v>
      </c>
      <c r="G829" s="146"/>
      <c r="H829" s="141"/>
      <c r="I829" s="141"/>
      <c r="J829" s="141"/>
      <c r="K829" s="141"/>
      <c r="L829" s="141"/>
      <c r="M829" s="141"/>
      <c r="N829" s="140"/>
      <c r="O829" s="140"/>
      <c r="P829" s="140"/>
      <c r="Q829" s="140"/>
      <c r="R829" s="140"/>
      <c r="S829" s="140"/>
      <c r="T829" s="140"/>
    </row>
    <row r="830" spans="1:20" ht="15" customHeight="1" x14ac:dyDescent="0.2">
      <c r="A830" s="141"/>
      <c r="B830" s="143"/>
      <c r="C830" s="180" t="s">
        <v>1613</v>
      </c>
      <c r="D830" s="180" t="s">
        <v>1389</v>
      </c>
      <c r="E830" s="188">
        <v>1</v>
      </c>
      <c r="F830" s="144" t="str">
        <f>IF(AND(ISNA(VLOOKUP(D830,A:A,1,FALSE())),ISNA(VLOOKUP(D830,BaseType!A:A,1,FALSE())),D830&lt;&gt;"Struct"),"N","Y")</f>
        <v>Y</v>
      </c>
      <c r="G830" s="146"/>
      <c r="H830" s="141"/>
      <c r="I830" s="141"/>
      <c r="J830" s="141"/>
      <c r="K830" s="141"/>
      <c r="L830" s="141"/>
      <c r="M830" s="141"/>
      <c r="N830" s="140"/>
      <c r="O830" s="140"/>
      <c r="P830" s="140"/>
      <c r="Q830" s="140"/>
      <c r="R830" s="140"/>
      <c r="S830" s="140"/>
      <c r="T830" s="140"/>
    </row>
    <row r="831" spans="1:20" ht="15" customHeight="1" x14ac:dyDescent="0.2">
      <c r="A831" s="141"/>
      <c r="B831" s="143" t="str">
        <f>IF(ISBLANK(A831),"",IF(AND(ISNA(VLOOKUP(A831,Interface_Platform!E:E,1,FALSE())),ISNA(VLOOKUP(A831,D:D,1,FALSE()))),"N","Y"))</f>
        <v/>
      </c>
      <c r="C831" s="143" t="s">
        <v>1614</v>
      </c>
      <c r="D831" s="143" t="s">
        <v>1593</v>
      </c>
      <c r="E831" s="142">
        <v>8</v>
      </c>
      <c r="F831" s="144" t="str">
        <f>IF(AND(ISNA(VLOOKUP(D831,A:A,1,FALSE())),ISNA(VLOOKUP(D831,BaseType!A:A,1,FALSE())),D831&lt;&gt;"Struct"),"N","Y")</f>
        <v>Y</v>
      </c>
      <c r="G831" s="146"/>
      <c r="H831" s="141"/>
      <c r="I831" s="141"/>
      <c r="J831" s="141"/>
      <c r="K831" s="141"/>
      <c r="L831" s="141"/>
      <c r="M831" s="141"/>
      <c r="N831" s="140"/>
      <c r="O831" s="140"/>
      <c r="P831" s="140"/>
      <c r="Q831" s="140"/>
      <c r="R831" s="140"/>
      <c r="S831" s="140"/>
      <c r="T831" s="140"/>
    </row>
    <row r="832" spans="1:20" ht="15" customHeight="1" x14ac:dyDescent="0.2">
      <c r="A832" s="143" t="s">
        <v>1615</v>
      </c>
      <c r="B832" s="143" t="str">
        <f>IF(ISBLANK(A832),"",IF(AND(ISNA(VLOOKUP(A832,Interface_Platform!E:E,1,FALSE())),ISNA(VLOOKUP(A832,D:D,1,FALSE()))),"N","Y"))</f>
        <v>Y</v>
      </c>
      <c r="C832" s="75"/>
      <c r="D832" s="143" t="s">
        <v>484</v>
      </c>
      <c r="E832" s="40"/>
      <c r="F832" s="144" t="str">
        <f>IF(AND(ISNA(VLOOKUP(D832,A:A,1,FALSE())),ISNA(VLOOKUP(D832,BaseType!A:A,1,FALSE())),D832&lt;&gt;"Struct"),"N","Y")</f>
        <v>Y</v>
      </c>
      <c r="G832" s="146"/>
      <c r="H832" s="141"/>
      <c r="I832" s="141"/>
      <c r="J832" s="141"/>
      <c r="K832" s="141"/>
      <c r="L832" s="141"/>
      <c r="M832" s="141"/>
      <c r="N832" s="140"/>
      <c r="O832" s="140"/>
      <c r="P832" s="140"/>
      <c r="Q832" s="140"/>
      <c r="R832" s="140"/>
      <c r="S832" s="140"/>
      <c r="T832" s="140"/>
    </row>
    <row r="833" spans="1:20" ht="15" customHeight="1" x14ac:dyDescent="0.2">
      <c r="A833" s="141"/>
      <c r="B833" s="143" t="str">
        <f>IF(ISBLANK(A833),"",IF(AND(ISNA(VLOOKUP(A833,Interface_Platform!E:E,1,FALSE())),ISNA(VLOOKUP(A833,D:D,1,FALSE()))),"N","Y"))</f>
        <v/>
      </c>
      <c r="C833" s="143" t="s">
        <v>1616</v>
      </c>
      <c r="D833" s="143" t="s">
        <v>193</v>
      </c>
      <c r="E833" s="142">
        <v>1</v>
      </c>
      <c r="F833" s="144" t="str">
        <f>IF(AND(ISNA(VLOOKUP(D833,A:A,1,FALSE())),ISNA(VLOOKUP(D833,BaseType!A:A,1,FALSE())),D833&lt;&gt;"Struct"),"N","Y")</f>
        <v>Y</v>
      </c>
      <c r="G833" s="146" t="s">
        <v>1206</v>
      </c>
      <c r="H833" s="141"/>
      <c r="I833" s="141"/>
      <c r="J833" s="141"/>
      <c r="K833" s="141"/>
      <c r="L833" s="141"/>
      <c r="M833" s="141"/>
      <c r="N833" s="140"/>
      <c r="O833" s="140"/>
      <c r="P833" s="140"/>
      <c r="Q833" s="140"/>
      <c r="R833" s="140"/>
      <c r="S833" s="140"/>
      <c r="T833" s="140"/>
    </row>
    <row r="834" spans="1:20" ht="15" customHeight="1" x14ac:dyDescent="0.2">
      <c r="A834" s="141"/>
      <c r="B834" s="143" t="str">
        <f>IF(ISBLANK(A834),"",IF(AND(ISNA(VLOOKUP(A834,Interface_Platform!E:E,1,FALSE())),ISNA(VLOOKUP(A834,D:D,1,FALSE()))),"N","Y"))</f>
        <v/>
      </c>
      <c r="C834" s="143" t="s">
        <v>1617</v>
      </c>
      <c r="D834" s="143" t="s">
        <v>193</v>
      </c>
      <c r="E834" s="142">
        <v>1</v>
      </c>
      <c r="F834" s="144" t="str">
        <f>IF(AND(ISNA(VLOOKUP(D834,A:A,1,FALSE())),ISNA(VLOOKUP(D834,BaseType!A:A,1,FALSE())),D834&lt;&gt;"Struct"),"N","Y")</f>
        <v>Y</v>
      </c>
      <c r="G834" s="147" t="s">
        <v>1618</v>
      </c>
      <c r="H834" s="141"/>
      <c r="I834" s="141"/>
      <c r="J834" s="141"/>
      <c r="K834" s="141"/>
      <c r="L834" s="141"/>
      <c r="M834" s="141"/>
      <c r="N834" s="140"/>
      <c r="O834" s="140"/>
      <c r="P834" s="140"/>
      <c r="Q834" s="140"/>
      <c r="R834" s="140"/>
      <c r="S834" s="140"/>
      <c r="T834" s="140"/>
    </row>
    <row r="835" spans="1:20" ht="15" customHeight="1" x14ac:dyDescent="0.2">
      <c r="A835" s="141"/>
      <c r="B835" s="143" t="str">
        <f>IF(ISBLANK(A835),"",IF(AND(ISNA(VLOOKUP(A835,Interface_Platform!E:E,1,FALSE())),ISNA(VLOOKUP(A835,D:D,1,FALSE()))),"N","Y"))</f>
        <v/>
      </c>
      <c r="C835" s="143" t="s">
        <v>1619</v>
      </c>
      <c r="D835" s="143" t="s">
        <v>193</v>
      </c>
      <c r="E835" s="142">
        <v>1</v>
      </c>
      <c r="F835" s="144" t="str">
        <f>IF(AND(ISNA(VLOOKUP(D835,A:A,1,FALSE())),ISNA(VLOOKUP(D835,BaseType!A:A,1,FALSE())),D835&lt;&gt;"Struct"),"N","Y")</f>
        <v>Y</v>
      </c>
      <c r="G835" s="147" t="s">
        <v>1618</v>
      </c>
      <c r="H835" s="141"/>
      <c r="I835" s="141"/>
      <c r="J835" s="141"/>
      <c r="K835" s="141"/>
      <c r="L835" s="141"/>
      <c r="M835" s="141"/>
      <c r="N835" s="140"/>
      <c r="O835" s="140"/>
      <c r="P835" s="140"/>
      <c r="Q835" s="140"/>
      <c r="R835" s="140"/>
      <c r="S835" s="140"/>
      <c r="T835" s="140"/>
    </row>
    <row r="836" spans="1:20" ht="15" customHeight="1" x14ac:dyDescent="0.2">
      <c r="A836" s="141"/>
      <c r="B836" s="143" t="str">
        <f>IF(ISBLANK(A836),"",IF(AND(ISNA(VLOOKUP(A836,Interface_Platform!E:E,1,FALSE())),ISNA(VLOOKUP(A836,D:D,1,FALSE()))),"N","Y"))</f>
        <v/>
      </c>
      <c r="C836" s="143" t="s">
        <v>1620</v>
      </c>
      <c r="D836" s="143" t="s">
        <v>193</v>
      </c>
      <c r="E836" s="142">
        <v>1</v>
      </c>
      <c r="F836" s="144" t="str">
        <f>IF(AND(ISNA(VLOOKUP(D836,A:A,1,FALSE())),ISNA(VLOOKUP(D836,BaseType!A:A,1,FALSE())),D836&lt;&gt;"Struct"),"N","Y")</f>
        <v>Y</v>
      </c>
      <c r="G836" s="147" t="s">
        <v>1618</v>
      </c>
      <c r="H836" s="141"/>
      <c r="I836" s="141"/>
      <c r="J836" s="141"/>
      <c r="K836" s="141"/>
      <c r="L836" s="141"/>
      <c r="M836" s="141"/>
      <c r="N836" s="140"/>
      <c r="O836" s="140"/>
      <c r="P836" s="140"/>
      <c r="Q836" s="140"/>
      <c r="R836" s="140"/>
      <c r="S836" s="140"/>
      <c r="T836" s="140"/>
    </row>
    <row r="837" spans="1:20" ht="15" customHeight="1" x14ac:dyDescent="0.2">
      <c r="A837" s="141"/>
      <c r="B837" s="143" t="str">
        <f>IF(ISBLANK(A837),"",IF(AND(ISNA(VLOOKUP(A837,Interface_Platform!E:E,1,FALSE())),ISNA(VLOOKUP(A837,D:D,1,FALSE()))),"N","Y"))</f>
        <v/>
      </c>
      <c r="C837" s="143" t="s">
        <v>1621</v>
      </c>
      <c r="D837" s="143" t="s">
        <v>193</v>
      </c>
      <c r="E837" s="142">
        <v>1</v>
      </c>
      <c r="F837" s="144" t="str">
        <f>IF(AND(ISNA(VLOOKUP(D837,A:A,1,FALSE())),ISNA(VLOOKUP(D837,BaseType!A:A,1,FALSE())),D837&lt;&gt;"Struct"),"N","Y")</f>
        <v>Y</v>
      </c>
      <c r="G837" s="147" t="s">
        <v>1622</v>
      </c>
      <c r="H837" s="141"/>
      <c r="I837" s="141"/>
      <c r="J837" s="141"/>
      <c r="K837" s="141"/>
      <c r="L837" s="141"/>
      <c r="M837" s="141"/>
      <c r="N837" s="140"/>
      <c r="O837" s="140"/>
      <c r="P837" s="140"/>
      <c r="Q837" s="140"/>
      <c r="R837" s="140"/>
      <c r="S837" s="140"/>
      <c r="T837" s="140"/>
    </row>
    <row r="838" spans="1:20" ht="15" customHeight="1" x14ac:dyDescent="0.2">
      <c r="A838" s="141"/>
      <c r="B838" s="143" t="str">
        <f>IF(ISBLANK(A838),"",IF(AND(ISNA(VLOOKUP(A838,Interface_Platform!E:E,1,FALSE())),ISNA(VLOOKUP(A838,D:D,1,FALSE()))),"N","Y"))</f>
        <v/>
      </c>
      <c r="C838" s="143" t="s">
        <v>1623</v>
      </c>
      <c r="D838" s="143" t="s">
        <v>764</v>
      </c>
      <c r="E838" s="142">
        <v>1</v>
      </c>
      <c r="F838" s="144" t="str">
        <f>IF(AND(ISNA(VLOOKUP(D838,A:A,1,FALSE())),ISNA(VLOOKUP(D838,BaseType!A:A,1,FALSE())),D838&lt;&gt;"Struct"),"N","Y")</f>
        <v>Y</v>
      </c>
      <c r="G838" s="146"/>
      <c r="H838" s="141"/>
      <c r="I838" s="141"/>
      <c r="J838" s="141"/>
      <c r="K838" s="141"/>
      <c r="L838" s="141"/>
      <c r="M838" s="141"/>
      <c r="N838" s="140"/>
      <c r="O838" s="140"/>
      <c r="P838" s="140"/>
      <c r="Q838" s="140"/>
      <c r="R838" s="140"/>
      <c r="S838" s="140"/>
      <c r="T838" s="140"/>
    </row>
    <row r="839" spans="1:20" ht="15" customHeight="1" x14ac:dyDescent="0.2">
      <c r="A839" s="141"/>
      <c r="B839" s="143" t="str">
        <f>IF(ISBLANK(A839),"",IF(AND(ISNA(VLOOKUP(A839,Interface_Platform!E:E,1,FALSE())),ISNA(VLOOKUP(A839,D:D,1,FALSE()))),"N","Y"))</f>
        <v/>
      </c>
      <c r="C839" s="143" t="s">
        <v>1624</v>
      </c>
      <c r="D839" s="143" t="s">
        <v>225</v>
      </c>
      <c r="E839" s="142">
        <v>1</v>
      </c>
      <c r="F839" s="144" t="str">
        <f>IF(AND(ISNA(VLOOKUP(D839,A:A,1,FALSE())),ISNA(VLOOKUP(D839,BaseType!A:A,1,FALSE())),D839&lt;&gt;"Struct"),"N","Y")</f>
        <v>Y</v>
      </c>
      <c r="G839" s="146"/>
      <c r="H839" s="141"/>
      <c r="I839" s="141"/>
      <c r="J839" s="141"/>
      <c r="K839" s="141"/>
      <c r="L839" s="141"/>
      <c r="M839" s="141"/>
      <c r="N839" s="140"/>
      <c r="O839" s="140"/>
      <c r="P839" s="140"/>
      <c r="Q839" s="140"/>
      <c r="R839" s="140"/>
      <c r="S839" s="140"/>
      <c r="T839" s="140"/>
    </row>
    <row r="840" spans="1:20" ht="15" customHeight="1" x14ac:dyDescent="0.2">
      <c r="A840" s="141"/>
      <c r="B840" s="143" t="str">
        <f>IF(ISBLANK(A840),"",IF(AND(ISNA(VLOOKUP(A840,Interface_Platform!E:E,1,FALSE())),ISNA(VLOOKUP(A840,D:D,1,FALSE()))),"N","Y"))</f>
        <v/>
      </c>
      <c r="C840" s="143" t="s">
        <v>1625</v>
      </c>
      <c r="D840" s="143" t="s">
        <v>225</v>
      </c>
      <c r="E840" s="142">
        <v>1</v>
      </c>
      <c r="F840" s="144" t="str">
        <f>IF(AND(ISNA(VLOOKUP(D840,A:A,1,FALSE())),ISNA(VLOOKUP(D840,BaseType!A:A,1,FALSE())),D840&lt;&gt;"Struct"),"N","Y")</f>
        <v>Y</v>
      </c>
      <c r="G840" s="146"/>
      <c r="H840" s="141"/>
      <c r="I840" s="141"/>
      <c r="J840" s="141"/>
      <c r="K840" s="141"/>
      <c r="L840" s="141"/>
      <c r="M840" s="141"/>
      <c r="N840" s="140"/>
      <c r="O840" s="140"/>
      <c r="P840" s="140"/>
      <c r="Q840" s="140"/>
      <c r="R840" s="140"/>
      <c r="S840" s="140"/>
      <c r="T840" s="140"/>
    </row>
    <row r="841" spans="1:20" ht="15" customHeight="1" x14ac:dyDescent="0.2">
      <c r="A841" s="141"/>
      <c r="B841" s="143" t="str">
        <f>IF(ISBLANK(A841),"",IF(AND(ISNA(VLOOKUP(A841,Interface_Platform!E:E,1,FALSE())),ISNA(VLOOKUP(A841,D:D,1,FALSE()))),"N","Y"))</f>
        <v/>
      </c>
      <c r="C841" s="143" t="s">
        <v>1626</v>
      </c>
      <c r="D841" s="143" t="s">
        <v>225</v>
      </c>
      <c r="E841" s="142">
        <v>1</v>
      </c>
      <c r="F841" s="144" t="str">
        <f>IF(AND(ISNA(VLOOKUP(D841,A:A,1,FALSE())),ISNA(VLOOKUP(D841,BaseType!A:A,1,FALSE())),D841&lt;&gt;"Struct"),"N","Y")</f>
        <v>Y</v>
      </c>
      <c r="G841" s="146"/>
      <c r="H841" s="141"/>
      <c r="I841" s="141"/>
      <c r="J841" s="141"/>
      <c r="K841" s="141"/>
      <c r="L841" s="141"/>
      <c r="M841" s="141"/>
      <c r="N841" s="140"/>
      <c r="O841" s="140"/>
      <c r="P841" s="140"/>
      <c r="Q841" s="140"/>
      <c r="R841" s="140"/>
      <c r="S841" s="140"/>
      <c r="T841" s="140"/>
    </row>
    <row r="842" spans="1:20" ht="15" customHeight="1" x14ac:dyDescent="0.2">
      <c r="A842" s="141"/>
      <c r="B842" s="143" t="str">
        <f>IF(ISBLANK(A842),"",IF(AND(ISNA(VLOOKUP(A842,Interface_Platform!E:E,1,FALSE())),ISNA(VLOOKUP(A842,D:D,1,FALSE()))),"N","Y"))</f>
        <v/>
      </c>
      <c r="C842" s="143" t="s">
        <v>1627</v>
      </c>
      <c r="D842" s="143" t="s">
        <v>225</v>
      </c>
      <c r="E842" s="142">
        <v>1</v>
      </c>
      <c r="F842" s="144" t="str">
        <f>IF(AND(ISNA(VLOOKUP(D842,A:A,1,FALSE())),ISNA(VLOOKUP(D842,BaseType!A:A,1,FALSE())),D842&lt;&gt;"Struct"),"N","Y")</f>
        <v>Y</v>
      </c>
      <c r="G842" s="146"/>
      <c r="H842" s="141"/>
      <c r="I842" s="141"/>
      <c r="J842" s="141"/>
      <c r="K842" s="141"/>
      <c r="L842" s="141"/>
      <c r="M842" s="141"/>
      <c r="N842" s="140"/>
      <c r="O842" s="140"/>
      <c r="P842" s="140"/>
      <c r="Q842" s="140"/>
      <c r="R842" s="140"/>
      <c r="S842" s="140"/>
      <c r="T842" s="140"/>
    </row>
    <row r="843" spans="1:20" ht="15" customHeight="1" x14ac:dyDescent="0.2">
      <c r="A843" s="141"/>
      <c r="B843" s="143" t="str">
        <f>IF(ISBLANK(A843),"",IF(AND(ISNA(VLOOKUP(A843,Interface_Platform!E:E,1,FALSE())),ISNA(VLOOKUP(A843,D:D,1,FALSE()))),"N","Y"))</f>
        <v/>
      </c>
      <c r="C843" s="143" t="s">
        <v>1628</v>
      </c>
      <c r="D843" s="143" t="s">
        <v>225</v>
      </c>
      <c r="E843" s="142">
        <v>1</v>
      </c>
      <c r="F843" s="144" t="str">
        <f>IF(AND(ISNA(VLOOKUP(D843,A:A,1,FALSE())),ISNA(VLOOKUP(D843,BaseType!A:A,1,FALSE())),D843&lt;&gt;"Struct"),"N","Y")</f>
        <v>Y</v>
      </c>
      <c r="G843" s="146"/>
      <c r="H843" s="141"/>
      <c r="I843" s="141"/>
      <c r="J843" s="141"/>
      <c r="K843" s="141"/>
      <c r="L843" s="141"/>
      <c r="M843" s="141"/>
      <c r="N843" s="140"/>
      <c r="O843" s="140"/>
      <c r="P843" s="140"/>
      <c r="Q843" s="140"/>
      <c r="R843" s="140"/>
      <c r="S843" s="140"/>
      <c r="T843" s="140"/>
    </row>
    <row r="844" spans="1:20" ht="15" customHeight="1" x14ac:dyDescent="0.2">
      <c r="A844" s="141"/>
      <c r="B844" s="143" t="str">
        <f>IF(ISBLANK(A844),"",IF(AND(ISNA(VLOOKUP(A844,Interface_Platform!E:E,1,FALSE())),ISNA(VLOOKUP(A844,D:D,1,FALSE()))),"N","Y"))</f>
        <v/>
      </c>
      <c r="C844" s="143" t="s">
        <v>1629</v>
      </c>
      <c r="D844" s="143" t="s">
        <v>225</v>
      </c>
      <c r="E844" s="142">
        <v>1</v>
      </c>
      <c r="F844" s="144" t="str">
        <f>IF(AND(ISNA(VLOOKUP(D844,A:A,1,FALSE())),ISNA(VLOOKUP(D844,BaseType!A:A,1,FALSE())),D844&lt;&gt;"Struct"),"N","Y")</f>
        <v>Y</v>
      </c>
      <c r="G844" s="146"/>
      <c r="H844" s="141"/>
      <c r="I844" s="141"/>
      <c r="J844" s="141"/>
      <c r="K844" s="141"/>
      <c r="L844" s="141"/>
      <c r="M844" s="141"/>
      <c r="N844" s="140"/>
      <c r="O844" s="140"/>
      <c r="P844" s="140"/>
      <c r="Q844" s="140"/>
      <c r="R844" s="140"/>
      <c r="S844" s="140"/>
      <c r="T844" s="140"/>
    </row>
    <row r="845" spans="1:20" ht="15" customHeight="1" x14ac:dyDescent="0.2">
      <c r="A845" s="141"/>
      <c r="B845" s="143" t="str">
        <f>IF(ISBLANK(A845),"",IF(AND(ISNA(VLOOKUP(A845,Interface_Platform!E:E,1,FALSE())),ISNA(VLOOKUP(A845,D:D,1,FALSE()))),"N","Y"))</f>
        <v/>
      </c>
      <c r="C845" s="143" t="s">
        <v>1630</v>
      </c>
      <c r="D845" s="143" t="s">
        <v>225</v>
      </c>
      <c r="E845" s="142">
        <v>1</v>
      </c>
      <c r="F845" s="144" t="str">
        <f>IF(AND(ISNA(VLOOKUP(D845,A:A,1,FALSE())),ISNA(VLOOKUP(D845,BaseType!A:A,1,FALSE())),D845&lt;&gt;"Struct"),"N","Y")</f>
        <v>Y</v>
      </c>
      <c r="G845" s="146"/>
      <c r="H845" s="141"/>
      <c r="I845" s="141"/>
      <c r="J845" s="141"/>
      <c r="K845" s="141"/>
      <c r="L845" s="141"/>
      <c r="M845" s="141"/>
      <c r="N845" s="140"/>
      <c r="O845" s="140"/>
      <c r="P845" s="140"/>
      <c r="Q845" s="140"/>
      <c r="R845" s="140"/>
      <c r="S845" s="140"/>
      <c r="T845" s="140"/>
    </row>
    <row r="846" spans="1:20" ht="15" customHeight="1" x14ac:dyDescent="0.2">
      <c r="A846" s="141"/>
      <c r="B846" s="143" t="str">
        <f>IF(ISBLANK(A846),"",IF(AND(ISNA(VLOOKUP(A846,Interface_Platform!E:E,1,FALSE())),ISNA(VLOOKUP(A846,D:D,1,FALSE()))),"N","Y"))</f>
        <v/>
      </c>
      <c r="C846" s="143" t="s">
        <v>1631</v>
      </c>
      <c r="D846" s="143" t="s">
        <v>225</v>
      </c>
      <c r="E846" s="142">
        <v>1</v>
      </c>
      <c r="F846" s="144" t="str">
        <f>IF(AND(ISNA(VLOOKUP(D846,A:A,1,FALSE())),ISNA(VLOOKUP(D846,BaseType!A:A,1,FALSE())),D846&lt;&gt;"Struct"),"N","Y")</f>
        <v>Y</v>
      </c>
      <c r="G846" s="146"/>
      <c r="H846" s="141"/>
      <c r="I846" s="141"/>
      <c r="J846" s="141"/>
      <c r="K846" s="141"/>
      <c r="L846" s="141"/>
      <c r="M846" s="141"/>
      <c r="N846" s="140"/>
      <c r="O846" s="140"/>
      <c r="P846" s="140"/>
      <c r="Q846" s="140"/>
      <c r="R846" s="140"/>
      <c r="S846" s="140"/>
      <c r="T846" s="140"/>
    </row>
    <row r="847" spans="1:20" ht="15" customHeight="1" x14ac:dyDescent="0.2">
      <c r="A847" s="141"/>
      <c r="B847" s="143" t="str">
        <f>IF(ISBLANK(A847),"",IF(AND(ISNA(VLOOKUP(A847,Interface_Platform!E:E,1,FALSE())),ISNA(VLOOKUP(A847,D:D,1,FALSE()))),"N","Y"))</f>
        <v/>
      </c>
      <c r="C847" s="143" t="s">
        <v>1632</v>
      </c>
      <c r="D847" s="143" t="s">
        <v>225</v>
      </c>
      <c r="E847" s="142">
        <v>1</v>
      </c>
      <c r="F847" s="144" t="str">
        <f>IF(AND(ISNA(VLOOKUP(D847,A:A,1,FALSE())),ISNA(VLOOKUP(D847,BaseType!A:A,1,FALSE())),D847&lt;&gt;"Struct"),"N","Y")</f>
        <v>Y</v>
      </c>
      <c r="G847" s="146"/>
      <c r="H847" s="141"/>
      <c r="I847" s="141"/>
      <c r="J847" s="141"/>
      <c r="K847" s="141"/>
      <c r="L847" s="141"/>
      <c r="M847" s="141"/>
      <c r="N847" s="140"/>
      <c r="O847" s="140"/>
      <c r="P847" s="140"/>
      <c r="Q847" s="140"/>
      <c r="R847" s="140"/>
      <c r="S847" s="140"/>
      <c r="T847" s="140"/>
    </row>
    <row r="848" spans="1:20" ht="15" customHeight="1" x14ac:dyDescent="0.2">
      <c r="A848" s="141"/>
      <c r="B848" s="143" t="str">
        <f>IF(ISBLANK(A848),"",IF(AND(ISNA(VLOOKUP(A848,Interface_Platform!E:E,1,FALSE())),ISNA(VLOOKUP(A848,D:D,1,FALSE()))),"N","Y"))</f>
        <v/>
      </c>
      <c r="C848" s="143" t="s">
        <v>1633</v>
      </c>
      <c r="D848" s="143" t="s">
        <v>225</v>
      </c>
      <c r="E848" s="142">
        <v>1</v>
      </c>
      <c r="F848" s="144" t="str">
        <f>IF(AND(ISNA(VLOOKUP(D848,A:A,1,FALSE())),ISNA(VLOOKUP(D848,BaseType!A:A,1,FALSE())),D848&lt;&gt;"Struct"),"N","Y")</f>
        <v>Y</v>
      </c>
      <c r="G848" s="146"/>
      <c r="H848" s="141"/>
      <c r="I848" s="141"/>
      <c r="J848" s="141"/>
      <c r="K848" s="141"/>
      <c r="L848" s="141"/>
      <c r="M848" s="141"/>
      <c r="N848" s="140"/>
      <c r="O848" s="140"/>
      <c r="P848" s="140"/>
      <c r="Q848" s="140"/>
      <c r="R848" s="140"/>
      <c r="S848" s="140"/>
      <c r="T848" s="140"/>
    </row>
    <row r="849" spans="1:20" ht="15" customHeight="1" x14ac:dyDescent="0.2">
      <c r="A849" s="141"/>
      <c r="B849" s="143" t="str">
        <f>IF(ISBLANK(A849),"",IF(AND(ISNA(VLOOKUP(A849,Interface_Platform!E:E,1,FALSE())),ISNA(VLOOKUP(A849,D:D,1,FALSE()))),"N","Y"))</f>
        <v/>
      </c>
      <c r="C849" s="143" t="s">
        <v>1634</v>
      </c>
      <c r="D849" s="143" t="s">
        <v>225</v>
      </c>
      <c r="E849" s="142">
        <v>1</v>
      </c>
      <c r="F849" s="144" t="str">
        <f>IF(AND(ISNA(VLOOKUP(D849,A:A,1,FALSE())),ISNA(VLOOKUP(D849,BaseType!A:A,1,FALSE())),D849&lt;&gt;"Struct"),"N","Y")</f>
        <v>Y</v>
      </c>
      <c r="G849" s="146"/>
      <c r="H849" s="141"/>
      <c r="I849" s="141"/>
      <c r="J849" s="141"/>
      <c r="K849" s="141"/>
      <c r="L849" s="141"/>
      <c r="M849" s="141"/>
      <c r="N849" s="140"/>
      <c r="O849" s="140"/>
      <c r="P849" s="140"/>
      <c r="Q849" s="140"/>
      <c r="R849" s="140"/>
      <c r="S849" s="140"/>
      <c r="T849" s="140"/>
    </row>
    <row r="850" spans="1:20" ht="15" customHeight="1" x14ac:dyDescent="0.2">
      <c r="A850" s="141"/>
      <c r="B850" s="143" t="str">
        <f>IF(ISBLANK(A850),"",IF(AND(ISNA(VLOOKUP(A850,Interface_Platform!E:E,1,FALSE())),ISNA(VLOOKUP(A850,D:D,1,FALSE()))),"N","Y"))</f>
        <v/>
      </c>
      <c r="C850" s="143" t="s">
        <v>1635</v>
      </c>
      <c r="D850" s="143" t="s">
        <v>225</v>
      </c>
      <c r="E850" s="142">
        <v>1</v>
      </c>
      <c r="F850" s="144" t="str">
        <f>IF(AND(ISNA(VLOOKUP(D850,A:A,1,FALSE())),ISNA(VLOOKUP(D850,BaseType!A:A,1,FALSE())),D850&lt;&gt;"Struct"),"N","Y")</f>
        <v>Y</v>
      </c>
      <c r="G850" s="146"/>
      <c r="H850" s="141"/>
      <c r="I850" s="141"/>
      <c r="J850" s="141"/>
      <c r="K850" s="141"/>
      <c r="L850" s="141"/>
      <c r="M850" s="141"/>
      <c r="N850" s="140"/>
      <c r="O850" s="140"/>
      <c r="P850" s="140"/>
      <c r="Q850" s="140"/>
      <c r="R850" s="140"/>
      <c r="S850" s="140"/>
      <c r="T850" s="140"/>
    </row>
    <row r="851" spans="1:20" ht="15" customHeight="1" x14ac:dyDescent="0.2">
      <c r="A851" s="141"/>
      <c r="B851" s="143" t="str">
        <f>IF(ISBLANK(A851),"",IF(AND(ISNA(VLOOKUP(A851,Interface_Platform!E:E,1,FALSE())),ISNA(VLOOKUP(A851,D:D,1,FALSE()))),"N","Y"))</f>
        <v/>
      </c>
      <c r="C851" s="143" t="s">
        <v>1636</v>
      </c>
      <c r="D851" s="143" t="s">
        <v>225</v>
      </c>
      <c r="E851" s="142">
        <v>1</v>
      </c>
      <c r="F851" s="144" t="str">
        <f>IF(AND(ISNA(VLOOKUP(D851,A:A,1,FALSE())),ISNA(VLOOKUP(D851,BaseType!A:A,1,FALSE())),D851&lt;&gt;"Struct"),"N","Y")</f>
        <v>Y</v>
      </c>
      <c r="G851" s="146"/>
      <c r="H851" s="141"/>
      <c r="I851" s="141"/>
      <c r="J851" s="141"/>
      <c r="K851" s="141"/>
      <c r="L851" s="141"/>
      <c r="M851" s="141"/>
      <c r="N851" s="140"/>
      <c r="O851" s="140"/>
      <c r="P851" s="140"/>
      <c r="Q851" s="140"/>
      <c r="R851" s="140"/>
      <c r="S851" s="140"/>
      <c r="T851" s="140"/>
    </row>
    <row r="852" spans="1:20" ht="15" customHeight="1" x14ac:dyDescent="0.2">
      <c r="A852" s="141"/>
      <c r="B852" s="143" t="str">
        <f>IF(ISBLANK(A852),"",IF(AND(ISNA(VLOOKUP(A852,Interface_Platform!E:E,1,FALSE())),ISNA(VLOOKUP(A852,D:D,1,FALSE()))),"N","Y"))</f>
        <v/>
      </c>
      <c r="C852" s="143" t="s">
        <v>1637</v>
      </c>
      <c r="D852" s="143" t="s">
        <v>225</v>
      </c>
      <c r="E852" s="142">
        <v>1</v>
      </c>
      <c r="F852" s="144" t="str">
        <f>IF(AND(ISNA(VLOOKUP(D852,A:A,1,FALSE())),ISNA(VLOOKUP(D852,BaseType!A:A,1,FALSE())),D852&lt;&gt;"Struct"),"N","Y")</f>
        <v>Y</v>
      </c>
      <c r="G852" s="146"/>
      <c r="H852" s="141"/>
      <c r="I852" s="141"/>
      <c r="J852" s="141"/>
      <c r="K852" s="141"/>
      <c r="L852" s="141"/>
      <c r="M852" s="141"/>
      <c r="N852" s="140"/>
      <c r="O852" s="140"/>
      <c r="P852" s="140"/>
      <c r="Q852" s="140"/>
      <c r="R852" s="140"/>
      <c r="S852" s="140"/>
      <c r="T852" s="140"/>
    </row>
    <row r="853" spans="1:20" ht="15" customHeight="1" x14ac:dyDescent="0.2">
      <c r="A853" s="141"/>
      <c r="B853" s="143" t="str">
        <f>IF(ISBLANK(A853),"",IF(AND(ISNA(VLOOKUP(A853,Interface_Platform!E:E,1,FALSE())),ISNA(VLOOKUP(A853,D:D,1,FALSE()))),"N","Y"))</f>
        <v/>
      </c>
      <c r="C853" s="143" t="s">
        <v>1638</v>
      </c>
      <c r="D853" s="143" t="s">
        <v>225</v>
      </c>
      <c r="E853" s="142">
        <v>1</v>
      </c>
      <c r="F853" s="144" t="str">
        <f>IF(AND(ISNA(VLOOKUP(D853,A:A,1,FALSE())),ISNA(VLOOKUP(D853,BaseType!A:A,1,FALSE())),D853&lt;&gt;"Struct"),"N","Y")</f>
        <v>Y</v>
      </c>
      <c r="G853" s="146"/>
      <c r="H853" s="141"/>
      <c r="I853" s="141"/>
      <c r="J853" s="141"/>
      <c r="K853" s="141"/>
      <c r="L853" s="141"/>
      <c r="M853" s="141"/>
      <c r="N853" s="140"/>
      <c r="O853" s="140"/>
      <c r="P853" s="140"/>
      <c r="Q853" s="140"/>
      <c r="R853" s="140"/>
      <c r="S853" s="140"/>
      <c r="T853" s="140"/>
    </row>
    <row r="854" spans="1:20" ht="15" customHeight="1" x14ac:dyDescent="0.2">
      <c r="A854" s="141"/>
      <c r="B854" s="143" t="str">
        <f>IF(ISBLANK(A854),"",IF(AND(ISNA(VLOOKUP(A854,Interface_Platform!E:E,1,FALSE())),ISNA(VLOOKUP(A854,D:D,1,FALSE()))),"N","Y"))</f>
        <v/>
      </c>
      <c r="C854" s="143" t="s">
        <v>1639</v>
      </c>
      <c r="D854" s="143" t="s">
        <v>225</v>
      </c>
      <c r="E854" s="142">
        <v>1</v>
      </c>
      <c r="F854" s="144" t="str">
        <f>IF(AND(ISNA(VLOOKUP(D854,A:A,1,FALSE())),ISNA(VLOOKUP(D854,BaseType!A:A,1,FALSE())),D854&lt;&gt;"Struct"),"N","Y")</f>
        <v>Y</v>
      </c>
      <c r="G854" s="146"/>
      <c r="H854" s="141"/>
      <c r="I854" s="141"/>
      <c r="J854" s="141"/>
      <c r="K854" s="141"/>
      <c r="L854" s="141"/>
      <c r="M854" s="141"/>
      <c r="N854" s="140"/>
      <c r="O854" s="140"/>
      <c r="P854" s="140"/>
      <c r="Q854" s="140"/>
      <c r="R854" s="140"/>
      <c r="S854" s="140"/>
      <c r="T854" s="140"/>
    </row>
    <row r="855" spans="1:20" ht="15" customHeight="1" x14ac:dyDescent="0.2">
      <c r="A855" s="143" t="s">
        <v>1640</v>
      </c>
      <c r="B855" s="143" t="str">
        <f>IF(ISBLANK(A855),"",IF(AND(ISNA(VLOOKUP(A855,Interface_Platform!E:E,1,FALSE())),ISNA(VLOOKUP(A855,D:D,1,FALSE()))),"N","Y"))</f>
        <v>Y</v>
      </c>
      <c r="C855" s="75"/>
      <c r="D855" s="143" t="s">
        <v>484</v>
      </c>
      <c r="E855" s="40"/>
      <c r="F855" s="144" t="str">
        <f>IF(AND(ISNA(VLOOKUP(D855,A:A,1,FALSE())),ISNA(VLOOKUP(D855,BaseType!A:A,1,FALSE())),D855&lt;&gt;"Struct"),"N","Y")</f>
        <v>Y</v>
      </c>
      <c r="G855" s="146"/>
      <c r="H855" s="141"/>
      <c r="I855" s="141"/>
      <c r="J855" s="141"/>
      <c r="K855" s="141"/>
      <c r="L855" s="141"/>
      <c r="M855" s="141"/>
      <c r="N855" s="140"/>
      <c r="O855" s="140"/>
      <c r="P855" s="140"/>
      <c r="Q855" s="140"/>
      <c r="R855" s="140"/>
      <c r="S855" s="140"/>
      <c r="T855" s="140"/>
    </row>
    <row r="856" spans="1:20" ht="15" customHeight="1" x14ac:dyDescent="0.2">
      <c r="A856" s="141"/>
      <c r="B856" s="143" t="str">
        <f>IF(ISBLANK(A856),"",IF(AND(ISNA(VLOOKUP(A856,Interface_Platform!E:E,1,FALSE())),ISNA(VLOOKUP(A856,D:D,1,FALSE()))),"N","Y"))</f>
        <v/>
      </c>
      <c r="C856" s="143" t="s">
        <v>1641</v>
      </c>
      <c r="D856" s="143" t="s">
        <v>193</v>
      </c>
      <c r="E856" s="142">
        <v>1</v>
      </c>
      <c r="F856" s="144" t="str">
        <f>IF(AND(ISNA(VLOOKUP(D856,A:A,1,FALSE())),ISNA(VLOOKUP(D856,BaseType!A:A,1,FALSE())),D856&lt;&gt;"Struct"),"N","Y")</f>
        <v>Y</v>
      </c>
      <c r="G856" s="146" t="s">
        <v>1206</v>
      </c>
      <c r="H856" s="141"/>
      <c r="I856" s="141"/>
      <c r="J856" s="141"/>
      <c r="K856" s="141"/>
      <c r="L856" s="141"/>
      <c r="M856" s="141"/>
      <c r="N856" s="140"/>
      <c r="O856" s="140"/>
      <c r="P856" s="140"/>
      <c r="Q856" s="140"/>
      <c r="R856" s="140"/>
      <c r="S856" s="140"/>
      <c r="T856" s="140"/>
    </row>
    <row r="857" spans="1:20" ht="15" customHeight="1" x14ac:dyDescent="0.2">
      <c r="A857" s="141"/>
      <c r="B857" s="143" t="str">
        <f>IF(ISBLANK(A857),"",IF(AND(ISNA(VLOOKUP(A857,Interface_Platform!E:E,1,FALSE())),ISNA(VLOOKUP(A857,D:D,1,FALSE()))),"N","Y"))</f>
        <v/>
      </c>
      <c r="C857" s="143" t="s">
        <v>1642</v>
      </c>
      <c r="D857" s="143" t="s">
        <v>193</v>
      </c>
      <c r="E857" s="142">
        <v>1</v>
      </c>
      <c r="F857" s="144" t="str">
        <f>IF(AND(ISNA(VLOOKUP(D857,A:A,1,FALSE())),ISNA(VLOOKUP(D857,BaseType!A:A,1,FALSE())),D857&lt;&gt;"Struct"),"N","Y")</f>
        <v>Y</v>
      </c>
      <c r="G857" s="147" t="s">
        <v>1643</v>
      </c>
      <c r="H857" s="141"/>
      <c r="I857" s="141"/>
      <c r="J857" s="141"/>
      <c r="K857" s="141"/>
      <c r="L857" s="141"/>
      <c r="M857" s="141"/>
      <c r="N857" s="140"/>
      <c r="O857" s="140"/>
      <c r="P857" s="140"/>
      <c r="Q857" s="140"/>
      <c r="R857" s="140"/>
      <c r="S857" s="140"/>
      <c r="T857" s="140"/>
    </row>
    <row r="858" spans="1:20" ht="15" customHeight="1" x14ac:dyDescent="0.2">
      <c r="A858" s="141"/>
      <c r="B858" s="143" t="str">
        <f>IF(ISBLANK(A858),"",IF(AND(ISNA(VLOOKUP(A858,Interface_Platform!E:E,1,FALSE())),ISNA(VLOOKUP(A858,D:D,1,FALSE()))),"N","Y"))</f>
        <v/>
      </c>
      <c r="C858" s="143" t="s">
        <v>1644</v>
      </c>
      <c r="D858" s="143" t="s">
        <v>193</v>
      </c>
      <c r="E858" s="142">
        <v>1</v>
      </c>
      <c r="F858" s="144" t="str">
        <f>IF(AND(ISNA(VLOOKUP(D858,A:A,1,FALSE())),ISNA(VLOOKUP(D858,BaseType!A:A,1,FALSE())),D858&lt;&gt;"Struct"),"N","Y")</f>
        <v>Y</v>
      </c>
      <c r="G858" s="147" t="s">
        <v>1645</v>
      </c>
      <c r="H858" s="141"/>
      <c r="I858" s="141"/>
      <c r="J858" s="141"/>
      <c r="K858" s="141"/>
      <c r="L858" s="141"/>
      <c r="M858" s="141"/>
      <c r="N858" s="140"/>
      <c r="O858" s="140"/>
      <c r="P858" s="140"/>
      <c r="Q858" s="140"/>
      <c r="R858" s="140"/>
      <c r="S858" s="140"/>
      <c r="T858" s="140"/>
    </row>
    <row r="859" spans="1:20" ht="15" customHeight="1" x14ac:dyDescent="0.2">
      <c r="A859" s="141"/>
      <c r="B859" s="143" t="str">
        <f>IF(ISBLANK(A859),"",IF(AND(ISNA(VLOOKUP(A859,Interface_Platform!E:E,1,FALSE())),ISNA(VLOOKUP(A859,D:D,1,FALSE()))),"N","Y"))</f>
        <v/>
      </c>
      <c r="C859" s="143" t="s">
        <v>1646</v>
      </c>
      <c r="D859" s="143" t="s">
        <v>193</v>
      </c>
      <c r="E859" s="142">
        <v>1</v>
      </c>
      <c r="F859" s="144" t="str">
        <f>IF(AND(ISNA(VLOOKUP(D859,A:A,1,FALSE())),ISNA(VLOOKUP(D859,BaseType!A:A,1,FALSE())),D859&lt;&gt;"Struct"),"N","Y")</f>
        <v>Y</v>
      </c>
      <c r="G859" s="147" t="s">
        <v>1647</v>
      </c>
      <c r="H859" s="141"/>
      <c r="I859" s="141"/>
      <c r="J859" s="141"/>
      <c r="K859" s="141"/>
      <c r="L859" s="141"/>
      <c r="M859" s="141"/>
      <c r="N859" s="140"/>
      <c r="O859" s="140"/>
      <c r="P859" s="140"/>
      <c r="Q859" s="140"/>
      <c r="R859" s="140"/>
      <c r="S859" s="140"/>
      <c r="T859" s="140"/>
    </row>
    <row r="860" spans="1:20" ht="15" customHeight="1" x14ac:dyDescent="0.2">
      <c r="A860" s="141"/>
      <c r="B860" s="143" t="str">
        <f>IF(ISBLANK(A860),"",IF(AND(ISNA(VLOOKUP(A860,Interface_Platform!E:E,1,FALSE())),ISNA(VLOOKUP(A860,D:D,1,FALSE()))),"N","Y"))</f>
        <v/>
      </c>
      <c r="C860" s="143" t="s">
        <v>1648</v>
      </c>
      <c r="D860" s="143" t="s">
        <v>193</v>
      </c>
      <c r="E860" s="142">
        <v>1</v>
      </c>
      <c r="F860" s="144" t="str">
        <f>IF(AND(ISNA(VLOOKUP(D860,A:A,1,FALSE())),ISNA(VLOOKUP(D860,BaseType!A:A,1,FALSE())),D860&lt;&gt;"Struct"),"N","Y")</f>
        <v>Y</v>
      </c>
      <c r="G860" s="146" t="s">
        <v>1206</v>
      </c>
      <c r="H860" s="141"/>
      <c r="I860" s="141"/>
      <c r="J860" s="141"/>
      <c r="K860" s="141"/>
      <c r="L860" s="141"/>
      <c r="M860" s="141"/>
      <c r="N860" s="140"/>
      <c r="O860" s="140"/>
      <c r="P860" s="140"/>
      <c r="Q860" s="140"/>
      <c r="R860" s="140"/>
      <c r="S860" s="140"/>
      <c r="T860" s="140"/>
    </row>
    <row r="861" spans="1:20" ht="15" customHeight="1" x14ac:dyDescent="0.2">
      <c r="A861" s="141"/>
      <c r="B861" s="143" t="str">
        <f>IF(ISBLANK(A861),"",IF(AND(ISNA(VLOOKUP(A861,Interface_Platform!E:E,1,FALSE())),ISNA(VLOOKUP(A861,D:D,1,FALSE()))),"N","Y"))</f>
        <v/>
      </c>
      <c r="C861" s="143" t="s">
        <v>1649</v>
      </c>
      <c r="D861" s="143" t="s">
        <v>764</v>
      </c>
      <c r="E861" s="142">
        <v>1</v>
      </c>
      <c r="F861" s="144" t="str">
        <f>IF(AND(ISNA(VLOOKUP(D861,A:A,1,FALSE())),ISNA(VLOOKUP(D861,BaseType!A:A,1,FALSE())),D861&lt;&gt;"Struct"),"N","Y")</f>
        <v>Y</v>
      </c>
      <c r="G861" s="146"/>
      <c r="H861" s="141"/>
      <c r="I861" s="141"/>
      <c r="J861" s="141"/>
      <c r="K861" s="141"/>
      <c r="L861" s="141"/>
      <c r="M861" s="141"/>
      <c r="N861" s="140"/>
      <c r="O861" s="140"/>
      <c r="P861" s="140"/>
      <c r="Q861" s="140"/>
      <c r="R861" s="140"/>
      <c r="S861" s="140"/>
      <c r="T861" s="140"/>
    </row>
    <row r="862" spans="1:20" ht="15" customHeight="1" x14ac:dyDescent="0.2">
      <c r="A862" s="141"/>
      <c r="B862" s="143" t="str">
        <f>IF(ISBLANK(A862),"",IF(AND(ISNA(VLOOKUP(A862,Interface_Platform!E:E,1,FALSE())),ISNA(VLOOKUP(A862,D:D,1,FALSE()))),"N","Y"))</f>
        <v/>
      </c>
      <c r="C862" s="143" t="s">
        <v>1650</v>
      </c>
      <c r="D862" s="143" t="s">
        <v>225</v>
      </c>
      <c r="E862" s="142">
        <v>1</v>
      </c>
      <c r="F862" s="144" t="str">
        <f>IF(AND(ISNA(VLOOKUP(D862,A:A,1,FALSE())),ISNA(VLOOKUP(D862,BaseType!A:A,1,FALSE())),D862&lt;&gt;"Struct"),"N","Y")</f>
        <v>Y</v>
      </c>
      <c r="G862" s="146"/>
      <c r="H862" s="141"/>
      <c r="I862" s="141"/>
      <c r="J862" s="141"/>
      <c r="K862" s="141"/>
      <c r="L862" s="141"/>
      <c r="M862" s="141"/>
      <c r="N862" s="140"/>
      <c r="O862" s="140"/>
      <c r="P862" s="140"/>
      <c r="Q862" s="140"/>
      <c r="R862" s="140"/>
      <c r="S862" s="140"/>
      <c r="T862" s="140"/>
    </row>
    <row r="863" spans="1:20" ht="15" customHeight="1" x14ac:dyDescent="0.2">
      <c r="A863" s="141"/>
      <c r="B863" s="143" t="str">
        <f>IF(ISBLANK(A863),"",IF(AND(ISNA(VLOOKUP(A863,Interface_Platform!E:E,1,FALSE())),ISNA(VLOOKUP(A863,D:D,1,FALSE()))),"N","Y"))</f>
        <v/>
      </c>
      <c r="C863" s="143" t="s">
        <v>1651</v>
      </c>
      <c r="D863" s="143" t="s">
        <v>225</v>
      </c>
      <c r="E863" s="142">
        <v>1</v>
      </c>
      <c r="F863" s="144" t="str">
        <f>IF(AND(ISNA(VLOOKUP(D863,A:A,1,FALSE())),ISNA(VLOOKUP(D863,BaseType!A:A,1,FALSE())),D863&lt;&gt;"Struct"),"N","Y")</f>
        <v>Y</v>
      </c>
      <c r="G863" s="146"/>
      <c r="H863" s="141"/>
      <c r="I863" s="141"/>
      <c r="J863" s="141"/>
      <c r="K863" s="141"/>
      <c r="L863" s="141"/>
      <c r="M863" s="141"/>
      <c r="N863" s="140"/>
      <c r="O863" s="140"/>
      <c r="P863" s="140"/>
      <c r="Q863" s="140"/>
      <c r="R863" s="140"/>
      <c r="S863" s="140"/>
      <c r="T863" s="140"/>
    </row>
    <row r="864" spans="1:20" ht="15" customHeight="1" x14ac:dyDescent="0.2">
      <c r="A864" s="141"/>
      <c r="B864" s="143" t="str">
        <f>IF(ISBLANK(A864),"",IF(AND(ISNA(VLOOKUP(A864,Interface_Platform!E:E,1,FALSE())),ISNA(VLOOKUP(A864,D:D,1,FALSE()))),"N","Y"))</f>
        <v/>
      </c>
      <c r="C864" s="143" t="s">
        <v>1652</v>
      </c>
      <c r="D864" s="143" t="s">
        <v>225</v>
      </c>
      <c r="E864" s="142">
        <v>1</v>
      </c>
      <c r="F864" s="144" t="str">
        <f>IF(AND(ISNA(VLOOKUP(D864,A:A,1,FALSE())),ISNA(VLOOKUP(D864,BaseType!A:A,1,FALSE())),D864&lt;&gt;"Struct"),"N","Y")</f>
        <v>Y</v>
      </c>
      <c r="G864" s="146"/>
      <c r="H864" s="141"/>
      <c r="I864" s="141"/>
      <c r="J864" s="141"/>
      <c r="K864" s="141"/>
      <c r="L864" s="141"/>
      <c r="M864" s="141"/>
      <c r="N864" s="140"/>
      <c r="O864" s="140"/>
      <c r="P864" s="140"/>
      <c r="Q864" s="140"/>
      <c r="R864" s="140"/>
      <c r="S864" s="140"/>
      <c r="T864" s="140"/>
    </row>
    <row r="865" spans="1:20" ht="15" customHeight="1" x14ac:dyDescent="0.2">
      <c r="A865" s="141"/>
      <c r="B865" s="143" t="str">
        <f>IF(ISBLANK(A865),"",IF(AND(ISNA(VLOOKUP(A865,Interface_Platform!E:E,1,FALSE())),ISNA(VLOOKUP(A865,D:D,1,FALSE()))),"N","Y"))</f>
        <v/>
      </c>
      <c r="C865" s="143" t="s">
        <v>1653</v>
      </c>
      <c r="D865" s="143" t="s">
        <v>225</v>
      </c>
      <c r="E865" s="142">
        <v>1</v>
      </c>
      <c r="F865" s="144" t="str">
        <f>IF(AND(ISNA(VLOOKUP(D865,A:A,1,FALSE())),ISNA(VLOOKUP(D865,BaseType!A:A,1,FALSE())),D865&lt;&gt;"Struct"),"N","Y")</f>
        <v>Y</v>
      </c>
      <c r="G865" s="146"/>
      <c r="H865" s="141"/>
      <c r="I865" s="141"/>
      <c r="J865" s="141"/>
      <c r="K865" s="141"/>
      <c r="L865" s="141"/>
      <c r="M865" s="141"/>
      <c r="N865" s="140"/>
      <c r="O865" s="140"/>
      <c r="P865" s="140"/>
      <c r="Q865" s="140"/>
      <c r="R865" s="140"/>
      <c r="S865" s="140"/>
      <c r="T865" s="140"/>
    </row>
    <row r="866" spans="1:20" ht="15" customHeight="1" x14ac:dyDescent="0.2">
      <c r="A866" s="141"/>
      <c r="B866" s="143" t="str">
        <f>IF(ISBLANK(A866),"",IF(AND(ISNA(VLOOKUP(A866,Interface_Platform!E:E,1,FALSE())),ISNA(VLOOKUP(A866,D:D,1,FALSE()))),"N","Y"))</f>
        <v/>
      </c>
      <c r="C866" s="143" t="s">
        <v>1654</v>
      </c>
      <c r="D866" s="143" t="s">
        <v>225</v>
      </c>
      <c r="E866" s="142">
        <v>1</v>
      </c>
      <c r="F866" s="144" t="str">
        <f>IF(AND(ISNA(VLOOKUP(D866,A:A,1,FALSE())),ISNA(VLOOKUP(D866,BaseType!A:A,1,FALSE())),D866&lt;&gt;"Struct"),"N","Y")</f>
        <v>Y</v>
      </c>
      <c r="G866" s="146"/>
      <c r="H866" s="141"/>
      <c r="I866" s="141"/>
      <c r="J866" s="141"/>
      <c r="K866" s="141"/>
      <c r="L866" s="141"/>
      <c r="M866" s="141"/>
      <c r="N866" s="140"/>
      <c r="O866" s="140"/>
      <c r="P866" s="140"/>
      <c r="Q866" s="140"/>
      <c r="R866" s="140"/>
      <c r="S866" s="140"/>
      <c r="T866" s="140"/>
    </row>
    <row r="867" spans="1:20" ht="15" customHeight="1" x14ac:dyDescent="0.2">
      <c r="A867" s="141"/>
      <c r="B867" s="143" t="str">
        <f>IF(ISBLANK(A867),"",IF(AND(ISNA(VLOOKUP(A867,Interface_Platform!E:E,1,FALSE())),ISNA(VLOOKUP(A867,D:D,1,FALSE()))),"N","Y"))</f>
        <v/>
      </c>
      <c r="C867" s="143" t="s">
        <v>1655</v>
      </c>
      <c r="D867" s="143" t="s">
        <v>225</v>
      </c>
      <c r="E867" s="142">
        <v>1</v>
      </c>
      <c r="F867" s="144" t="str">
        <f>IF(AND(ISNA(VLOOKUP(D867,A:A,1,FALSE())),ISNA(VLOOKUP(D867,BaseType!A:A,1,FALSE())),D867&lt;&gt;"Struct"),"N","Y")</f>
        <v>Y</v>
      </c>
      <c r="G867" s="146"/>
      <c r="H867" s="141"/>
      <c r="I867" s="141"/>
      <c r="J867" s="141"/>
      <c r="K867" s="141"/>
      <c r="L867" s="141"/>
      <c r="M867" s="141"/>
      <c r="N867" s="140"/>
      <c r="O867" s="140"/>
      <c r="P867" s="140"/>
      <c r="Q867" s="140"/>
      <c r="R867" s="140"/>
      <c r="S867" s="140"/>
      <c r="T867" s="140"/>
    </row>
    <row r="868" spans="1:20" ht="15" customHeight="1" x14ac:dyDescent="0.2">
      <c r="A868" s="141"/>
      <c r="B868" s="143" t="str">
        <f>IF(ISBLANK(A868),"",IF(AND(ISNA(VLOOKUP(A868,Interface_Platform!E:E,1,FALSE())),ISNA(VLOOKUP(A868,D:D,1,FALSE()))),"N","Y"))</f>
        <v/>
      </c>
      <c r="C868" s="143" t="s">
        <v>1656</v>
      </c>
      <c r="D868" s="143" t="s">
        <v>225</v>
      </c>
      <c r="E868" s="142">
        <v>1</v>
      </c>
      <c r="F868" s="144" t="str">
        <f>IF(AND(ISNA(VLOOKUP(D868,A:A,1,FALSE())),ISNA(VLOOKUP(D868,BaseType!A:A,1,FALSE())),D868&lt;&gt;"Struct"),"N","Y")</f>
        <v>Y</v>
      </c>
      <c r="G868" s="146"/>
      <c r="H868" s="141"/>
      <c r="I868" s="141"/>
      <c r="J868" s="141"/>
      <c r="K868" s="141"/>
      <c r="L868" s="141"/>
      <c r="M868" s="141"/>
      <c r="N868" s="140"/>
      <c r="O868" s="140"/>
      <c r="P868" s="140"/>
      <c r="Q868" s="140"/>
      <c r="R868" s="140"/>
      <c r="S868" s="140"/>
      <c r="T868" s="140"/>
    </row>
    <row r="869" spans="1:20" ht="15" customHeight="1" x14ac:dyDescent="0.2">
      <c r="A869" s="143" t="s">
        <v>1657</v>
      </c>
      <c r="B869" s="143" t="str">
        <f>IF(ISBLANK(A869),"",IF(AND(ISNA(VLOOKUP(A869,Interface_Platform!E:E,1,FALSE())),ISNA(VLOOKUP(A869,D:D,1,FALSE()))),"N","Y"))</f>
        <v>Y</v>
      </c>
      <c r="C869" s="75"/>
      <c r="D869" s="143" t="s">
        <v>484</v>
      </c>
      <c r="E869" s="40"/>
      <c r="F869" s="144" t="str">
        <f>IF(AND(ISNA(VLOOKUP(D869,A:A,1,FALSE())),ISNA(VLOOKUP(D869,BaseType!A:A,1,FALSE())),D869&lt;&gt;"Struct"),"N","Y")</f>
        <v>Y</v>
      </c>
      <c r="G869" s="146"/>
      <c r="H869" s="141"/>
      <c r="I869" s="141"/>
      <c r="J869" s="141"/>
      <c r="K869" s="141"/>
      <c r="L869" s="141"/>
      <c r="M869" s="141"/>
      <c r="N869" s="140"/>
      <c r="O869" s="140"/>
      <c r="P869" s="140"/>
      <c r="Q869" s="140"/>
      <c r="R869" s="140"/>
      <c r="S869" s="140"/>
      <c r="T869" s="140"/>
    </row>
    <row r="870" spans="1:20" ht="15" customHeight="1" x14ac:dyDescent="0.2">
      <c r="A870" s="141"/>
      <c r="B870" s="143" t="str">
        <f>IF(ISBLANK(A870),"",IF(AND(ISNA(VLOOKUP(A870,Interface_Platform!E:E,1,FALSE())),ISNA(VLOOKUP(A870,D:D,1,FALSE()))),"N","Y"))</f>
        <v/>
      </c>
      <c r="C870" s="143" t="s">
        <v>1658</v>
      </c>
      <c r="D870" s="143" t="s">
        <v>193</v>
      </c>
      <c r="E870" s="142">
        <v>1</v>
      </c>
      <c r="F870" s="144" t="str">
        <f>IF(AND(ISNA(VLOOKUP(D870,A:A,1,FALSE())),ISNA(VLOOKUP(D870,BaseType!A:A,1,FALSE())),D870&lt;&gt;"Struct"),"N","Y")</f>
        <v>Y</v>
      </c>
      <c r="G870" s="146" t="s">
        <v>1206</v>
      </c>
      <c r="H870" s="141"/>
      <c r="I870" s="141"/>
      <c r="J870" s="141"/>
      <c r="K870" s="141"/>
      <c r="L870" s="141"/>
      <c r="M870" s="141"/>
      <c r="N870" s="140"/>
      <c r="O870" s="140"/>
      <c r="P870" s="140"/>
      <c r="Q870" s="140"/>
      <c r="R870" s="140"/>
      <c r="S870" s="140"/>
      <c r="T870" s="140"/>
    </row>
    <row r="871" spans="1:20" ht="15" customHeight="1" x14ac:dyDescent="0.2">
      <c r="A871" s="141"/>
      <c r="B871" s="143" t="str">
        <f>IF(ISBLANK(A871),"",IF(AND(ISNA(VLOOKUP(A871,Interface_Platform!E:E,1,FALSE())),ISNA(VLOOKUP(A871,D:D,1,FALSE()))),"N","Y"))</f>
        <v/>
      </c>
      <c r="C871" s="143" t="s">
        <v>1659</v>
      </c>
      <c r="D871" s="143" t="s">
        <v>193</v>
      </c>
      <c r="E871" s="142">
        <v>1</v>
      </c>
      <c r="F871" s="144" t="str">
        <f>IF(AND(ISNA(VLOOKUP(D871,A:A,1,FALSE())),ISNA(VLOOKUP(D871,BaseType!A:A,1,FALSE())),D871&lt;&gt;"Struct"),"N","Y")</f>
        <v>Y</v>
      </c>
      <c r="G871" s="147" t="s">
        <v>1660</v>
      </c>
      <c r="H871" s="141"/>
      <c r="I871" s="141"/>
      <c r="J871" s="141"/>
      <c r="K871" s="141"/>
      <c r="L871" s="141"/>
      <c r="M871" s="141"/>
      <c r="N871" s="140"/>
      <c r="O871" s="140"/>
      <c r="P871" s="140"/>
      <c r="Q871" s="140"/>
      <c r="R871" s="140"/>
      <c r="S871" s="140"/>
      <c r="T871" s="140"/>
    </row>
    <row r="872" spans="1:20" ht="15" customHeight="1" x14ac:dyDescent="0.2">
      <c r="A872" s="141"/>
      <c r="B872" s="143" t="str">
        <f>IF(ISBLANK(A872),"",IF(AND(ISNA(VLOOKUP(A872,Interface_Platform!E:E,1,FALSE())),ISNA(VLOOKUP(A872,D:D,1,FALSE()))),"N","Y"))</f>
        <v/>
      </c>
      <c r="C872" s="143" t="s">
        <v>1661</v>
      </c>
      <c r="D872" s="143" t="s">
        <v>193</v>
      </c>
      <c r="E872" s="142">
        <v>1</v>
      </c>
      <c r="F872" s="144" t="str">
        <f>IF(AND(ISNA(VLOOKUP(D872,A:A,1,FALSE())),ISNA(VLOOKUP(D872,BaseType!A:A,1,FALSE())),D872&lt;&gt;"Struct"),"N","Y")</f>
        <v>Y</v>
      </c>
      <c r="G872" s="147" t="s">
        <v>1645</v>
      </c>
      <c r="H872" s="141"/>
      <c r="I872" s="141"/>
      <c r="J872" s="141"/>
      <c r="K872" s="141"/>
      <c r="L872" s="141"/>
      <c r="M872" s="141"/>
      <c r="N872" s="140"/>
      <c r="O872" s="140"/>
      <c r="P872" s="140"/>
      <c r="Q872" s="140"/>
      <c r="R872" s="140"/>
      <c r="S872" s="140"/>
      <c r="T872" s="140"/>
    </row>
    <row r="873" spans="1:20" ht="15" customHeight="1" x14ac:dyDescent="0.2">
      <c r="A873" s="141"/>
      <c r="B873" s="143" t="str">
        <f>IF(ISBLANK(A873),"",IF(AND(ISNA(VLOOKUP(A873,Interface_Platform!E:E,1,FALSE())),ISNA(VLOOKUP(A873,D:D,1,FALSE()))),"N","Y"))</f>
        <v/>
      </c>
      <c r="C873" s="143" t="s">
        <v>1662</v>
      </c>
      <c r="D873" s="143" t="s">
        <v>193</v>
      </c>
      <c r="E873" s="142">
        <v>1</v>
      </c>
      <c r="F873" s="144" t="str">
        <f>IF(AND(ISNA(VLOOKUP(D873,A:A,1,FALSE())),ISNA(VLOOKUP(D873,BaseType!A:A,1,FALSE())),D873&lt;&gt;"Struct"),"N","Y")</f>
        <v>Y</v>
      </c>
      <c r="G873" s="147" t="s">
        <v>1647</v>
      </c>
      <c r="H873" s="141"/>
      <c r="I873" s="141"/>
      <c r="J873" s="141"/>
      <c r="K873" s="141"/>
      <c r="L873" s="141"/>
      <c r="M873" s="141"/>
      <c r="N873" s="140"/>
      <c r="O873" s="140"/>
      <c r="P873" s="140"/>
      <c r="Q873" s="140"/>
      <c r="R873" s="140"/>
      <c r="S873" s="140"/>
      <c r="T873" s="140"/>
    </row>
    <row r="874" spans="1:20" ht="15" customHeight="1" x14ac:dyDescent="0.2">
      <c r="A874" s="141"/>
      <c r="B874" s="143" t="str">
        <f>IF(ISBLANK(A874),"",IF(AND(ISNA(VLOOKUP(A874,Interface_Platform!E:E,1,FALSE())),ISNA(VLOOKUP(A874,D:D,1,FALSE()))),"N","Y"))</f>
        <v/>
      </c>
      <c r="C874" s="143" t="s">
        <v>1663</v>
      </c>
      <c r="D874" s="143" t="s">
        <v>193</v>
      </c>
      <c r="E874" s="142">
        <v>1</v>
      </c>
      <c r="F874" s="144" t="str">
        <f>IF(AND(ISNA(VLOOKUP(D874,A:A,1,FALSE())),ISNA(VLOOKUP(D874,BaseType!A:A,1,FALSE())),D874&lt;&gt;"Struct"),"N","Y")</f>
        <v>Y</v>
      </c>
      <c r="G874" s="146"/>
      <c r="H874" s="141"/>
      <c r="I874" s="141"/>
      <c r="J874" s="141"/>
      <c r="K874" s="141"/>
      <c r="L874" s="141"/>
      <c r="M874" s="141"/>
      <c r="N874" s="140"/>
      <c r="O874" s="140"/>
      <c r="P874" s="140"/>
      <c r="Q874" s="140"/>
      <c r="R874" s="140"/>
      <c r="S874" s="140"/>
      <c r="T874" s="140"/>
    </row>
    <row r="875" spans="1:20" ht="15" customHeight="1" x14ac:dyDescent="0.2">
      <c r="A875" s="141"/>
      <c r="B875" s="143" t="str">
        <f>IF(ISBLANK(A875),"",IF(AND(ISNA(VLOOKUP(A875,Interface_Platform!E:E,1,FALSE())),ISNA(VLOOKUP(A875,D:D,1,FALSE()))),"N","Y"))</f>
        <v/>
      </c>
      <c r="C875" s="143" t="s">
        <v>1664</v>
      </c>
      <c r="D875" s="143" t="s">
        <v>193</v>
      </c>
      <c r="E875" s="142">
        <v>1</v>
      </c>
      <c r="F875" s="144" t="str">
        <f>IF(AND(ISNA(VLOOKUP(D875,A:A,1,FALSE())),ISNA(VLOOKUP(D875,BaseType!A:A,1,FALSE())),D875&lt;&gt;"Struct"),"N","Y")</f>
        <v>Y</v>
      </c>
      <c r="G875" s="146"/>
      <c r="H875" s="141"/>
      <c r="I875" s="141"/>
      <c r="J875" s="141"/>
      <c r="K875" s="141"/>
      <c r="L875" s="141"/>
      <c r="M875" s="141"/>
      <c r="N875" s="140"/>
      <c r="O875" s="140"/>
      <c r="P875" s="140"/>
      <c r="Q875" s="140"/>
      <c r="R875" s="140"/>
      <c r="S875" s="140"/>
      <c r="T875" s="140"/>
    </row>
    <row r="876" spans="1:20" ht="15" customHeight="1" x14ac:dyDescent="0.2">
      <c r="A876" s="141"/>
      <c r="B876" s="143" t="str">
        <f>IF(ISBLANK(A876),"",IF(AND(ISNA(VLOOKUP(A876,Interface_Platform!E:E,1,FALSE())),ISNA(VLOOKUP(A876,D:D,1,FALSE()))),"N","Y"))</f>
        <v/>
      </c>
      <c r="C876" s="143" t="s">
        <v>1665</v>
      </c>
      <c r="D876" s="143" t="s">
        <v>193</v>
      </c>
      <c r="E876" s="142">
        <v>1</v>
      </c>
      <c r="F876" s="144" t="str">
        <f>IF(AND(ISNA(VLOOKUP(D876,A:A,1,FALSE())),ISNA(VLOOKUP(D876,BaseType!A:A,1,FALSE())),D876&lt;&gt;"Struct"),"N","Y")</f>
        <v>Y</v>
      </c>
      <c r="G876" s="146"/>
      <c r="H876" s="141"/>
      <c r="I876" s="141"/>
      <c r="J876" s="141"/>
      <c r="K876" s="141"/>
      <c r="L876" s="141"/>
      <c r="M876" s="141"/>
      <c r="N876" s="140"/>
      <c r="O876" s="140"/>
      <c r="P876" s="140"/>
      <c r="Q876" s="140"/>
      <c r="R876" s="140"/>
      <c r="S876" s="140"/>
      <c r="T876" s="140"/>
    </row>
    <row r="877" spans="1:20" ht="15" customHeight="1" x14ac:dyDescent="0.2">
      <c r="A877" s="141"/>
      <c r="B877" s="143" t="str">
        <f>IF(ISBLANK(A877),"",IF(AND(ISNA(VLOOKUP(A877,Interface_Platform!E:E,1,FALSE())),ISNA(VLOOKUP(A877,D:D,1,FALSE()))),"N","Y"))</f>
        <v/>
      </c>
      <c r="C877" s="143" t="s">
        <v>1666</v>
      </c>
      <c r="D877" s="143" t="s">
        <v>193</v>
      </c>
      <c r="E877" s="142">
        <v>1</v>
      </c>
      <c r="F877" s="144" t="str">
        <f>IF(AND(ISNA(VLOOKUP(D877,A:A,1,FALSE())),ISNA(VLOOKUP(D877,BaseType!A:A,1,FALSE())),D877&lt;&gt;"Struct"),"N","Y")</f>
        <v>Y</v>
      </c>
      <c r="G877" s="146"/>
      <c r="H877" s="141"/>
      <c r="I877" s="141"/>
      <c r="J877" s="141"/>
      <c r="K877" s="141"/>
      <c r="L877" s="141"/>
      <c r="M877" s="141"/>
      <c r="N877" s="140"/>
      <c r="O877" s="140"/>
      <c r="P877" s="140"/>
      <c r="Q877" s="140"/>
      <c r="R877" s="140"/>
      <c r="S877" s="140"/>
      <c r="T877" s="140"/>
    </row>
    <row r="878" spans="1:20" ht="15" customHeight="1" x14ac:dyDescent="0.2">
      <c r="A878" s="141"/>
      <c r="B878" s="143" t="str">
        <f>IF(ISBLANK(A878),"",IF(AND(ISNA(VLOOKUP(A878,Interface_Platform!E:E,1,FALSE())),ISNA(VLOOKUP(A878,D:D,1,FALSE()))),"N","Y"))</f>
        <v/>
      </c>
      <c r="C878" s="143" t="s">
        <v>1667</v>
      </c>
      <c r="D878" s="143" t="s">
        <v>193</v>
      </c>
      <c r="E878" s="142">
        <v>1</v>
      </c>
      <c r="F878" s="144" t="str">
        <f>IF(AND(ISNA(VLOOKUP(D878,A:A,1,FALSE())),ISNA(VLOOKUP(D878,BaseType!A:A,1,FALSE())),D878&lt;&gt;"Struct"),"N","Y")</f>
        <v>Y</v>
      </c>
      <c r="G878" s="146" t="s">
        <v>1206</v>
      </c>
      <c r="H878" s="141"/>
      <c r="I878" s="141"/>
      <c r="J878" s="141"/>
      <c r="K878" s="141"/>
      <c r="L878" s="141"/>
      <c r="M878" s="141"/>
      <c r="N878" s="140"/>
      <c r="O878" s="140"/>
      <c r="P878" s="140"/>
      <c r="Q878" s="140"/>
      <c r="R878" s="140"/>
      <c r="S878" s="140"/>
      <c r="T878" s="140"/>
    </row>
    <row r="879" spans="1:20" ht="15" customHeight="1" x14ac:dyDescent="0.2">
      <c r="A879" s="141"/>
      <c r="B879" s="143" t="str">
        <f>IF(ISBLANK(A879),"",IF(AND(ISNA(VLOOKUP(A879,Interface_Platform!E:E,1,FALSE())),ISNA(VLOOKUP(A879,D:D,1,FALSE()))),"N","Y"))</f>
        <v/>
      </c>
      <c r="C879" s="143" t="s">
        <v>1668</v>
      </c>
      <c r="D879" s="143" t="s">
        <v>193</v>
      </c>
      <c r="E879" s="142">
        <v>1</v>
      </c>
      <c r="F879" s="144" t="str">
        <f>IF(AND(ISNA(VLOOKUP(D879,A:A,1,FALSE())),ISNA(VLOOKUP(D879,BaseType!A:A,1,FALSE())),D879&lt;&gt;"Struct"),"N","Y")</f>
        <v>Y</v>
      </c>
      <c r="G879" s="146"/>
      <c r="H879" s="141"/>
      <c r="I879" s="141"/>
      <c r="J879" s="141"/>
      <c r="K879" s="141"/>
      <c r="L879" s="141"/>
      <c r="M879" s="141"/>
      <c r="N879" s="140"/>
      <c r="O879" s="140"/>
      <c r="P879" s="140"/>
      <c r="Q879" s="140"/>
      <c r="R879" s="140"/>
      <c r="S879" s="140"/>
      <c r="T879" s="140"/>
    </row>
    <row r="880" spans="1:20" ht="15" customHeight="1" x14ac:dyDescent="0.2">
      <c r="A880" s="141"/>
      <c r="B880" s="143" t="str">
        <f>IF(ISBLANK(A880),"",IF(AND(ISNA(VLOOKUP(A880,Interface_Platform!E:E,1,FALSE())),ISNA(VLOOKUP(A880,D:D,1,FALSE()))),"N","Y"))</f>
        <v/>
      </c>
      <c r="C880" s="143" t="s">
        <v>1669</v>
      </c>
      <c r="D880" s="143" t="s">
        <v>764</v>
      </c>
      <c r="E880" s="142">
        <v>1</v>
      </c>
      <c r="F880" s="144" t="str">
        <f>IF(AND(ISNA(VLOOKUP(D880,A:A,1,FALSE())),ISNA(VLOOKUP(D880,BaseType!A:A,1,FALSE())),D880&lt;&gt;"Struct"),"N","Y")</f>
        <v>Y</v>
      </c>
      <c r="G880" s="146"/>
      <c r="H880" s="141"/>
      <c r="I880" s="141"/>
      <c r="J880" s="141"/>
      <c r="K880" s="141"/>
      <c r="L880" s="141"/>
      <c r="M880" s="141"/>
      <c r="N880" s="140"/>
      <c r="O880" s="140"/>
      <c r="P880" s="140"/>
      <c r="Q880" s="140"/>
      <c r="R880" s="140"/>
      <c r="S880" s="140"/>
      <c r="T880" s="140"/>
    </row>
    <row r="881" spans="1:20" ht="15" customHeight="1" x14ac:dyDescent="0.2">
      <c r="A881" s="141"/>
      <c r="B881" s="143" t="str">
        <f>IF(ISBLANK(A881),"",IF(AND(ISNA(VLOOKUP(A881,Interface_Platform!E:E,1,FALSE())),ISNA(VLOOKUP(A881,D:D,1,FALSE()))),"N","Y"))</f>
        <v/>
      </c>
      <c r="C881" s="143" t="s">
        <v>1670</v>
      </c>
      <c r="D881" s="143" t="s">
        <v>225</v>
      </c>
      <c r="E881" s="142">
        <v>1</v>
      </c>
      <c r="F881" s="144" t="str">
        <f>IF(AND(ISNA(VLOOKUP(D881,A:A,1,FALSE())),ISNA(VLOOKUP(D881,BaseType!A:A,1,FALSE())),D881&lt;&gt;"Struct"),"N","Y")</f>
        <v>Y</v>
      </c>
      <c r="G881" s="146"/>
      <c r="H881" s="141"/>
      <c r="I881" s="141"/>
      <c r="J881" s="141"/>
      <c r="K881" s="141"/>
      <c r="L881" s="141"/>
      <c r="M881" s="141"/>
      <c r="N881" s="140"/>
      <c r="O881" s="140"/>
      <c r="P881" s="140"/>
      <c r="Q881" s="140"/>
      <c r="R881" s="140"/>
      <c r="S881" s="140"/>
      <c r="T881" s="140"/>
    </row>
    <row r="882" spans="1:20" ht="15" customHeight="1" x14ac:dyDescent="0.2">
      <c r="A882" s="141"/>
      <c r="B882" s="143" t="str">
        <f>IF(ISBLANK(A882),"",IF(AND(ISNA(VLOOKUP(A882,Interface_Platform!E:E,1,FALSE())),ISNA(VLOOKUP(A882,D:D,1,FALSE()))),"N","Y"))</f>
        <v/>
      </c>
      <c r="C882" s="143" t="s">
        <v>1671</v>
      </c>
      <c r="D882" s="143" t="s">
        <v>225</v>
      </c>
      <c r="E882" s="142">
        <v>1</v>
      </c>
      <c r="F882" s="144" t="str">
        <f>IF(AND(ISNA(VLOOKUP(D882,A:A,1,FALSE())),ISNA(VLOOKUP(D882,BaseType!A:A,1,FALSE())),D882&lt;&gt;"Struct"),"N","Y")</f>
        <v>Y</v>
      </c>
      <c r="G882" s="146"/>
      <c r="H882" s="141"/>
      <c r="I882" s="141"/>
      <c r="J882" s="141"/>
      <c r="K882" s="141"/>
      <c r="L882" s="141"/>
      <c r="M882" s="141"/>
      <c r="N882" s="140"/>
      <c r="O882" s="140"/>
      <c r="P882" s="140"/>
      <c r="Q882" s="140"/>
      <c r="R882" s="140"/>
      <c r="S882" s="140"/>
      <c r="T882" s="140"/>
    </row>
    <row r="883" spans="1:20" ht="15" customHeight="1" x14ac:dyDescent="0.2">
      <c r="A883" s="141"/>
      <c r="B883" s="143" t="str">
        <f>IF(ISBLANK(A883),"",IF(AND(ISNA(VLOOKUP(A883,Interface_Platform!E:E,1,FALSE())),ISNA(VLOOKUP(A883,D:D,1,FALSE()))),"N","Y"))</f>
        <v/>
      </c>
      <c r="C883" s="143" t="s">
        <v>1672</v>
      </c>
      <c r="D883" s="143" t="s">
        <v>225</v>
      </c>
      <c r="E883" s="142">
        <v>1</v>
      </c>
      <c r="F883" s="144" t="str">
        <f>IF(AND(ISNA(VLOOKUP(D883,A:A,1,FALSE())),ISNA(VLOOKUP(D883,BaseType!A:A,1,FALSE())),D883&lt;&gt;"Struct"),"N","Y")</f>
        <v>Y</v>
      </c>
      <c r="G883" s="146"/>
      <c r="H883" s="141"/>
      <c r="I883" s="141"/>
      <c r="J883" s="141"/>
      <c r="K883" s="141"/>
      <c r="L883" s="141"/>
      <c r="M883" s="141"/>
      <c r="N883" s="140"/>
      <c r="O883" s="140"/>
      <c r="P883" s="140"/>
      <c r="Q883" s="140"/>
      <c r="R883" s="140"/>
      <c r="S883" s="140"/>
      <c r="T883" s="140"/>
    </row>
    <row r="884" spans="1:20" ht="15" customHeight="1" x14ac:dyDescent="0.2">
      <c r="A884" s="141"/>
      <c r="B884" s="143" t="str">
        <f>IF(ISBLANK(A884),"",IF(AND(ISNA(VLOOKUP(A884,Interface_Platform!E:E,1,FALSE())),ISNA(VLOOKUP(A884,D:D,1,FALSE()))),"N","Y"))</f>
        <v/>
      </c>
      <c r="C884" s="143" t="s">
        <v>1673</v>
      </c>
      <c r="D884" s="143" t="s">
        <v>225</v>
      </c>
      <c r="E884" s="142">
        <v>1</v>
      </c>
      <c r="F884" s="144" t="str">
        <f>IF(AND(ISNA(VLOOKUP(D884,A:A,1,FALSE())),ISNA(VLOOKUP(D884,BaseType!A:A,1,FALSE())),D884&lt;&gt;"Struct"),"N","Y")</f>
        <v>Y</v>
      </c>
      <c r="G884" s="146"/>
      <c r="H884" s="141"/>
      <c r="I884" s="141"/>
      <c r="J884" s="141"/>
      <c r="K884" s="141"/>
      <c r="L884" s="141"/>
      <c r="M884" s="141"/>
      <c r="N884" s="140"/>
      <c r="O884" s="140"/>
      <c r="P884" s="140"/>
      <c r="Q884" s="140"/>
      <c r="R884" s="140"/>
      <c r="S884" s="140"/>
      <c r="T884" s="140"/>
    </row>
    <row r="885" spans="1:20" ht="15" customHeight="1" x14ac:dyDescent="0.2">
      <c r="A885" s="141"/>
      <c r="B885" s="143" t="str">
        <f>IF(ISBLANK(A885),"",IF(AND(ISNA(VLOOKUP(A885,Interface_Platform!E:E,1,FALSE())),ISNA(VLOOKUP(A885,D:D,1,FALSE()))),"N","Y"))</f>
        <v/>
      </c>
      <c r="C885" s="143" t="s">
        <v>1674</v>
      </c>
      <c r="D885" s="143" t="s">
        <v>225</v>
      </c>
      <c r="E885" s="142">
        <v>1</v>
      </c>
      <c r="F885" s="144" t="str">
        <f>IF(AND(ISNA(VLOOKUP(D885,A:A,1,FALSE())),ISNA(VLOOKUP(D885,BaseType!A:A,1,FALSE())),D885&lt;&gt;"Struct"),"N","Y")</f>
        <v>Y</v>
      </c>
      <c r="G885" s="146"/>
      <c r="H885" s="141"/>
      <c r="I885" s="141"/>
      <c r="J885" s="141"/>
      <c r="K885" s="141"/>
      <c r="L885" s="141"/>
      <c r="M885" s="141"/>
      <c r="N885" s="140"/>
      <c r="O885" s="140"/>
      <c r="P885" s="140"/>
      <c r="Q885" s="140"/>
      <c r="R885" s="140"/>
      <c r="S885" s="140"/>
      <c r="T885" s="140"/>
    </row>
    <row r="886" spans="1:20" ht="15" customHeight="1" x14ac:dyDescent="0.2">
      <c r="A886" s="141"/>
      <c r="B886" s="143" t="str">
        <f>IF(ISBLANK(A886),"",IF(AND(ISNA(VLOOKUP(A886,Interface_Platform!E:E,1,FALSE())),ISNA(VLOOKUP(A886,D:D,1,FALSE()))),"N","Y"))</f>
        <v/>
      </c>
      <c r="C886" s="143" t="s">
        <v>1675</v>
      </c>
      <c r="D886" s="143" t="s">
        <v>225</v>
      </c>
      <c r="E886" s="142">
        <v>1</v>
      </c>
      <c r="F886" s="144" t="str">
        <f>IF(AND(ISNA(VLOOKUP(D886,A:A,1,FALSE())),ISNA(VLOOKUP(D886,BaseType!A:A,1,FALSE())),D886&lt;&gt;"Struct"),"N","Y")</f>
        <v>Y</v>
      </c>
      <c r="G886" s="146"/>
      <c r="H886" s="141"/>
      <c r="I886" s="141"/>
      <c r="J886" s="141"/>
      <c r="K886" s="141"/>
      <c r="L886" s="141"/>
      <c r="M886" s="141"/>
      <c r="N886" s="140"/>
      <c r="O886" s="140"/>
      <c r="P886" s="140"/>
      <c r="Q886" s="140"/>
      <c r="R886" s="140"/>
      <c r="S886" s="140"/>
      <c r="T886" s="140"/>
    </row>
    <row r="887" spans="1:20" ht="15" customHeight="1" x14ac:dyDescent="0.2">
      <c r="A887" s="141"/>
      <c r="B887" s="143" t="str">
        <f>IF(ISBLANK(A887),"",IF(AND(ISNA(VLOOKUP(A887,Interface_Platform!E:E,1,FALSE())),ISNA(VLOOKUP(A887,D:D,1,FALSE()))),"N","Y"))</f>
        <v/>
      </c>
      <c r="C887" s="143" t="s">
        <v>1676</v>
      </c>
      <c r="D887" s="143" t="s">
        <v>225</v>
      </c>
      <c r="E887" s="142">
        <v>1</v>
      </c>
      <c r="F887" s="144" t="str">
        <f>IF(AND(ISNA(VLOOKUP(D887,A:A,1,FALSE())),ISNA(VLOOKUP(D887,BaseType!A:A,1,FALSE())),D887&lt;&gt;"Struct"),"N","Y")</f>
        <v>Y</v>
      </c>
      <c r="G887" s="146"/>
      <c r="H887" s="141"/>
      <c r="I887" s="141"/>
      <c r="J887" s="141"/>
      <c r="K887" s="141"/>
      <c r="L887" s="141"/>
      <c r="M887" s="141"/>
      <c r="N887" s="140"/>
      <c r="O887" s="140"/>
      <c r="P887" s="140"/>
      <c r="Q887" s="140"/>
      <c r="R887" s="140"/>
      <c r="S887" s="140"/>
      <c r="T887" s="140"/>
    </row>
    <row r="888" spans="1:20" ht="15" customHeight="1" x14ac:dyDescent="0.2">
      <c r="A888" s="141"/>
      <c r="B888" s="143" t="str">
        <f>IF(ISBLANK(A888),"",IF(AND(ISNA(VLOOKUP(A888,Interface_Platform!E:E,1,FALSE())),ISNA(VLOOKUP(A888,D:D,1,FALSE()))),"N","Y"))</f>
        <v/>
      </c>
      <c r="C888" s="143" t="s">
        <v>1677</v>
      </c>
      <c r="D888" s="143" t="s">
        <v>225</v>
      </c>
      <c r="E888" s="142">
        <v>1</v>
      </c>
      <c r="F888" s="144" t="str">
        <f>IF(AND(ISNA(VLOOKUP(D888,A:A,1,FALSE())),ISNA(VLOOKUP(D888,BaseType!A:A,1,FALSE())),D888&lt;&gt;"Struct"),"N","Y")</f>
        <v>Y</v>
      </c>
      <c r="G888" s="146"/>
      <c r="H888" s="141"/>
      <c r="I888" s="141"/>
      <c r="J888" s="141"/>
      <c r="K888" s="141"/>
      <c r="L888" s="141"/>
      <c r="M888" s="141"/>
      <c r="N888" s="140"/>
      <c r="O888" s="140"/>
      <c r="P888" s="140"/>
      <c r="Q888" s="140"/>
      <c r="R888" s="140"/>
      <c r="S888" s="140"/>
      <c r="T888" s="140"/>
    </row>
    <row r="889" spans="1:20" ht="15" customHeight="1" x14ac:dyDescent="0.2">
      <c r="A889" s="141"/>
      <c r="B889" s="143" t="str">
        <f>IF(ISBLANK(A889),"",IF(AND(ISNA(VLOOKUP(A889,Interface_Platform!E:E,1,FALSE())),ISNA(VLOOKUP(A889,D:D,1,FALSE()))),"N","Y"))</f>
        <v/>
      </c>
      <c r="C889" s="143" t="s">
        <v>1678</v>
      </c>
      <c r="D889" s="143" t="s">
        <v>225</v>
      </c>
      <c r="E889" s="142">
        <v>1</v>
      </c>
      <c r="F889" s="144" t="str">
        <f>IF(AND(ISNA(VLOOKUP(D889,A:A,1,FALSE())),ISNA(VLOOKUP(D889,BaseType!A:A,1,FALSE())),D889&lt;&gt;"Struct"),"N","Y")</f>
        <v>Y</v>
      </c>
      <c r="G889" s="146"/>
      <c r="H889" s="141"/>
      <c r="I889" s="141"/>
      <c r="J889" s="141"/>
      <c r="K889" s="141"/>
      <c r="L889" s="141"/>
      <c r="M889" s="141"/>
      <c r="N889" s="140"/>
      <c r="O889" s="140"/>
      <c r="P889" s="140"/>
      <c r="Q889" s="140"/>
      <c r="R889" s="140"/>
      <c r="S889" s="140"/>
      <c r="T889" s="140"/>
    </row>
    <row r="890" spans="1:20" ht="15" customHeight="1" x14ac:dyDescent="0.2">
      <c r="A890" s="141"/>
      <c r="B890" s="143" t="str">
        <f>IF(ISBLANK(A890),"",IF(AND(ISNA(VLOOKUP(A890,Interface_Platform!E:E,1,FALSE())),ISNA(VLOOKUP(A890,D:D,1,FALSE()))),"N","Y"))</f>
        <v/>
      </c>
      <c r="C890" s="143" t="s">
        <v>1679</v>
      </c>
      <c r="D890" s="143" t="s">
        <v>225</v>
      </c>
      <c r="E890" s="142">
        <v>1</v>
      </c>
      <c r="F890" s="144" t="str">
        <f>IF(AND(ISNA(VLOOKUP(D890,A:A,1,FALSE())),ISNA(VLOOKUP(D890,BaseType!A:A,1,FALSE())),D890&lt;&gt;"Struct"),"N","Y")</f>
        <v>Y</v>
      </c>
      <c r="G890" s="146"/>
      <c r="H890" s="141"/>
      <c r="I890" s="141"/>
      <c r="J890" s="141"/>
      <c r="K890" s="141"/>
      <c r="L890" s="141"/>
      <c r="M890" s="141"/>
      <c r="N890" s="140"/>
      <c r="O890" s="140"/>
      <c r="P890" s="140"/>
      <c r="Q890" s="140"/>
      <c r="R890" s="140"/>
      <c r="S890" s="140"/>
      <c r="T890" s="140"/>
    </row>
    <row r="891" spans="1:20" ht="15" customHeight="1" x14ac:dyDescent="0.2">
      <c r="A891" s="141"/>
      <c r="B891" s="143" t="str">
        <f>IF(ISBLANK(A891),"",IF(AND(ISNA(VLOOKUP(A891,Interface_Platform!E:E,1,FALSE())),ISNA(VLOOKUP(A891,D:D,1,FALSE()))),"N","Y"))</f>
        <v/>
      </c>
      <c r="C891" s="143" t="s">
        <v>1680</v>
      </c>
      <c r="D891" s="143" t="s">
        <v>225</v>
      </c>
      <c r="E891" s="142">
        <v>1</v>
      </c>
      <c r="F891" s="144" t="str">
        <f>IF(AND(ISNA(VLOOKUP(D891,A:A,1,FALSE())),ISNA(VLOOKUP(D891,BaseType!A:A,1,FALSE())),D891&lt;&gt;"Struct"),"N","Y")</f>
        <v>Y</v>
      </c>
      <c r="G891" s="146"/>
      <c r="H891" s="141"/>
      <c r="I891" s="141"/>
      <c r="J891" s="141"/>
      <c r="K891" s="141"/>
      <c r="L891" s="141"/>
      <c r="M891" s="141"/>
      <c r="N891" s="140"/>
      <c r="O891" s="140"/>
      <c r="P891" s="140"/>
      <c r="Q891" s="140"/>
      <c r="R891" s="140"/>
      <c r="S891" s="140"/>
      <c r="T891" s="140"/>
    </row>
    <row r="892" spans="1:20" ht="15" customHeight="1" x14ac:dyDescent="0.2">
      <c r="A892" s="141"/>
      <c r="B892" s="143" t="str">
        <f>IF(ISBLANK(A892),"",IF(AND(ISNA(VLOOKUP(A892,Interface_Platform!E:E,1,FALSE())),ISNA(VLOOKUP(A892,D:D,1,FALSE()))),"N","Y"))</f>
        <v/>
      </c>
      <c r="C892" s="143" t="s">
        <v>1681</v>
      </c>
      <c r="D892" s="143" t="s">
        <v>225</v>
      </c>
      <c r="E892" s="142">
        <v>1</v>
      </c>
      <c r="F892" s="144" t="str">
        <f>IF(AND(ISNA(VLOOKUP(D892,A:A,1,FALSE())),ISNA(VLOOKUP(D892,BaseType!A:A,1,FALSE())),D892&lt;&gt;"Struct"),"N","Y")</f>
        <v>Y</v>
      </c>
      <c r="G892" s="146"/>
      <c r="H892" s="141"/>
      <c r="I892" s="141"/>
      <c r="J892" s="141"/>
      <c r="K892" s="141"/>
      <c r="L892" s="141"/>
      <c r="M892" s="141"/>
      <c r="N892" s="140"/>
      <c r="O892" s="140"/>
      <c r="P892" s="140"/>
      <c r="Q892" s="140"/>
      <c r="R892" s="140"/>
      <c r="S892" s="140"/>
      <c r="T892" s="140"/>
    </row>
    <row r="893" spans="1:20" ht="15" customHeight="1" x14ac:dyDescent="0.2">
      <c r="A893" s="143" t="s">
        <v>1682</v>
      </c>
      <c r="B893" s="143" t="str">
        <f>IF(ISBLANK(A893),"",IF(AND(ISNA(VLOOKUP(A893,Interface_Platform!E:E,1,FALSE())),ISNA(VLOOKUP(A893,D:D,1,FALSE()))),"N","Y"))</f>
        <v>Y</v>
      </c>
      <c r="C893" s="75"/>
      <c r="D893" s="143" t="s">
        <v>484</v>
      </c>
      <c r="E893" s="40"/>
      <c r="F893" s="144" t="str">
        <f>IF(AND(ISNA(VLOOKUP(D893,A:A,1,FALSE())),ISNA(VLOOKUP(D893,BaseType!A:A,1,FALSE())),D893&lt;&gt;"Struct"),"N","Y")</f>
        <v>Y</v>
      </c>
      <c r="G893" s="146"/>
      <c r="H893" s="141"/>
      <c r="I893" s="141"/>
      <c r="J893" s="141"/>
      <c r="K893" s="141"/>
      <c r="L893" s="141"/>
      <c r="M893" s="141"/>
      <c r="N893" s="140"/>
      <c r="O893" s="140"/>
      <c r="P893" s="140"/>
      <c r="Q893" s="140"/>
      <c r="R893" s="140"/>
      <c r="S893" s="140"/>
      <c r="T893" s="140"/>
    </row>
    <row r="894" spans="1:20" ht="15" customHeight="1" x14ac:dyDescent="0.2">
      <c r="A894" s="141"/>
      <c r="B894" s="143" t="str">
        <f>IF(ISBLANK(A894),"",IF(AND(ISNA(VLOOKUP(A894,Interface_Platform!E:E,1,FALSE())),ISNA(VLOOKUP(A894,D:D,1,FALSE()))),"N","Y"))</f>
        <v/>
      </c>
      <c r="C894" s="143" t="s">
        <v>1658</v>
      </c>
      <c r="D894" s="143" t="s">
        <v>193</v>
      </c>
      <c r="E894" s="142">
        <v>1</v>
      </c>
      <c r="F894" s="144" t="str">
        <f>IF(AND(ISNA(VLOOKUP(D894,A:A,1,FALSE())),ISNA(VLOOKUP(D894,BaseType!A:A,1,FALSE())),D894&lt;&gt;"Struct"),"N","Y")</f>
        <v>Y</v>
      </c>
      <c r="G894" s="146" t="s">
        <v>1206</v>
      </c>
      <c r="H894" s="141"/>
      <c r="I894" s="141"/>
      <c r="J894" s="141"/>
      <c r="K894" s="141"/>
      <c r="L894" s="141"/>
      <c r="M894" s="141"/>
      <c r="N894" s="140"/>
      <c r="O894" s="140"/>
      <c r="P894" s="140"/>
      <c r="Q894" s="140"/>
      <c r="R894" s="140"/>
      <c r="S894" s="140"/>
      <c r="T894" s="140"/>
    </row>
    <row r="895" spans="1:20" ht="15" customHeight="1" x14ac:dyDescent="0.2">
      <c r="A895" s="141"/>
      <c r="B895" s="143" t="str">
        <f>IF(ISBLANK(A895),"",IF(AND(ISNA(VLOOKUP(A895,Interface_Platform!E:E,1,FALSE())),ISNA(VLOOKUP(A895,D:D,1,FALSE()))),"N","Y"))</f>
        <v/>
      </c>
      <c r="C895" s="143" t="s">
        <v>1659</v>
      </c>
      <c r="D895" s="143" t="s">
        <v>193</v>
      </c>
      <c r="E895" s="142">
        <v>1</v>
      </c>
      <c r="F895" s="144" t="str">
        <f>IF(AND(ISNA(VLOOKUP(D895,A:A,1,FALSE())),ISNA(VLOOKUP(D895,BaseType!A:A,1,FALSE())),D895&lt;&gt;"Struct"),"N","Y")</f>
        <v>Y</v>
      </c>
      <c r="G895" s="147" t="s">
        <v>1683</v>
      </c>
      <c r="H895" s="141"/>
      <c r="I895" s="141"/>
      <c r="J895" s="141"/>
      <c r="K895" s="141"/>
      <c r="L895" s="141"/>
      <c r="M895" s="141"/>
      <c r="N895" s="140"/>
      <c r="O895" s="140"/>
      <c r="P895" s="140"/>
      <c r="Q895" s="140"/>
      <c r="R895" s="140"/>
      <c r="S895" s="140"/>
      <c r="T895" s="140"/>
    </row>
    <row r="896" spans="1:20" ht="15" customHeight="1" x14ac:dyDescent="0.2">
      <c r="A896" s="141"/>
      <c r="B896" s="143" t="str">
        <f>IF(ISBLANK(A896),"",IF(AND(ISNA(VLOOKUP(A896,Interface_Platform!E:E,1,FALSE())),ISNA(VLOOKUP(A896,D:D,1,FALSE()))),"N","Y"))</f>
        <v/>
      </c>
      <c r="C896" s="143" t="s">
        <v>1661</v>
      </c>
      <c r="D896" s="143" t="s">
        <v>193</v>
      </c>
      <c r="E896" s="142">
        <v>1</v>
      </c>
      <c r="F896" s="144" t="str">
        <f>IF(AND(ISNA(VLOOKUP(D896,A:A,1,FALSE())),ISNA(VLOOKUP(D896,BaseType!A:A,1,FALSE())),D896&lt;&gt;"Struct"),"N","Y")</f>
        <v>Y</v>
      </c>
      <c r="G896" s="147" t="s">
        <v>1684</v>
      </c>
      <c r="H896" s="141"/>
      <c r="I896" s="141"/>
      <c r="J896" s="141"/>
      <c r="K896" s="141"/>
      <c r="L896" s="141"/>
      <c r="M896" s="141"/>
      <c r="N896" s="140"/>
      <c r="O896" s="140"/>
      <c r="P896" s="140"/>
      <c r="Q896" s="140"/>
      <c r="R896" s="140"/>
      <c r="S896" s="140"/>
      <c r="T896" s="140"/>
    </row>
    <row r="897" spans="1:20" ht="15" customHeight="1" x14ac:dyDescent="0.2">
      <c r="A897" s="141"/>
      <c r="B897" s="143" t="str">
        <f>IF(ISBLANK(A897),"",IF(AND(ISNA(VLOOKUP(A897,Interface_Platform!E:E,1,FALSE())),ISNA(VLOOKUP(A897,D:D,1,FALSE()))),"N","Y"))</f>
        <v/>
      </c>
      <c r="C897" s="143" t="s">
        <v>1662</v>
      </c>
      <c r="D897" s="143" t="s">
        <v>193</v>
      </c>
      <c r="E897" s="142">
        <v>1</v>
      </c>
      <c r="F897" s="144" t="str">
        <f>IF(AND(ISNA(VLOOKUP(D897,A:A,1,FALSE())),ISNA(VLOOKUP(D897,BaseType!A:A,1,FALSE())),D897&lt;&gt;"Struct"),"N","Y")</f>
        <v>Y</v>
      </c>
      <c r="G897" s="147" t="s">
        <v>1196</v>
      </c>
      <c r="H897" s="141"/>
      <c r="I897" s="141"/>
      <c r="J897" s="141"/>
      <c r="K897" s="141"/>
      <c r="L897" s="141"/>
      <c r="M897" s="141"/>
      <c r="N897" s="140"/>
      <c r="O897" s="140"/>
      <c r="P897" s="140"/>
      <c r="Q897" s="140"/>
      <c r="R897" s="140"/>
      <c r="S897" s="140"/>
      <c r="T897" s="140"/>
    </row>
    <row r="898" spans="1:20" ht="15" customHeight="1" x14ac:dyDescent="0.2">
      <c r="A898" s="141"/>
      <c r="B898" s="143" t="str">
        <f>IF(ISBLANK(A898),"",IF(AND(ISNA(VLOOKUP(A898,Interface_Platform!E:E,1,FALSE())),ISNA(VLOOKUP(A898,D:D,1,FALSE()))),"N","Y"))</f>
        <v/>
      </c>
      <c r="C898" s="143" t="s">
        <v>1663</v>
      </c>
      <c r="D898" s="143" t="s">
        <v>193</v>
      </c>
      <c r="E898" s="142">
        <v>1</v>
      </c>
      <c r="F898" s="144" t="str">
        <f>IF(AND(ISNA(VLOOKUP(D898,A:A,1,FALSE())),ISNA(VLOOKUP(D898,BaseType!A:A,1,FALSE())),D898&lt;&gt;"Struct"),"N","Y")</f>
        <v>Y</v>
      </c>
      <c r="G898" s="147" t="s">
        <v>1647</v>
      </c>
      <c r="H898" s="141"/>
      <c r="I898" s="141"/>
      <c r="J898" s="141"/>
      <c r="K898" s="141"/>
      <c r="L898" s="141"/>
      <c r="M898" s="141"/>
      <c r="N898" s="140"/>
      <c r="O898" s="140"/>
      <c r="P898" s="140"/>
      <c r="Q898" s="140"/>
      <c r="R898" s="140"/>
      <c r="S898" s="140"/>
      <c r="T898" s="140"/>
    </row>
    <row r="899" spans="1:20" ht="15" customHeight="1" x14ac:dyDescent="0.2">
      <c r="A899" s="141"/>
      <c r="B899" s="143" t="str">
        <f>IF(ISBLANK(A899),"",IF(AND(ISNA(VLOOKUP(A899,Interface_Platform!E:E,1,FALSE())),ISNA(VLOOKUP(A899,D:D,1,FALSE()))),"N","Y"))</f>
        <v/>
      </c>
      <c r="C899" s="143" t="s">
        <v>1685</v>
      </c>
      <c r="D899" s="143" t="s">
        <v>193</v>
      </c>
      <c r="E899" s="142">
        <v>1</v>
      </c>
      <c r="F899" s="144" t="str">
        <f>IF(AND(ISNA(VLOOKUP(D899,A:A,1,FALSE())),ISNA(VLOOKUP(D899,BaseType!A:A,1,FALSE())),D899&lt;&gt;"Struct"),"N","Y")</f>
        <v>Y</v>
      </c>
      <c r="G899" s="147" t="s">
        <v>1686</v>
      </c>
      <c r="H899" s="141"/>
      <c r="I899" s="141"/>
      <c r="J899" s="141"/>
      <c r="K899" s="141"/>
      <c r="L899" s="141"/>
      <c r="M899" s="141"/>
      <c r="N899" s="140"/>
      <c r="O899" s="140"/>
      <c r="P899" s="140"/>
      <c r="Q899" s="140"/>
      <c r="R899" s="140"/>
      <c r="S899" s="140"/>
      <c r="T899" s="140"/>
    </row>
    <row r="900" spans="1:20" ht="15" customHeight="1" x14ac:dyDescent="0.2">
      <c r="A900" s="141"/>
      <c r="B900" s="143" t="str">
        <f>IF(ISBLANK(A900),"",IF(AND(ISNA(VLOOKUP(A900,Interface_Platform!E:E,1,FALSE())),ISNA(VLOOKUP(A900,D:D,1,FALSE()))),"N","Y"))</f>
        <v/>
      </c>
      <c r="C900" s="143" t="s">
        <v>1664</v>
      </c>
      <c r="D900" s="143" t="s">
        <v>193</v>
      </c>
      <c r="E900" s="142">
        <v>1</v>
      </c>
      <c r="F900" s="144" t="str">
        <f>IF(AND(ISNA(VLOOKUP(D900,A:A,1,FALSE())),ISNA(VLOOKUP(D900,BaseType!A:A,1,FALSE())),D900&lt;&gt;"Struct"),"N","Y")</f>
        <v>Y</v>
      </c>
      <c r="G900" s="147" t="s">
        <v>1687</v>
      </c>
      <c r="H900" s="141"/>
      <c r="I900" s="141"/>
      <c r="J900" s="141"/>
      <c r="K900" s="141"/>
      <c r="L900" s="141"/>
      <c r="M900" s="141"/>
      <c r="N900" s="140"/>
      <c r="O900" s="140"/>
      <c r="P900" s="140"/>
      <c r="Q900" s="140"/>
      <c r="R900" s="140"/>
      <c r="S900" s="140"/>
      <c r="T900" s="140"/>
    </row>
    <row r="901" spans="1:20" ht="15" customHeight="1" x14ac:dyDescent="0.2">
      <c r="A901" s="141"/>
      <c r="B901" s="143" t="str">
        <f>IF(ISBLANK(A901),"",IF(AND(ISNA(VLOOKUP(A901,Interface_Platform!E:E,1,FALSE())),ISNA(VLOOKUP(A901,D:D,1,FALSE()))),"N","Y"))</f>
        <v/>
      </c>
      <c r="C901" s="143" t="s">
        <v>1665</v>
      </c>
      <c r="D901" s="143" t="s">
        <v>193</v>
      </c>
      <c r="E901" s="142">
        <v>1</v>
      </c>
      <c r="F901" s="144" t="str">
        <f>IF(AND(ISNA(VLOOKUP(D901,A:A,1,FALSE())),ISNA(VLOOKUP(D901,BaseType!A:A,1,FALSE())),D901&lt;&gt;"Struct"),"N","Y")</f>
        <v>Y</v>
      </c>
      <c r="G901" s="147" t="s">
        <v>1688</v>
      </c>
      <c r="H901" s="141"/>
      <c r="I901" s="141"/>
      <c r="J901" s="141"/>
      <c r="K901" s="141"/>
      <c r="L901" s="141"/>
      <c r="M901" s="141"/>
      <c r="N901" s="140"/>
      <c r="O901" s="140"/>
      <c r="P901" s="140"/>
      <c r="Q901" s="140"/>
      <c r="R901" s="140"/>
      <c r="S901" s="140"/>
      <c r="T901" s="140"/>
    </row>
    <row r="902" spans="1:20" ht="15" customHeight="1" x14ac:dyDescent="0.2">
      <c r="A902" s="141"/>
      <c r="B902" s="143" t="str">
        <f>IF(ISBLANK(A902),"",IF(AND(ISNA(VLOOKUP(A902,Interface_Platform!E:E,1,FALSE())),ISNA(VLOOKUP(A902,D:D,1,FALSE()))),"N","Y"))</f>
        <v/>
      </c>
      <c r="C902" s="143" t="s">
        <v>1666</v>
      </c>
      <c r="D902" s="143" t="s">
        <v>193</v>
      </c>
      <c r="E902" s="142">
        <v>1</v>
      </c>
      <c r="F902" s="144" t="str">
        <f>IF(AND(ISNA(VLOOKUP(D902,A:A,1,FALSE())),ISNA(VLOOKUP(D902,BaseType!A:A,1,FALSE())),D902&lt;&gt;"Struct"),"N","Y")</f>
        <v>Y</v>
      </c>
      <c r="G902" s="147" t="s">
        <v>1688</v>
      </c>
      <c r="H902" s="141"/>
      <c r="I902" s="141"/>
      <c r="J902" s="141"/>
      <c r="K902" s="141"/>
      <c r="L902" s="141"/>
      <c r="M902" s="141"/>
      <c r="N902" s="140"/>
      <c r="O902" s="140"/>
      <c r="P902" s="140"/>
      <c r="Q902" s="140"/>
      <c r="R902" s="140"/>
      <c r="S902" s="140"/>
      <c r="T902" s="140"/>
    </row>
    <row r="903" spans="1:20" ht="15" customHeight="1" x14ac:dyDescent="0.2">
      <c r="A903" s="141"/>
      <c r="B903" s="143" t="str">
        <f>IF(ISBLANK(A903),"",IF(AND(ISNA(VLOOKUP(A903,Interface_Platform!E:E,1,FALSE())),ISNA(VLOOKUP(A903,D:D,1,FALSE()))),"N","Y"))</f>
        <v/>
      </c>
      <c r="C903" s="143" t="s">
        <v>1667</v>
      </c>
      <c r="D903" s="143" t="s">
        <v>193</v>
      </c>
      <c r="E903" s="142">
        <v>1</v>
      </c>
      <c r="F903" s="144" t="str">
        <f>IF(AND(ISNA(VLOOKUP(D903,A:A,1,FALSE())),ISNA(VLOOKUP(D903,BaseType!A:A,1,FALSE())),D903&lt;&gt;"Struct"),"N","Y")</f>
        <v>Y</v>
      </c>
      <c r="G903" s="146" t="s">
        <v>1206</v>
      </c>
      <c r="H903" s="141"/>
      <c r="I903" s="141"/>
      <c r="J903" s="141"/>
      <c r="K903" s="141"/>
      <c r="L903" s="141"/>
      <c r="M903" s="141"/>
      <c r="N903" s="140"/>
      <c r="O903" s="140"/>
      <c r="P903" s="140"/>
      <c r="Q903" s="140"/>
      <c r="R903" s="140"/>
      <c r="S903" s="140"/>
      <c r="T903" s="140"/>
    </row>
    <row r="904" spans="1:20" ht="15" customHeight="1" x14ac:dyDescent="0.2">
      <c r="A904" s="141"/>
      <c r="B904" s="143" t="str">
        <f>IF(ISBLANK(A904),"",IF(AND(ISNA(VLOOKUP(A904,Interface_Platform!E:E,1,FALSE())),ISNA(VLOOKUP(A904,D:D,1,FALSE()))),"N","Y"))</f>
        <v/>
      </c>
      <c r="C904" s="143" t="s">
        <v>1668</v>
      </c>
      <c r="D904" s="143" t="s">
        <v>193</v>
      </c>
      <c r="E904" s="142">
        <v>1</v>
      </c>
      <c r="F904" s="144" t="str">
        <f>IF(AND(ISNA(VLOOKUP(D904,A:A,1,FALSE())),ISNA(VLOOKUP(D904,BaseType!A:A,1,FALSE())),D904&lt;&gt;"Struct"),"N","Y")</f>
        <v>Y</v>
      </c>
      <c r="G904" s="146"/>
      <c r="H904" s="141"/>
      <c r="I904" s="141"/>
      <c r="J904" s="141"/>
      <c r="K904" s="141"/>
      <c r="L904" s="141"/>
      <c r="M904" s="141"/>
      <c r="N904" s="140"/>
      <c r="O904" s="140"/>
      <c r="P904" s="140"/>
      <c r="Q904" s="140"/>
      <c r="R904" s="140"/>
      <c r="S904" s="140"/>
      <c r="T904" s="140"/>
    </row>
    <row r="905" spans="1:20" ht="15" customHeight="1" x14ac:dyDescent="0.2">
      <c r="A905" s="141"/>
      <c r="B905" s="143" t="str">
        <f>IF(ISBLANK(A905),"",IF(AND(ISNA(VLOOKUP(A905,Interface_Platform!E:E,1,FALSE())),ISNA(VLOOKUP(A905,D:D,1,FALSE()))),"N","Y"))</f>
        <v/>
      </c>
      <c r="C905" s="148" t="s">
        <v>1669</v>
      </c>
      <c r="D905" s="143" t="s">
        <v>764</v>
      </c>
      <c r="E905" s="142">
        <v>1</v>
      </c>
      <c r="F905" s="144" t="str">
        <f>IF(AND(ISNA(VLOOKUP(D905,A:A,1,FALSE())),ISNA(VLOOKUP(D905,BaseType!A:A,1,FALSE())),D905&lt;&gt;"Struct"),"N","Y")</f>
        <v>Y</v>
      </c>
      <c r="G905" s="146"/>
      <c r="H905" s="141"/>
      <c r="I905" s="141"/>
      <c r="J905" s="141"/>
      <c r="K905" s="141"/>
      <c r="L905" s="141"/>
      <c r="M905" s="141"/>
      <c r="N905" s="140"/>
      <c r="O905" s="140"/>
      <c r="P905" s="140"/>
      <c r="Q905" s="140"/>
      <c r="R905" s="140"/>
      <c r="S905" s="140"/>
      <c r="T905" s="140"/>
    </row>
    <row r="906" spans="1:20" ht="15" customHeight="1" x14ac:dyDescent="0.2">
      <c r="A906" s="141"/>
      <c r="B906" s="143" t="str">
        <f>IF(ISBLANK(A906),"",IF(AND(ISNA(VLOOKUP(A906,Interface_Platform!E:E,1,FALSE())),ISNA(VLOOKUP(A906,D:D,1,FALSE()))),"N","Y"))</f>
        <v/>
      </c>
      <c r="C906" s="143" t="s">
        <v>1670</v>
      </c>
      <c r="D906" s="143" t="s">
        <v>225</v>
      </c>
      <c r="E906" s="142">
        <v>1</v>
      </c>
      <c r="F906" s="144" t="str">
        <f>IF(AND(ISNA(VLOOKUP(D906,A:A,1,FALSE())),ISNA(VLOOKUP(D906,BaseType!A:A,1,FALSE())),D906&lt;&gt;"Struct"),"N","Y")</f>
        <v>Y</v>
      </c>
      <c r="G906" s="146"/>
      <c r="H906" s="141"/>
      <c r="I906" s="141"/>
      <c r="J906" s="141"/>
      <c r="K906" s="141"/>
      <c r="L906" s="141"/>
      <c r="M906" s="141"/>
      <c r="N906" s="140"/>
      <c r="O906" s="140"/>
      <c r="P906" s="140"/>
      <c r="Q906" s="140"/>
      <c r="R906" s="140"/>
      <c r="S906" s="140"/>
      <c r="T906" s="140"/>
    </row>
    <row r="907" spans="1:20" ht="15" customHeight="1" x14ac:dyDescent="0.2">
      <c r="A907" s="141"/>
      <c r="B907" s="143" t="str">
        <f>IF(ISBLANK(A907),"",IF(AND(ISNA(VLOOKUP(A907,Interface_Platform!E:E,1,FALSE())),ISNA(VLOOKUP(A907,D:D,1,FALSE()))),"N","Y"))</f>
        <v/>
      </c>
      <c r="C907" s="143" t="s">
        <v>1671</v>
      </c>
      <c r="D907" s="143" t="s">
        <v>225</v>
      </c>
      <c r="E907" s="142">
        <v>1</v>
      </c>
      <c r="F907" s="144" t="str">
        <f>IF(AND(ISNA(VLOOKUP(D907,A:A,1,FALSE())),ISNA(VLOOKUP(D907,BaseType!A:A,1,FALSE())),D907&lt;&gt;"Struct"),"N","Y")</f>
        <v>Y</v>
      </c>
      <c r="G907" s="146"/>
      <c r="H907" s="141"/>
      <c r="I907" s="141"/>
      <c r="J907" s="141"/>
      <c r="K907" s="141"/>
      <c r="L907" s="141"/>
      <c r="M907" s="141"/>
      <c r="N907" s="140"/>
      <c r="O907" s="140"/>
      <c r="P907" s="140"/>
      <c r="Q907" s="140"/>
      <c r="R907" s="140"/>
      <c r="S907" s="140"/>
      <c r="T907" s="140"/>
    </row>
    <row r="908" spans="1:20" ht="15" customHeight="1" x14ac:dyDescent="0.2">
      <c r="A908" s="141"/>
      <c r="B908" s="143" t="str">
        <f>IF(ISBLANK(A908),"",IF(AND(ISNA(VLOOKUP(A908,Interface_Platform!E:E,1,FALSE())),ISNA(VLOOKUP(A908,D:D,1,FALSE()))),"N","Y"))</f>
        <v/>
      </c>
      <c r="C908" s="143" t="s">
        <v>1672</v>
      </c>
      <c r="D908" s="143" t="s">
        <v>225</v>
      </c>
      <c r="E908" s="142">
        <v>1</v>
      </c>
      <c r="F908" s="144" t="str">
        <f>IF(AND(ISNA(VLOOKUP(D908,A:A,1,FALSE())),ISNA(VLOOKUP(D908,BaseType!A:A,1,FALSE())),D908&lt;&gt;"Struct"),"N","Y")</f>
        <v>Y</v>
      </c>
      <c r="G908" s="146"/>
      <c r="H908" s="141"/>
      <c r="I908" s="141"/>
      <c r="J908" s="141"/>
      <c r="K908" s="141"/>
      <c r="L908" s="141"/>
      <c r="M908" s="141"/>
      <c r="N908" s="140"/>
      <c r="O908" s="140"/>
      <c r="P908" s="140"/>
      <c r="Q908" s="140"/>
      <c r="R908" s="140"/>
      <c r="S908" s="140"/>
      <c r="T908" s="140"/>
    </row>
    <row r="909" spans="1:20" ht="15" customHeight="1" x14ac:dyDescent="0.2">
      <c r="A909" s="141"/>
      <c r="B909" s="143" t="str">
        <f>IF(ISBLANK(A909),"",IF(AND(ISNA(VLOOKUP(A909,Interface_Platform!E:E,1,FALSE())),ISNA(VLOOKUP(A909,D:D,1,FALSE()))),"N","Y"))</f>
        <v/>
      </c>
      <c r="C909" s="143" t="s">
        <v>1673</v>
      </c>
      <c r="D909" s="143" t="s">
        <v>225</v>
      </c>
      <c r="E909" s="142">
        <v>1</v>
      </c>
      <c r="F909" s="144" t="str">
        <f>IF(AND(ISNA(VLOOKUP(D909,A:A,1,FALSE())),ISNA(VLOOKUP(D909,BaseType!A:A,1,FALSE())),D909&lt;&gt;"Struct"),"N","Y")</f>
        <v>Y</v>
      </c>
      <c r="G909" s="146"/>
      <c r="H909" s="141"/>
      <c r="I909" s="141"/>
      <c r="J909" s="141"/>
      <c r="K909" s="141"/>
      <c r="L909" s="141"/>
      <c r="M909" s="141"/>
      <c r="N909" s="140"/>
      <c r="O909" s="140"/>
      <c r="P909" s="140"/>
      <c r="Q909" s="140"/>
      <c r="R909" s="140"/>
      <c r="S909" s="140"/>
      <c r="T909" s="140"/>
    </row>
    <row r="910" spans="1:20" ht="15" customHeight="1" x14ac:dyDescent="0.2">
      <c r="A910" s="141"/>
      <c r="B910" s="143" t="str">
        <f>IF(ISBLANK(A910),"",IF(AND(ISNA(VLOOKUP(A910,Interface_Platform!E:E,1,FALSE())),ISNA(VLOOKUP(A910,D:D,1,FALSE()))),"N","Y"))</f>
        <v/>
      </c>
      <c r="C910" s="143" t="s">
        <v>1674</v>
      </c>
      <c r="D910" s="143" t="s">
        <v>225</v>
      </c>
      <c r="E910" s="142">
        <v>1</v>
      </c>
      <c r="F910" s="144" t="str">
        <f>IF(AND(ISNA(VLOOKUP(D910,A:A,1,FALSE())),ISNA(VLOOKUP(D910,BaseType!A:A,1,FALSE())),D910&lt;&gt;"Struct"),"N","Y")</f>
        <v>Y</v>
      </c>
      <c r="G910" s="146"/>
      <c r="H910" s="141"/>
      <c r="I910" s="141"/>
      <c r="J910" s="141"/>
      <c r="K910" s="141"/>
      <c r="L910" s="141"/>
      <c r="M910" s="141"/>
      <c r="N910" s="140"/>
      <c r="O910" s="140"/>
      <c r="P910" s="140"/>
      <c r="Q910" s="140"/>
      <c r="R910" s="140"/>
      <c r="S910" s="140"/>
      <c r="T910" s="140"/>
    </row>
    <row r="911" spans="1:20" ht="15" customHeight="1" x14ac:dyDescent="0.2">
      <c r="A911" s="141"/>
      <c r="B911" s="143" t="str">
        <f>IF(ISBLANK(A911),"",IF(AND(ISNA(VLOOKUP(A911,Interface_Platform!E:E,1,FALSE())),ISNA(VLOOKUP(A911,D:D,1,FALSE()))),"N","Y"))</f>
        <v/>
      </c>
      <c r="C911" s="143" t="s">
        <v>1675</v>
      </c>
      <c r="D911" s="143" t="s">
        <v>225</v>
      </c>
      <c r="E911" s="142">
        <v>1</v>
      </c>
      <c r="F911" s="144" t="str">
        <f>IF(AND(ISNA(VLOOKUP(D911,A:A,1,FALSE())),ISNA(VLOOKUP(D911,BaseType!A:A,1,FALSE())),D911&lt;&gt;"Struct"),"N","Y")</f>
        <v>Y</v>
      </c>
      <c r="G911" s="146"/>
      <c r="H911" s="141"/>
      <c r="I911" s="141"/>
      <c r="J911" s="141"/>
      <c r="K911" s="141"/>
      <c r="L911" s="141"/>
      <c r="M911" s="141"/>
      <c r="N911" s="140"/>
      <c r="O911" s="140"/>
      <c r="P911" s="140"/>
      <c r="Q911" s="140"/>
      <c r="R911" s="140"/>
      <c r="S911" s="140"/>
      <c r="T911" s="140"/>
    </row>
    <row r="912" spans="1:20" ht="15" customHeight="1" x14ac:dyDescent="0.2">
      <c r="A912" s="141"/>
      <c r="B912" s="143" t="str">
        <f>IF(ISBLANK(A912),"",IF(AND(ISNA(VLOOKUP(A912,Interface_Platform!E:E,1,FALSE())),ISNA(VLOOKUP(A912,D:D,1,FALSE()))),"N","Y"))</f>
        <v/>
      </c>
      <c r="C912" s="143" t="s">
        <v>1676</v>
      </c>
      <c r="D912" s="143" t="s">
        <v>225</v>
      </c>
      <c r="E912" s="142">
        <v>1</v>
      </c>
      <c r="F912" s="144" t="str">
        <f>IF(AND(ISNA(VLOOKUP(D912,A:A,1,FALSE())),ISNA(VLOOKUP(D912,BaseType!A:A,1,FALSE())),D912&lt;&gt;"Struct"),"N","Y")</f>
        <v>Y</v>
      </c>
      <c r="G912" s="146"/>
      <c r="H912" s="141"/>
      <c r="I912" s="141"/>
      <c r="J912" s="141"/>
      <c r="K912" s="141"/>
      <c r="L912" s="141"/>
      <c r="M912" s="141"/>
      <c r="N912" s="140"/>
      <c r="O912" s="140"/>
      <c r="P912" s="140"/>
      <c r="Q912" s="140"/>
      <c r="R912" s="140"/>
      <c r="S912" s="140"/>
      <c r="T912" s="140"/>
    </row>
    <row r="913" spans="1:20" ht="15" customHeight="1" x14ac:dyDescent="0.2">
      <c r="A913" s="141"/>
      <c r="B913" s="143" t="str">
        <f>IF(ISBLANK(A913),"",IF(AND(ISNA(VLOOKUP(A913,Interface_Platform!E:E,1,FALSE())),ISNA(VLOOKUP(A913,D:D,1,FALSE()))),"N","Y"))</f>
        <v/>
      </c>
      <c r="C913" s="143" t="s">
        <v>1677</v>
      </c>
      <c r="D913" s="143" t="s">
        <v>225</v>
      </c>
      <c r="E913" s="142">
        <v>1</v>
      </c>
      <c r="F913" s="144" t="str">
        <f>IF(AND(ISNA(VLOOKUP(D913,A:A,1,FALSE())),ISNA(VLOOKUP(D913,BaseType!A:A,1,FALSE())),D913&lt;&gt;"Struct"),"N","Y")</f>
        <v>Y</v>
      </c>
      <c r="G913" s="146"/>
      <c r="H913" s="141"/>
      <c r="I913" s="141"/>
      <c r="J913" s="141"/>
      <c r="K913" s="141"/>
      <c r="L913" s="141"/>
      <c r="M913" s="141"/>
      <c r="N913" s="140"/>
      <c r="O913" s="140"/>
      <c r="P913" s="140"/>
      <c r="Q913" s="140"/>
      <c r="R913" s="140"/>
      <c r="S913" s="140"/>
      <c r="T913" s="140"/>
    </row>
    <row r="914" spans="1:20" ht="15" customHeight="1" x14ac:dyDescent="0.2">
      <c r="A914" s="141"/>
      <c r="B914" s="143" t="str">
        <f>IF(ISBLANK(A914),"",IF(AND(ISNA(VLOOKUP(A914,Interface_Platform!E:E,1,FALSE())),ISNA(VLOOKUP(A914,D:D,1,FALSE()))),"N","Y"))</f>
        <v/>
      </c>
      <c r="C914" s="143" t="s">
        <v>1678</v>
      </c>
      <c r="D914" s="143" t="s">
        <v>225</v>
      </c>
      <c r="E914" s="142">
        <v>1</v>
      </c>
      <c r="F914" s="144" t="str">
        <f>IF(AND(ISNA(VLOOKUP(D914,A:A,1,FALSE())),ISNA(VLOOKUP(D914,BaseType!A:A,1,FALSE())),D914&lt;&gt;"Struct"),"N","Y")</f>
        <v>Y</v>
      </c>
      <c r="G914" s="146"/>
      <c r="H914" s="141"/>
      <c r="I914" s="141"/>
      <c r="J914" s="141"/>
      <c r="K914" s="141"/>
      <c r="L914" s="141"/>
      <c r="M914" s="141"/>
      <c r="N914" s="140"/>
      <c r="O914" s="140"/>
      <c r="P914" s="140"/>
      <c r="Q914" s="140"/>
      <c r="R914" s="140"/>
      <c r="S914" s="140"/>
      <c r="T914" s="140"/>
    </row>
    <row r="915" spans="1:20" ht="15" customHeight="1" x14ac:dyDescent="0.2">
      <c r="A915" s="141"/>
      <c r="B915" s="143" t="str">
        <f>IF(ISBLANK(A915),"",IF(AND(ISNA(VLOOKUP(A915,Interface_Platform!E:E,1,FALSE())),ISNA(VLOOKUP(A915,D:D,1,FALSE()))),"N","Y"))</f>
        <v/>
      </c>
      <c r="C915" s="143" t="s">
        <v>1679</v>
      </c>
      <c r="D915" s="143" t="s">
        <v>225</v>
      </c>
      <c r="E915" s="142">
        <v>1</v>
      </c>
      <c r="F915" s="144" t="str">
        <f>IF(AND(ISNA(VLOOKUP(D915,A:A,1,FALSE())),ISNA(VLOOKUP(D915,BaseType!A:A,1,FALSE())),D915&lt;&gt;"Struct"),"N","Y")</f>
        <v>Y</v>
      </c>
      <c r="G915" s="146"/>
      <c r="H915" s="141"/>
      <c r="I915" s="141"/>
      <c r="J915" s="141"/>
      <c r="K915" s="141"/>
      <c r="L915" s="141"/>
      <c r="M915" s="141"/>
      <c r="N915" s="140"/>
      <c r="O915" s="140"/>
      <c r="P915" s="140"/>
      <c r="Q915" s="140"/>
      <c r="R915" s="140"/>
      <c r="S915" s="140"/>
      <c r="T915" s="140"/>
    </row>
    <row r="916" spans="1:20" ht="15" customHeight="1" x14ac:dyDescent="0.2">
      <c r="A916" s="141"/>
      <c r="B916" s="143" t="str">
        <f>IF(ISBLANK(A916),"",IF(AND(ISNA(VLOOKUP(A916,Interface_Platform!E:E,1,FALSE())),ISNA(VLOOKUP(A916,D:D,1,FALSE()))),"N","Y"))</f>
        <v/>
      </c>
      <c r="C916" s="143" t="s">
        <v>1680</v>
      </c>
      <c r="D916" s="143" t="s">
        <v>225</v>
      </c>
      <c r="E916" s="142">
        <v>1</v>
      </c>
      <c r="F916" s="144" t="str">
        <f>IF(AND(ISNA(VLOOKUP(D916,A:A,1,FALSE())),ISNA(VLOOKUP(D916,BaseType!A:A,1,FALSE())),D916&lt;&gt;"Struct"),"N","Y")</f>
        <v>Y</v>
      </c>
      <c r="G916" s="146"/>
      <c r="H916" s="141"/>
      <c r="I916" s="141"/>
      <c r="J916" s="141"/>
      <c r="K916" s="141"/>
      <c r="L916" s="141"/>
      <c r="M916" s="141"/>
      <c r="N916" s="140"/>
      <c r="O916" s="140"/>
      <c r="P916" s="140"/>
      <c r="Q916" s="140"/>
      <c r="R916" s="140"/>
      <c r="S916" s="140"/>
      <c r="T916" s="140"/>
    </row>
    <row r="917" spans="1:20" ht="15" customHeight="1" x14ac:dyDescent="0.2">
      <c r="A917" s="141"/>
      <c r="B917" s="143" t="str">
        <f>IF(ISBLANK(A917),"",IF(AND(ISNA(VLOOKUP(A917,Interface_Platform!E:E,1,FALSE())),ISNA(VLOOKUP(A917,D:D,1,FALSE()))),"N","Y"))</f>
        <v/>
      </c>
      <c r="C917" s="143" t="s">
        <v>1681</v>
      </c>
      <c r="D917" s="143" t="s">
        <v>225</v>
      </c>
      <c r="E917" s="142">
        <v>1</v>
      </c>
      <c r="F917" s="144" t="str">
        <f>IF(AND(ISNA(VLOOKUP(D917,A:A,1,FALSE())),ISNA(VLOOKUP(D917,BaseType!A:A,1,FALSE())),D917&lt;&gt;"Struct"),"N","Y")</f>
        <v>Y</v>
      </c>
      <c r="G917" s="146"/>
      <c r="H917" s="141"/>
      <c r="I917" s="141"/>
      <c r="J917" s="141"/>
      <c r="K917" s="141"/>
      <c r="L917" s="141"/>
      <c r="M917" s="141"/>
      <c r="N917" s="140"/>
      <c r="O917" s="140"/>
      <c r="P917" s="140"/>
      <c r="Q917" s="140"/>
      <c r="R917" s="140"/>
      <c r="S917" s="140"/>
      <c r="T917" s="140"/>
    </row>
    <row r="918" spans="1:20" ht="15" customHeight="1" x14ac:dyDescent="0.2">
      <c r="A918" s="143" t="s">
        <v>1689</v>
      </c>
      <c r="B918" s="143" t="str">
        <f>IF(ISBLANK(A918),"",IF(AND(ISNA(VLOOKUP(A918,Interface_Platform!E:E,1,FALSE())),ISNA(VLOOKUP(A918,D:D,1,FALSE()))),"N","Y"))</f>
        <v>Y</v>
      </c>
      <c r="C918" s="75"/>
      <c r="D918" s="143" t="s">
        <v>484</v>
      </c>
      <c r="E918" s="40"/>
      <c r="F918" s="144" t="str">
        <f>IF(AND(ISNA(VLOOKUP(D918,A:A,1,FALSE())),ISNA(VLOOKUP(D918,BaseType!A:A,1,FALSE())),D918&lt;&gt;"Struct"),"N","Y")</f>
        <v>Y</v>
      </c>
      <c r="G918" s="146"/>
      <c r="H918" s="141"/>
      <c r="I918" s="141"/>
      <c r="J918" s="141"/>
      <c r="K918" s="141"/>
      <c r="L918" s="141"/>
      <c r="M918" s="141"/>
      <c r="N918" s="140"/>
      <c r="O918" s="140"/>
      <c r="P918" s="140"/>
      <c r="Q918" s="140"/>
      <c r="R918" s="140"/>
      <c r="S918" s="140"/>
      <c r="T918" s="140"/>
    </row>
    <row r="919" spans="1:20" ht="15" customHeight="1" x14ac:dyDescent="0.2">
      <c r="A919" s="141"/>
      <c r="B919" s="143" t="str">
        <f>IF(ISBLANK(A919),"",IF(AND(ISNA(VLOOKUP(A919,Interface_Platform!E:E,1,FALSE())),ISNA(VLOOKUP(A919,D:D,1,FALSE()))),"N","Y"))</f>
        <v/>
      </c>
      <c r="C919" s="143" t="s">
        <v>1658</v>
      </c>
      <c r="D919" s="143" t="s">
        <v>193</v>
      </c>
      <c r="E919" s="142">
        <v>1</v>
      </c>
      <c r="F919" s="144" t="str">
        <f>IF(AND(ISNA(VLOOKUP(D919,A:A,1,FALSE())),ISNA(VLOOKUP(D919,BaseType!A:A,1,FALSE())),D919&lt;&gt;"Struct"),"N","Y")</f>
        <v>Y</v>
      </c>
      <c r="G919" s="146" t="s">
        <v>1206</v>
      </c>
      <c r="H919" s="141"/>
      <c r="I919" s="141"/>
      <c r="J919" s="141"/>
      <c r="K919" s="141"/>
      <c r="L919" s="141"/>
      <c r="M919" s="141"/>
      <c r="N919" s="140"/>
      <c r="O919" s="140"/>
      <c r="P919" s="140"/>
      <c r="Q919" s="140"/>
      <c r="R919" s="140"/>
      <c r="S919" s="140"/>
      <c r="T919" s="140"/>
    </row>
    <row r="920" spans="1:20" ht="15" customHeight="1" x14ac:dyDescent="0.2">
      <c r="A920" s="141"/>
      <c r="B920" s="143" t="str">
        <f>IF(ISBLANK(A920),"",IF(AND(ISNA(VLOOKUP(A920,Interface_Platform!E:E,1,FALSE())),ISNA(VLOOKUP(A920,D:D,1,FALSE()))),"N","Y"))</f>
        <v/>
      </c>
      <c r="C920" s="143" t="s">
        <v>1659</v>
      </c>
      <c r="D920" s="143" t="s">
        <v>193</v>
      </c>
      <c r="E920" s="142">
        <v>1</v>
      </c>
      <c r="F920" s="144" t="str">
        <f>IF(AND(ISNA(VLOOKUP(D920,A:A,1,FALSE())),ISNA(VLOOKUP(D920,BaseType!A:A,1,FALSE())),D920&lt;&gt;"Struct"),"N","Y")</f>
        <v>Y</v>
      </c>
      <c r="G920" s="147" t="s">
        <v>1683</v>
      </c>
      <c r="H920" s="141"/>
      <c r="I920" s="141"/>
      <c r="J920" s="141"/>
      <c r="K920" s="141"/>
      <c r="L920" s="141"/>
      <c r="M920" s="141"/>
      <c r="N920" s="140"/>
      <c r="O920" s="140"/>
      <c r="P920" s="140"/>
      <c r="Q920" s="140"/>
      <c r="R920" s="140"/>
      <c r="S920" s="140"/>
      <c r="T920" s="140"/>
    </row>
    <row r="921" spans="1:20" ht="15" customHeight="1" x14ac:dyDescent="0.2">
      <c r="A921" s="141"/>
      <c r="B921" s="143" t="str">
        <f>IF(ISBLANK(A921),"",IF(AND(ISNA(VLOOKUP(A921,Interface_Platform!E:E,1,FALSE())),ISNA(VLOOKUP(A921,D:D,1,FALSE()))),"N","Y"))</f>
        <v/>
      </c>
      <c r="C921" s="143" t="s">
        <v>1661</v>
      </c>
      <c r="D921" s="143" t="s">
        <v>193</v>
      </c>
      <c r="E921" s="142">
        <v>1</v>
      </c>
      <c r="F921" s="144" t="str">
        <f>IF(AND(ISNA(VLOOKUP(D921,A:A,1,FALSE())),ISNA(VLOOKUP(D921,BaseType!A:A,1,FALSE())),D921&lt;&gt;"Struct"),"N","Y")</f>
        <v>Y</v>
      </c>
      <c r="G921" s="147" t="s">
        <v>1690</v>
      </c>
      <c r="H921" s="141"/>
      <c r="I921" s="141"/>
      <c r="J921" s="141"/>
      <c r="K921" s="141"/>
      <c r="L921" s="141"/>
      <c r="M921" s="141"/>
      <c r="N921" s="140"/>
      <c r="O921" s="140"/>
      <c r="P921" s="140"/>
      <c r="Q921" s="140"/>
      <c r="R921" s="140"/>
      <c r="S921" s="140"/>
      <c r="T921" s="140"/>
    </row>
    <row r="922" spans="1:20" ht="15" customHeight="1" x14ac:dyDescent="0.2">
      <c r="A922" s="141"/>
      <c r="B922" s="143" t="str">
        <f>IF(ISBLANK(A922),"",IF(AND(ISNA(VLOOKUP(A922,Interface_Platform!E:E,1,FALSE())),ISNA(VLOOKUP(A922,D:D,1,FALSE()))),"N","Y"))</f>
        <v/>
      </c>
      <c r="C922" s="143" t="s">
        <v>1662</v>
      </c>
      <c r="D922" s="143" t="s">
        <v>193</v>
      </c>
      <c r="E922" s="142">
        <v>1</v>
      </c>
      <c r="F922" s="144" t="str">
        <f>IF(AND(ISNA(VLOOKUP(D922,A:A,1,FALSE())),ISNA(VLOOKUP(D922,BaseType!A:A,1,FALSE())),D922&lt;&gt;"Struct"),"N","Y")</f>
        <v>Y</v>
      </c>
      <c r="G922" s="147" t="s">
        <v>1196</v>
      </c>
      <c r="H922" s="141"/>
      <c r="I922" s="141"/>
      <c r="J922" s="141"/>
      <c r="K922" s="141"/>
      <c r="L922" s="141"/>
      <c r="M922" s="141"/>
      <c r="N922" s="140"/>
      <c r="O922" s="140"/>
      <c r="P922" s="140"/>
      <c r="Q922" s="140"/>
      <c r="R922" s="140"/>
      <c r="S922" s="140"/>
      <c r="T922" s="140"/>
    </row>
    <row r="923" spans="1:20" ht="15" customHeight="1" x14ac:dyDescent="0.2">
      <c r="A923" s="141"/>
      <c r="B923" s="143" t="str">
        <f>IF(ISBLANK(A923),"",IF(AND(ISNA(VLOOKUP(A923,Interface_Platform!E:E,1,FALSE())),ISNA(VLOOKUP(A923,D:D,1,FALSE()))),"N","Y"))</f>
        <v/>
      </c>
      <c r="C923" s="143" t="s">
        <v>1663</v>
      </c>
      <c r="D923" s="143" t="s">
        <v>193</v>
      </c>
      <c r="E923" s="142">
        <v>1</v>
      </c>
      <c r="F923" s="144" t="str">
        <f>IF(AND(ISNA(VLOOKUP(D923,A:A,1,FALSE())),ISNA(VLOOKUP(D923,BaseType!A:A,1,FALSE())),D923&lt;&gt;"Struct"),"N","Y")</f>
        <v>Y</v>
      </c>
      <c r="G923" s="147" t="s">
        <v>1647</v>
      </c>
      <c r="H923" s="141"/>
      <c r="I923" s="141"/>
      <c r="J923" s="141"/>
      <c r="K923" s="141"/>
      <c r="L923" s="141"/>
      <c r="M923" s="141"/>
      <c r="N923" s="140"/>
      <c r="O923" s="140"/>
      <c r="P923" s="140"/>
      <c r="Q923" s="140"/>
      <c r="R923" s="140"/>
      <c r="S923" s="140"/>
      <c r="T923" s="140"/>
    </row>
    <row r="924" spans="1:20" ht="15" customHeight="1" x14ac:dyDescent="0.2">
      <c r="A924" s="141"/>
      <c r="B924" s="143" t="str">
        <f>IF(ISBLANK(A924),"",IF(AND(ISNA(VLOOKUP(A924,Interface_Platform!E:E,1,FALSE())),ISNA(VLOOKUP(A924,D:D,1,FALSE()))),"N","Y"))</f>
        <v/>
      </c>
      <c r="C924" s="143" t="s">
        <v>1664</v>
      </c>
      <c r="D924" s="143" t="s">
        <v>193</v>
      </c>
      <c r="E924" s="142">
        <v>1</v>
      </c>
      <c r="F924" s="144" t="str">
        <f>IF(AND(ISNA(VLOOKUP(D924,A:A,1,FALSE())),ISNA(VLOOKUP(D924,BaseType!A:A,1,FALSE())),D924&lt;&gt;"Struct"),"N","Y")</f>
        <v>Y</v>
      </c>
      <c r="G924" s="147" t="s">
        <v>1687</v>
      </c>
      <c r="H924" s="141"/>
      <c r="I924" s="141"/>
      <c r="J924" s="141"/>
      <c r="K924" s="141"/>
      <c r="L924" s="141"/>
      <c r="M924" s="141"/>
      <c r="N924" s="140"/>
      <c r="O924" s="140"/>
      <c r="P924" s="140"/>
      <c r="Q924" s="140"/>
      <c r="R924" s="140"/>
      <c r="S924" s="140"/>
      <c r="T924" s="140"/>
    </row>
    <row r="925" spans="1:20" ht="15" customHeight="1" x14ac:dyDescent="0.2">
      <c r="A925" s="141"/>
      <c r="B925" s="143" t="str">
        <f>IF(ISBLANK(A925),"",IF(AND(ISNA(VLOOKUP(A925,Interface_Platform!E:E,1,FALSE())),ISNA(VLOOKUP(A925,D:D,1,FALSE()))),"N","Y"))</f>
        <v/>
      </c>
      <c r="C925" s="143" t="s">
        <v>1665</v>
      </c>
      <c r="D925" s="143" t="s">
        <v>193</v>
      </c>
      <c r="E925" s="142">
        <v>1</v>
      </c>
      <c r="F925" s="144" t="str">
        <f>IF(AND(ISNA(VLOOKUP(D925,A:A,1,FALSE())),ISNA(VLOOKUP(D925,BaseType!A:A,1,FALSE())),D925&lt;&gt;"Struct"),"N","Y")</f>
        <v>Y</v>
      </c>
      <c r="G925" s="147" t="s">
        <v>1691</v>
      </c>
      <c r="H925" s="141"/>
      <c r="I925" s="141"/>
      <c r="J925" s="141"/>
      <c r="K925" s="141"/>
      <c r="L925" s="141"/>
      <c r="M925" s="141"/>
      <c r="N925" s="140"/>
      <c r="O925" s="140"/>
      <c r="P925" s="140"/>
      <c r="Q925" s="140"/>
      <c r="R925" s="140"/>
      <c r="S925" s="140"/>
      <c r="T925" s="140"/>
    </row>
    <row r="926" spans="1:20" ht="15" customHeight="1" x14ac:dyDescent="0.2">
      <c r="A926" s="141"/>
      <c r="B926" s="143" t="str">
        <f>IF(ISBLANK(A926),"",IF(AND(ISNA(VLOOKUP(A926,Interface_Platform!E:E,1,FALSE())),ISNA(VLOOKUP(A926,D:D,1,FALSE()))),"N","Y"))</f>
        <v/>
      </c>
      <c r="C926" s="143" t="s">
        <v>1666</v>
      </c>
      <c r="D926" s="143" t="s">
        <v>193</v>
      </c>
      <c r="E926" s="142">
        <v>1</v>
      </c>
      <c r="F926" s="144" t="str">
        <f>IF(AND(ISNA(VLOOKUP(D926,A:A,1,FALSE())),ISNA(VLOOKUP(D926,BaseType!A:A,1,FALSE())),D926&lt;&gt;"Struct"),"N","Y")</f>
        <v>Y</v>
      </c>
      <c r="G926" s="147" t="s">
        <v>1691</v>
      </c>
      <c r="H926" s="141"/>
      <c r="I926" s="141"/>
      <c r="J926" s="141"/>
      <c r="K926" s="141"/>
      <c r="L926" s="141"/>
      <c r="M926" s="141"/>
      <c r="N926" s="140"/>
      <c r="O926" s="140"/>
      <c r="P926" s="140"/>
      <c r="Q926" s="140"/>
      <c r="R926" s="140"/>
      <c r="S926" s="140"/>
      <c r="T926" s="140"/>
    </row>
    <row r="927" spans="1:20" ht="15" customHeight="1" x14ac:dyDescent="0.2">
      <c r="A927" s="141"/>
      <c r="B927" s="143" t="str">
        <f>IF(ISBLANK(A927),"",IF(AND(ISNA(VLOOKUP(A927,Interface_Platform!E:E,1,FALSE())),ISNA(VLOOKUP(A927,D:D,1,FALSE()))),"N","Y"))</f>
        <v/>
      </c>
      <c r="C927" s="143" t="s">
        <v>1667</v>
      </c>
      <c r="D927" s="143" t="s">
        <v>193</v>
      </c>
      <c r="E927" s="142">
        <v>1</v>
      </c>
      <c r="F927" s="144" t="str">
        <f>IF(AND(ISNA(VLOOKUP(D927,A:A,1,FALSE())),ISNA(VLOOKUP(D927,BaseType!A:A,1,FALSE())),D927&lt;&gt;"Struct"),"N","Y")</f>
        <v>Y</v>
      </c>
      <c r="G927" s="146" t="s">
        <v>1206</v>
      </c>
      <c r="H927" s="141"/>
      <c r="I927" s="141"/>
      <c r="J927" s="141"/>
      <c r="K927" s="141"/>
      <c r="L927" s="141"/>
      <c r="M927" s="141"/>
      <c r="N927" s="140"/>
      <c r="O927" s="140"/>
      <c r="P927" s="140"/>
      <c r="Q927" s="140"/>
      <c r="R927" s="140"/>
      <c r="S927" s="140"/>
      <c r="T927" s="140"/>
    </row>
    <row r="928" spans="1:20" ht="15" customHeight="1" x14ac:dyDescent="0.2">
      <c r="A928" s="141"/>
      <c r="B928" s="143" t="str">
        <f>IF(ISBLANK(A928),"",IF(AND(ISNA(VLOOKUP(A928,Interface_Platform!E:E,1,FALSE())),ISNA(VLOOKUP(A928,D:D,1,FALSE()))),"N","Y"))</f>
        <v/>
      </c>
      <c r="C928" s="143" t="s">
        <v>1669</v>
      </c>
      <c r="D928" s="143" t="s">
        <v>764</v>
      </c>
      <c r="E928" s="142">
        <v>1</v>
      </c>
      <c r="F928" s="144" t="str">
        <f>IF(AND(ISNA(VLOOKUP(D928,A:A,1,FALSE())),ISNA(VLOOKUP(D928,BaseType!A:A,1,FALSE())),D928&lt;&gt;"Struct"),"N","Y")</f>
        <v>Y</v>
      </c>
      <c r="G928" s="146"/>
      <c r="H928" s="141"/>
      <c r="I928" s="141"/>
      <c r="J928" s="141"/>
      <c r="K928" s="141"/>
      <c r="L928" s="141"/>
      <c r="M928" s="141"/>
      <c r="N928" s="140"/>
      <c r="O928" s="140"/>
      <c r="P928" s="140"/>
      <c r="Q928" s="140"/>
      <c r="R928" s="140"/>
      <c r="S928" s="140"/>
      <c r="T928" s="140"/>
    </row>
    <row r="929" spans="1:20" ht="15" customHeight="1" x14ac:dyDescent="0.2">
      <c r="A929" s="141"/>
      <c r="B929" s="143" t="str">
        <f>IF(ISBLANK(A929),"",IF(AND(ISNA(VLOOKUP(A929,Interface_Platform!E:E,1,FALSE())),ISNA(VLOOKUP(A929,D:D,1,FALSE()))),"N","Y"))</f>
        <v/>
      </c>
      <c r="C929" s="143" t="s">
        <v>1670</v>
      </c>
      <c r="D929" s="143" t="s">
        <v>225</v>
      </c>
      <c r="E929" s="142">
        <v>1</v>
      </c>
      <c r="F929" s="144" t="str">
        <f>IF(AND(ISNA(VLOOKUP(D929,A:A,1,FALSE())),ISNA(VLOOKUP(D929,BaseType!A:A,1,FALSE())),D929&lt;&gt;"Struct"),"N","Y")</f>
        <v>Y</v>
      </c>
      <c r="G929" s="146"/>
      <c r="H929" s="141"/>
      <c r="I929" s="141"/>
      <c r="J929" s="141"/>
      <c r="K929" s="141"/>
      <c r="L929" s="141"/>
      <c r="M929" s="141"/>
      <c r="N929" s="140"/>
      <c r="O929" s="140"/>
      <c r="P929" s="140"/>
      <c r="Q929" s="140"/>
      <c r="R929" s="140"/>
      <c r="S929" s="140"/>
      <c r="T929" s="140"/>
    </row>
    <row r="930" spans="1:20" ht="15" customHeight="1" x14ac:dyDescent="0.2">
      <c r="A930" s="141"/>
      <c r="B930" s="143" t="str">
        <f>IF(ISBLANK(A930),"",IF(AND(ISNA(VLOOKUP(A930,Interface_Platform!E:E,1,FALSE())),ISNA(VLOOKUP(A930,D:D,1,FALSE()))),"N","Y"))</f>
        <v/>
      </c>
      <c r="C930" s="143" t="s">
        <v>1671</v>
      </c>
      <c r="D930" s="143" t="s">
        <v>225</v>
      </c>
      <c r="E930" s="142">
        <v>1</v>
      </c>
      <c r="F930" s="144" t="str">
        <f>IF(AND(ISNA(VLOOKUP(D930,A:A,1,FALSE())),ISNA(VLOOKUP(D930,BaseType!A:A,1,FALSE())),D930&lt;&gt;"Struct"),"N","Y")</f>
        <v>Y</v>
      </c>
      <c r="G930" s="146"/>
      <c r="H930" s="141"/>
      <c r="I930" s="141"/>
      <c r="J930" s="141"/>
      <c r="K930" s="141"/>
      <c r="L930" s="141"/>
      <c r="M930" s="141"/>
      <c r="N930" s="140"/>
      <c r="O930" s="140"/>
      <c r="P930" s="140"/>
      <c r="Q930" s="140"/>
      <c r="R930" s="140"/>
      <c r="S930" s="140"/>
      <c r="T930" s="140"/>
    </row>
    <row r="931" spans="1:20" ht="15" customHeight="1" x14ac:dyDescent="0.2">
      <c r="A931" s="141"/>
      <c r="B931" s="143" t="str">
        <f>IF(ISBLANK(A931),"",IF(AND(ISNA(VLOOKUP(A931,Interface_Platform!E:E,1,FALSE())),ISNA(VLOOKUP(A931,D:D,1,FALSE()))),"N","Y"))</f>
        <v/>
      </c>
      <c r="C931" s="143" t="s">
        <v>1672</v>
      </c>
      <c r="D931" s="143" t="s">
        <v>225</v>
      </c>
      <c r="E931" s="142">
        <v>1</v>
      </c>
      <c r="F931" s="144" t="str">
        <f>IF(AND(ISNA(VLOOKUP(D931,A:A,1,FALSE())),ISNA(VLOOKUP(D931,BaseType!A:A,1,FALSE())),D931&lt;&gt;"Struct"),"N","Y")</f>
        <v>Y</v>
      </c>
      <c r="G931" s="146"/>
      <c r="H931" s="141"/>
      <c r="I931" s="141"/>
      <c r="J931" s="141"/>
      <c r="K931" s="141"/>
      <c r="L931" s="141"/>
      <c r="M931" s="141"/>
      <c r="N931" s="140"/>
      <c r="O931" s="140"/>
      <c r="P931" s="140"/>
      <c r="Q931" s="140"/>
      <c r="R931" s="140"/>
      <c r="S931" s="140"/>
      <c r="T931" s="140"/>
    </row>
    <row r="932" spans="1:20" ht="15" customHeight="1" x14ac:dyDescent="0.2">
      <c r="A932" s="141"/>
      <c r="B932" s="143" t="str">
        <f>IF(ISBLANK(A932),"",IF(AND(ISNA(VLOOKUP(A932,Interface_Platform!E:E,1,FALSE())),ISNA(VLOOKUP(A932,D:D,1,FALSE()))),"N","Y"))</f>
        <v/>
      </c>
      <c r="C932" s="143" t="s">
        <v>1673</v>
      </c>
      <c r="D932" s="143" t="s">
        <v>225</v>
      </c>
      <c r="E932" s="142">
        <v>1</v>
      </c>
      <c r="F932" s="144" t="str">
        <f>IF(AND(ISNA(VLOOKUP(D932,A:A,1,FALSE())),ISNA(VLOOKUP(D932,BaseType!A:A,1,FALSE())),D932&lt;&gt;"Struct"),"N","Y")</f>
        <v>Y</v>
      </c>
      <c r="G932" s="146"/>
      <c r="H932" s="141"/>
      <c r="I932" s="141"/>
      <c r="J932" s="141"/>
      <c r="K932" s="141"/>
      <c r="L932" s="141"/>
      <c r="M932" s="141"/>
      <c r="N932" s="140"/>
      <c r="O932" s="140"/>
      <c r="P932" s="140"/>
      <c r="Q932" s="140"/>
      <c r="R932" s="140"/>
      <c r="S932" s="140"/>
      <c r="T932" s="140"/>
    </row>
    <row r="933" spans="1:20" ht="15" customHeight="1" x14ac:dyDescent="0.2">
      <c r="A933" s="141"/>
      <c r="B933" s="143" t="str">
        <f>IF(ISBLANK(A933),"",IF(AND(ISNA(VLOOKUP(A933,Interface_Platform!E:E,1,FALSE())),ISNA(VLOOKUP(A933,D:D,1,FALSE()))),"N","Y"))</f>
        <v/>
      </c>
      <c r="C933" s="143" t="s">
        <v>1674</v>
      </c>
      <c r="D933" s="143" t="s">
        <v>225</v>
      </c>
      <c r="E933" s="142">
        <v>1</v>
      </c>
      <c r="F933" s="144" t="str">
        <f>IF(AND(ISNA(VLOOKUP(D933,A:A,1,FALSE())),ISNA(VLOOKUP(D933,BaseType!A:A,1,FALSE())),D933&lt;&gt;"Struct"),"N","Y")</f>
        <v>Y</v>
      </c>
      <c r="G933" s="146"/>
      <c r="H933" s="141"/>
      <c r="I933" s="141"/>
      <c r="J933" s="141"/>
      <c r="K933" s="141"/>
      <c r="L933" s="141"/>
      <c r="M933" s="141"/>
      <c r="N933" s="140"/>
      <c r="O933" s="140"/>
      <c r="P933" s="140"/>
      <c r="Q933" s="140"/>
      <c r="R933" s="140"/>
      <c r="S933" s="140"/>
      <c r="T933" s="140"/>
    </row>
    <row r="934" spans="1:20" ht="15" customHeight="1" x14ac:dyDescent="0.2">
      <c r="A934" s="141"/>
      <c r="B934" s="143" t="str">
        <f>IF(ISBLANK(A934),"",IF(AND(ISNA(VLOOKUP(A934,Interface_Platform!E:E,1,FALSE())),ISNA(VLOOKUP(A934,D:D,1,FALSE()))),"N","Y"))</f>
        <v/>
      </c>
      <c r="C934" s="143" t="s">
        <v>1675</v>
      </c>
      <c r="D934" s="143" t="s">
        <v>225</v>
      </c>
      <c r="E934" s="142">
        <v>1</v>
      </c>
      <c r="F934" s="144" t="str">
        <f>IF(AND(ISNA(VLOOKUP(D934,A:A,1,FALSE())),ISNA(VLOOKUP(D934,BaseType!A:A,1,FALSE())),D934&lt;&gt;"Struct"),"N","Y")</f>
        <v>Y</v>
      </c>
      <c r="G934" s="146"/>
      <c r="H934" s="141"/>
      <c r="I934" s="141"/>
      <c r="J934" s="141"/>
      <c r="K934" s="141"/>
      <c r="L934" s="141"/>
      <c r="M934" s="141"/>
      <c r="N934" s="140"/>
      <c r="O934" s="140"/>
      <c r="P934" s="140"/>
      <c r="Q934" s="140"/>
      <c r="R934" s="140"/>
      <c r="S934" s="140"/>
      <c r="T934" s="140"/>
    </row>
    <row r="935" spans="1:20" ht="15" customHeight="1" x14ac:dyDescent="0.2">
      <c r="A935" s="141"/>
      <c r="B935" s="143" t="str">
        <f>IF(ISBLANK(A935),"",IF(AND(ISNA(VLOOKUP(A935,Interface_Platform!E:E,1,FALSE())),ISNA(VLOOKUP(A935,D:D,1,FALSE()))),"N","Y"))</f>
        <v/>
      </c>
      <c r="C935" s="143" t="s">
        <v>1676</v>
      </c>
      <c r="D935" s="143" t="s">
        <v>225</v>
      </c>
      <c r="E935" s="142">
        <v>1</v>
      </c>
      <c r="F935" s="144" t="str">
        <f>IF(AND(ISNA(VLOOKUP(D935,A:A,1,FALSE())),ISNA(VLOOKUP(D935,BaseType!A:A,1,FALSE())),D935&lt;&gt;"Struct"),"N","Y")</f>
        <v>Y</v>
      </c>
      <c r="G935" s="146"/>
      <c r="H935" s="141"/>
      <c r="I935" s="141"/>
      <c r="J935" s="141"/>
      <c r="K935" s="141"/>
      <c r="L935" s="141"/>
      <c r="M935" s="141"/>
      <c r="N935" s="140"/>
      <c r="O935" s="140"/>
      <c r="P935" s="140"/>
      <c r="Q935" s="140"/>
      <c r="R935" s="140"/>
      <c r="S935" s="140"/>
      <c r="T935" s="140"/>
    </row>
    <row r="936" spans="1:20" ht="15" customHeight="1" x14ac:dyDescent="0.2">
      <c r="A936" s="141"/>
      <c r="B936" s="143" t="str">
        <f>IF(ISBLANK(A936),"",IF(AND(ISNA(VLOOKUP(A936,Interface_Platform!E:E,1,FALSE())),ISNA(VLOOKUP(A936,D:D,1,FALSE()))),"N","Y"))</f>
        <v/>
      </c>
      <c r="C936" s="143" t="s">
        <v>1678</v>
      </c>
      <c r="D936" s="143" t="s">
        <v>225</v>
      </c>
      <c r="E936" s="142">
        <v>1</v>
      </c>
      <c r="F936" s="144" t="str">
        <f>IF(AND(ISNA(VLOOKUP(D936,A:A,1,FALSE())),ISNA(VLOOKUP(D936,BaseType!A:A,1,FALSE())),D936&lt;&gt;"Struct"),"N","Y")</f>
        <v>Y</v>
      </c>
      <c r="G936" s="146"/>
      <c r="H936" s="141"/>
      <c r="I936" s="141"/>
      <c r="J936" s="141"/>
      <c r="K936" s="141"/>
      <c r="L936" s="141"/>
      <c r="M936" s="141"/>
      <c r="N936" s="140"/>
      <c r="O936" s="140"/>
      <c r="P936" s="140"/>
      <c r="Q936" s="140"/>
      <c r="R936" s="140"/>
      <c r="S936" s="140"/>
      <c r="T936" s="140"/>
    </row>
    <row r="937" spans="1:20" ht="15" customHeight="1" x14ac:dyDescent="0.2">
      <c r="A937" s="141"/>
      <c r="B937" s="143" t="str">
        <f>IF(ISBLANK(A937),"",IF(AND(ISNA(VLOOKUP(A937,Interface_Platform!E:E,1,FALSE())),ISNA(VLOOKUP(A937,D:D,1,FALSE()))),"N","Y"))</f>
        <v/>
      </c>
      <c r="C937" s="143" t="s">
        <v>1679</v>
      </c>
      <c r="D937" s="143" t="s">
        <v>225</v>
      </c>
      <c r="E937" s="142">
        <v>1</v>
      </c>
      <c r="F937" s="144" t="str">
        <f>IF(AND(ISNA(VLOOKUP(D937,A:A,1,FALSE())),ISNA(VLOOKUP(D937,BaseType!A:A,1,FALSE())),D937&lt;&gt;"Struct"),"N","Y")</f>
        <v>Y</v>
      </c>
      <c r="G937" s="146"/>
      <c r="H937" s="141"/>
      <c r="I937" s="141"/>
      <c r="J937" s="141"/>
      <c r="K937" s="141"/>
      <c r="L937" s="141"/>
      <c r="M937" s="141"/>
      <c r="N937" s="140"/>
      <c r="O937" s="140"/>
      <c r="P937" s="140"/>
      <c r="Q937" s="140"/>
      <c r="R937" s="140"/>
      <c r="S937" s="140"/>
      <c r="T937" s="140"/>
    </row>
    <row r="938" spans="1:20" ht="15" customHeight="1" x14ac:dyDescent="0.2">
      <c r="A938" s="141"/>
      <c r="B938" s="143" t="str">
        <f>IF(ISBLANK(A938),"",IF(AND(ISNA(VLOOKUP(A938,Interface_Platform!E:E,1,FALSE())),ISNA(VLOOKUP(A938,D:D,1,FALSE()))),"N","Y"))</f>
        <v/>
      </c>
      <c r="C938" s="143" t="s">
        <v>1680</v>
      </c>
      <c r="D938" s="143" t="s">
        <v>225</v>
      </c>
      <c r="E938" s="142">
        <v>1</v>
      </c>
      <c r="F938" s="144" t="str">
        <f>IF(AND(ISNA(VLOOKUP(D938,A:A,1,FALSE())),ISNA(VLOOKUP(D938,BaseType!A:A,1,FALSE())),D938&lt;&gt;"Struct"),"N","Y")</f>
        <v>Y</v>
      </c>
      <c r="G938" s="146"/>
      <c r="H938" s="141"/>
      <c r="I938" s="141"/>
      <c r="J938" s="141"/>
      <c r="K938" s="141"/>
      <c r="L938" s="141"/>
      <c r="M938" s="141"/>
      <c r="N938" s="140"/>
      <c r="O938" s="140"/>
      <c r="P938" s="140"/>
      <c r="Q938" s="140"/>
      <c r="R938" s="140"/>
      <c r="S938" s="140"/>
      <c r="T938" s="140"/>
    </row>
    <row r="939" spans="1:20" ht="15" customHeight="1" x14ac:dyDescent="0.2">
      <c r="A939" s="141"/>
      <c r="B939" s="143" t="str">
        <f>IF(ISBLANK(A939),"",IF(AND(ISNA(VLOOKUP(A939,Interface_Platform!E:E,1,FALSE())),ISNA(VLOOKUP(A939,D:D,1,FALSE()))),"N","Y"))</f>
        <v/>
      </c>
      <c r="C939" s="143" t="s">
        <v>1681</v>
      </c>
      <c r="D939" s="143" t="s">
        <v>225</v>
      </c>
      <c r="E939" s="142">
        <v>1</v>
      </c>
      <c r="F939" s="144" t="str">
        <f>IF(AND(ISNA(VLOOKUP(D939,A:A,1,FALSE())),ISNA(VLOOKUP(D939,BaseType!A:A,1,FALSE())),D939&lt;&gt;"Struct"),"N","Y")</f>
        <v>Y</v>
      </c>
      <c r="G939" s="146"/>
      <c r="H939" s="141"/>
      <c r="I939" s="141"/>
      <c r="J939" s="141"/>
      <c r="K939" s="141"/>
      <c r="L939" s="141"/>
      <c r="M939" s="141"/>
      <c r="N939" s="140"/>
      <c r="O939" s="140"/>
      <c r="P939" s="140"/>
      <c r="Q939" s="140"/>
      <c r="R939" s="140"/>
      <c r="S939" s="140"/>
      <c r="T939" s="140"/>
    </row>
    <row r="940" spans="1:20" ht="15" customHeight="1" x14ac:dyDescent="0.2">
      <c r="A940" s="143" t="s">
        <v>1692</v>
      </c>
      <c r="B940" s="143" t="str">
        <f>IF(ISBLANK(A940),"",IF(AND(ISNA(VLOOKUP(A940,Interface_Platform!E:E,1,FALSE())),ISNA(VLOOKUP(A940,D:D,1,FALSE()))),"N","Y"))</f>
        <v>Y</v>
      </c>
      <c r="C940" s="75"/>
      <c r="D940" s="143" t="s">
        <v>484</v>
      </c>
      <c r="E940" s="40"/>
      <c r="F940" s="144" t="str">
        <f>IF(AND(ISNA(VLOOKUP(D940,A:A,1,FALSE())),ISNA(VLOOKUP(D940,BaseType!A:A,1,FALSE())),D940&lt;&gt;"Struct"),"N","Y")</f>
        <v>Y</v>
      </c>
      <c r="G940" s="146"/>
      <c r="H940" s="141"/>
      <c r="I940" s="141"/>
      <c r="J940" s="141"/>
      <c r="K940" s="141"/>
      <c r="L940" s="141"/>
      <c r="M940" s="141"/>
      <c r="N940" s="140"/>
      <c r="O940" s="140"/>
      <c r="P940" s="140"/>
      <c r="Q940" s="140"/>
      <c r="R940" s="140"/>
      <c r="S940" s="140"/>
      <c r="T940" s="140"/>
    </row>
    <row r="941" spans="1:20" ht="15" customHeight="1" x14ac:dyDescent="0.2">
      <c r="A941" s="141"/>
      <c r="B941" s="143" t="str">
        <f>IF(ISBLANK(A941),"",IF(AND(ISNA(VLOOKUP(A941,Interface_Platform!E:E,1,FALSE())),ISNA(VLOOKUP(A941,D:D,1,FALSE()))),"N","Y"))</f>
        <v/>
      </c>
      <c r="C941" s="143" t="s">
        <v>1693</v>
      </c>
      <c r="D941" s="143" t="s">
        <v>193</v>
      </c>
      <c r="E941" s="142">
        <v>1</v>
      </c>
      <c r="F941" s="144" t="str">
        <f>IF(AND(ISNA(VLOOKUP(D941,A:A,1,FALSE())),ISNA(VLOOKUP(D941,BaseType!A:A,1,FALSE())),D941&lt;&gt;"Struct"),"N","Y")</f>
        <v>Y</v>
      </c>
      <c r="G941" s="147" t="s">
        <v>1694</v>
      </c>
      <c r="H941" s="141"/>
      <c r="I941" s="141"/>
      <c r="J941" s="141"/>
      <c r="K941" s="141"/>
      <c r="L941" s="141"/>
      <c r="M941" s="141"/>
      <c r="N941" s="140"/>
      <c r="O941" s="140"/>
      <c r="P941" s="140"/>
      <c r="Q941" s="140"/>
      <c r="R941" s="140"/>
      <c r="S941" s="140"/>
      <c r="T941" s="140"/>
    </row>
    <row r="942" spans="1:20" ht="15" customHeight="1" x14ac:dyDescent="0.2">
      <c r="A942" s="141"/>
      <c r="B942" s="143" t="str">
        <f>IF(ISBLANK(A942),"",IF(AND(ISNA(VLOOKUP(A942,Interface_Platform!E:E,1,FALSE())),ISNA(VLOOKUP(A942,D:D,1,FALSE()))),"N","Y"))</f>
        <v/>
      </c>
      <c r="C942" s="143" t="s">
        <v>1695</v>
      </c>
      <c r="D942" s="143" t="s">
        <v>193</v>
      </c>
      <c r="E942" s="142">
        <v>1</v>
      </c>
      <c r="F942" s="144" t="str">
        <f>IF(AND(ISNA(VLOOKUP(D942,A:A,1,FALSE())),ISNA(VLOOKUP(D942,BaseType!A:A,1,FALSE())),D942&lt;&gt;"Struct"),"N","Y")</f>
        <v>Y</v>
      </c>
      <c r="G942" s="147" t="s">
        <v>1696</v>
      </c>
      <c r="H942" s="141"/>
      <c r="I942" s="141"/>
      <c r="J942" s="141"/>
      <c r="K942" s="141"/>
      <c r="L942" s="141"/>
      <c r="M942" s="141"/>
      <c r="N942" s="140"/>
      <c r="O942" s="140"/>
      <c r="P942" s="140"/>
      <c r="Q942" s="140"/>
      <c r="R942" s="140"/>
      <c r="S942" s="140"/>
      <c r="T942" s="140"/>
    </row>
    <row r="943" spans="1:20" ht="15" customHeight="1" x14ac:dyDescent="0.2">
      <c r="A943" s="141"/>
      <c r="B943" s="143" t="str">
        <f>IF(ISBLANK(A943),"",IF(AND(ISNA(VLOOKUP(A943,Interface_Platform!E:E,1,FALSE())),ISNA(VLOOKUP(A943,D:D,1,FALSE()))),"N","Y"))</f>
        <v/>
      </c>
      <c r="C943" s="143" t="s">
        <v>1697</v>
      </c>
      <c r="D943" s="143" t="s">
        <v>193</v>
      </c>
      <c r="E943" s="142">
        <v>1</v>
      </c>
      <c r="F943" s="144" t="str">
        <f>IF(AND(ISNA(VLOOKUP(D943,A:A,1,FALSE())),ISNA(VLOOKUP(D943,BaseType!A:A,1,FALSE())),D943&lt;&gt;"Struct"),"N","Y")</f>
        <v>Y</v>
      </c>
      <c r="G943" s="147" t="s">
        <v>1698</v>
      </c>
      <c r="H943" s="141"/>
      <c r="I943" s="141"/>
      <c r="J943" s="141"/>
      <c r="K943" s="141"/>
      <c r="L943" s="141"/>
      <c r="M943" s="141"/>
      <c r="N943" s="140"/>
      <c r="O943" s="140"/>
      <c r="P943" s="140"/>
      <c r="Q943" s="140"/>
      <c r="R943" s="140"/>
      <c r="S943" s="140"/>
      <c r="T943" s="140"/>
    </row>
    <row r="944" spans="1:20" ht="15" customHeight="1" x14ac:dyDescent="0.2">
      <c r="A944" s="141"/>
      <c r="B944" s="143" t="str">
        <f>IF(ISBLANK(A944),"",IF(AND(ISNA(VLOOKUP(A944,Interface_Platform!E:E,1,FALSE())),ISNA(VLOOKUP(A944,D:D,1,FALSE()))),"N","Y"))</f>
        <v/>
      </c>
      <c r="C944" s="143" t="s">
        <v>1699</v>
      </c>
      <c r="D944" s="143" t="s">
        <v>193</v>
      </c>
      <c r="E944" s="142">
        <v>1</v>
      </c>
      <c r="F944" s="144" t="str">
        <f>IF(AND(ISNA(VLOOKUP(D944,A:A,1,FALSE())),ISNA(VLOOKUP(D944,BaseType!A:A,1,FALSE())),D944&lt;&gt;"Struct"),"N","Y")</f>
        <v>Y</v>
      </c>
      <c r="G944" s="147" t="s">
        <v>1700</v>
      </c>
      <c r="H944" s="141"/>
      <c r="I944" s="141"/>
      <c r="J944" s="141"/>
      <c r="K944" s="141"/>
      <c r="L944" s="141"/>
      <c r="M944" s="141"/>
      <c r="N944" s="140"/>
      <c r="O944" s="140"/>
      <c r="P944" s="140"/>
      <c r="Q944" s="140"/>
      <c r="R944" s="140"/>
      <c r="S944" s="140"/>
      <c r="T944" s="140"/>
    </row>
    <row r="945" spans="1:20" ht="15" customHeight="1" x14ac:dyDescent="0.2">
      <c r="A945" s="141"/>
      <c r="B945" s="143" t="str">
        <f>IF(ISBLANK(A945),"",IF(AND(ISNA(VLOOKUP(A945,Interface_Platform!E:E,1,FALSE())),ISNA(VLOOKUP(A945,D:D,1,FALSE()))),"N","Y"))</f>
        <v/>
      </c>
      <c r="C945" s="143" t="s">
        <v>1701</v>
      </c>
      <c r="D945" s="143" t="s">
        <v>193</v>
      </c>
      <c r="E945" s="142">
        <v>1</v>
      </c>
      <c r="F945" s="144" t="str">
        <f>IF(AND(ISNA(VLOOKUP(D945,A:A,1,FALSE())),ISNA(VLOOKUP(D945,BaseType!A:A,1,FALSE())),D945&lt;&gt;"Struct"),"N","Y")</f>
        <v>Y</v>
      </c>
      <c r="G945" s="147" t="s">
        <v>1702</v>
      </c>
      <c r="H945" s="141"/>
      <c r="I945" s="141"/>
      <c r="J945" s="141"/>
      <c r="K945" s="141"/>
      <c r="L945" s="141"/>
      <c r="M945" s="141"/>
      <c r="N945" s="140"/>
      <c r="O945" s="140"/>
      <c r="P945" s="140"/>
      <c r="Q945" s="140"/>
      <c r="R945" s="140"/>
      <c r="S945" s="140"/>
      <c r="T945" s="140"/>
    </row>
    <row r="946" spans="1:20" ht="15" customHeight="1" x14ac:dyDescent="0.2">
      <c r="A946" s="141"/>
      <c r="B946" s="143" t="str">
        <f>IF(ISBLANK(A946),"",IF(AND(ISNA(VLOOKUP(A946,Interface_Platform!E:E,1,FALSE())),ISNA(VLOOKUP(A946,D:D,1,FALSE()))),"N","Y"))</f>
        <v/>
      </c>
      <c r="C946" s="143" t="s">
        <v>1401</v>
      </c>
      <c r="D946" s="143" t="s">
        <v>193</v>
      </c>
      <c r="E946" s="142">
        <v>1</v>
      </c>
      <c r="F946" s="144" t="str">
        <f>IF(AND(ISNA(VLOOKUP(D946,A:A,1,FALSE())),ISNA(VLOOKUP(D946,BaseType!A:A,1,FALSE())),D946&lt;&gt;"Struct"),"N","Y")</f>
        <v>Y</v>
      </c>
      <c r="G946" s="146"/>
      <c r="H946" s="141"/>
      <c r="I946" s="141"/>
      <c r="J946" s="141"/>
      <c r="K946" s="141"/>
      <c r="L946" s="141"/>
      <c r="M946" s="141"/>
      <c r="N946" s="140"/>
      <c r="O946" s="140"/>
      <c r="P946" s="140"/>
      <c r="Q946" s="140"/>
      <c r="R946" s="140"/>
      <c r="S946" s="140"/>
      <c r="T946" s="140"/>
    </row>
    <row r="947" spans="1:20" ht="15" customHeight="1" x14ac:dyDescent="0.2">
      <c r="A947" s="141"/>
      <c r="B947" s="143" t="str">
        <f>IF(ISBLANK(A947),"",IF(AND(ISNA(VLOOKUP(A947,Interface_Platform!E:E,1,FALSE())),ISNA(VLOOKUP(A947,D:D,1,FALSE()))),"N","Y"))</f>
        <v/>
      </c>
      <c r="C947" s="143" t="s">
        <v>1402</v>
      </c>
      <c r="D947" s="143" t="s">
        <v>193</v>
      </c>
      <c r="E947" s="142">
        <v>1</v>
      </c>
      <c r="F947" s="144" t="str">
        <f>IF(AND(ISNA(VLOOKUP(D947,A:A,1,FALSE())),ISNA(VLOOKUP(D947,BaseType!A:A,1,FALSE())),D947&lt;&gt;"Struct"),"N","Y")</f>
        <v>Y</v>
      </c>
      <c r="G947" s="146"/>
      <c r="H947" s="141"/>
      <c r="I947" s="141"/>
      <c r="J947" s="141"/>
      <c r="K947" s="141"/>
      <c r="L947" s="141"/>
      <c r="M947" s="141"/>
      <c r="N947" s="140"/>
      <c r="O947" s="140"/>
      <c r="P947" s="140"/>
      <c r="Q947" s="140"/>
      <c r="R947" s="140"/>
      <c r="S947" s="140"/>
      <c r="T947" s="140"/>
    </row>
    <row r="948" spans="1:20" ht="15" customHeight="1" x14ac:dyDescent="0.2">
      <c r="A948" s="141"/>
      <c r="B948" s="143" t="str">
        <f>IF(ISBLANK(A948),"",IF(AND(ISNA(VLOOKUP(A948,Interface_Platform!E:E,1,FALSE())),ISNA(VLOOKUP(A948,D:D,1,FALSE()))),"N","Y"))</f>
        <v/>
      </c>
      <c r="C948" s="143" t="s">
        <v>1703</v>
      </c>
      <c r="D948" s="143" t="s">
        <v>225</v>
      </c>
      <c r="E948" s="142">
        <v>1</v>
      </c>
      <c r="F948" s="144" t="str">
        <f>IF(AND(ISNA(VLOOKUP(D948,A:A,1,FALSE())),ISNA(VLOOKUP(D948,BaseType!A:A,1,FALSE())),D948&lt;&gt;"Struct"),"N","Y")</f>
        <v>Y</v>
      </c>
      <c r="G948" s="146"/>
      <c r="H948" s="141"/>
      <c r="I948" s="141"/>
      <c r="J948" s="141"/>
      <c r="K948" s="141"/>
      <c r="L948" s="141"/>
      <c r="M948" s="141"/>
      <c r="N948" s="140"/>
      <c r="O948" s="140"/>
      <c r="P948" s="140"/>
      <c r="Q948" s="140"/>
      <c r="R948" s="140"/>
      <c r="S948" s="140"/>
      <c r="T948" s="140"/>
    </row>
    <row r="949" spans="1:20" ht="15" customHeight="1" x14ac:dyDescent="0.2">
      <c r="A949" s="148"/>
      <c r="B949" s="143" t="str">
        <f>IF(ISBLANK(A949),"",IF(AND(ISNA(VLOOKUP(A949,Interface_Platform!E:E,1,FALSE())),ISNA(VLOOKUP(A949,D:D,1,FALSE()))),"N","Y"))</f>
        <v/>
      </c>
      <c r="C949" s="181" t="s">
        <v>1704</v>
      </c>
      <c r="D949" s="180" t="s">
        <v>193</v>
      </c>
      <c r="E949" s="188">
        <v>1</v>
      </c>
      <c r="F949" s="144" t="str">
        <f>IF(AND(ISNA(VLOOKUP(D949,A:A,1,FALSE())),ISNA(VLOOKUP(D949,BaseType!A:A,1,FALSE())),D949&lt;&gt;"Struct"),"N","Y")</f>
        <v>Y</v>
      </c>
      <c r="G949" s="150" t="s">
        <v>1705</v>
      </c>
      <c r="H949" s="91"/>
      <c r="I949" s="91"/>
      <c r="J949" s="91"/>
      <c r="K949" s="91"/>
      <c r="L949" s="91"/>
      <c r="M949" s="91"/>
      <c r="N949" s="42"/>
      <c r="O949" s="42"/>
      <c r="P949" s="42"/>
      <c r="Q949" s="42"/>
      <c r="R949" s="42"/>
      <c r="S949" s="42"/>
      <c r="T949" s="42"/>
    </row>
    <row r="950" spans="1:20" ht="15" customHeight="1" x14ac:dyDescent="0.2">
      <c r="A950" s="148"/>
      <c r="B950" s="143"/>
      <c r="C950" s="148" t="s">
        <v>1706</v>
      </c>
      <c r="D950" s="143" t="s">
        <v>193</v>
      </c>
      <c r="E950" s="154">
        <v>1</v>
      </c>
      <c r="F950" s="144" t="s">
        <v>388</v>
      </c>
      <c r="G950" s="215" t="s">
        <v>1707</v>
      </c>
      <c r="H950" s="91"/>
      <c r="I950" s="91"/>
      <c r="J950" s="91"/>
      <c r="K950" s="91"/>
      <c r="L950" s="91"/>
      <c r="M950" s="91"/>
      <c r="N950" s="42"/>
      <c r="O950" s="42"/>
      <c r="P950" s="42"/>
      <c r="Q950" s="42"/>
      <c r="R950" s="42"/>
      <c r="S950" s="42"/>
      <c r="T950" s="42"/>
    </row>
    <row r="951" spans="1:20" ht="15" customHeight="1" x14ac:dyDescent="0.2">
      <c r="A951" s="148"/>
      <c r="B951" s="143"/>
      <c r="C951" s="148" t="s">
        <v>1708</v>
      </c>
      <c r="D951" s="169" t="s">
        <v>1709</v>
      </c>
      <c r="E951" s="154">
        <v>1</v>
      </c>
      <c r="F951" s="144" t="s">
        <v>388</v>
      </c>
      <c r="G951" s="215" t="s">
        <v>1710</v>
      </c>
      <c r="H951" s="91"/>
      <c r="I951" s="91"/>
      <c r="J951" s="91"/>
      <c r="K951" s="91"/>
      <c r="L951" s="91"/>
      <c r="M951" s="91"/>
      <c r="N951" s="42"/>
      <c r="O951" s="42"/>
      <c r="P951" s="42"/>
      <c r="Q951" s="42"/>
      <c r="R951" s="42"/>
      <c r="S951" s="42"/>
      <c r="T951" s="42"/>
    </row>
    <row r="952" spans="1:20" ht="15" customHeight="1" x14ac:dyDescent="0.2">
      <c r="A952" s="148"/>
      <c r="B952" s="143" t="str">
        <f>IF(ISBLANK(A952),"",IF(AND(ISNA(VLOOKUP(A952,Interface_Platform!E:E,1,FALSE())),ISNA(VLOOKUP(A952,D:D,1,FALSE()))),"N","Y"))</f>
        <v/>
      </c>
      <c r="C952" s="148" t="s">
        <v>1711</v>
      </c>
      <c r="D952" s="169" t="s">
        <v>1712</v>
      </c>
      <c r="E952" s="154">
        <v>1</v>
      </c>
      <c r="F952" s="144" t="s">
        <v>388</v>
      </c>
      <c r="G952" s="215" t="s">
        <v>1713</v>
      </c>
      <c r="H952" s="91"/>
      <c r="I952" s="91"/>
      <c r="J952" s="91"/>
      <c r="K952" s="91"/>
      <c r="L952" s="91"/>
      <c r="M952" s="91"/>
      <c r="N952" s="42"/>
      <c r="O952" s="42"/>
      <c r="P952" s="42"/>
      <c r="Q952" s="42"/>
      <c r="R952" s="42"/>
      <c r="S952" s="42"/>
      <c r="T952" s="42"/>
    </row>
    <row r="953" spans="1:20" ht="15" customHeight="1" x14ac:dyDescent="0.2">
      <c r="A953" s="148" t="s">
        <v>1714</v>
      </c>
      <c r="B953" s="144" t="str">
        <f>IF(ISBLANK(A953),"",IF(AND(ISNA(VLOOKUP(A953,Interface_Platform!E:E,1,FALSE())),ISNA(VLOOKUP(A953,D:D,1,FALSE()))),"N","Y"))</f>
        <v>Y</v>
      </c>
      <c r="C953" s="148"/>
      <c r="D953" s="169" t="s">
        <v>484</v>
      </c>
      <c r="E953" s="154"/>
      <c r="F953" s="144" t="str">
        <f>IF(AND(ISNA(VLOOKUP(D953,A:A,1,FALSE())),ISNA(VLOOKUP(D953,BaseType!A:A,1,FALSE())),D953&lt;&gt;"Struct"),"N","Y")</f>
        <v>Y</v>
      </c>
      <c r="G953" s="150"/>
      <c r="H953" s="91"/>
      <c r="I953" s="91"/>
      <c r="J953" s="91"/>
      <c r="K953" s="91"/>
      <c r="L953" s="91"/>
      <c r="M953" s="91"/>
      <c r="N953" s="42"/>
      <c r="O953" s="42"/>
      <c r="P953" s="42"/>
      <c r="Q953" s="42"/>
      <c r="R953" s="42"/>
      <c r="S953" s="42"/>
      <c r="T953" s="42"/>
    </row>
    <row r="954" spans="1:20" ht="15" customHeight="1" x14ac:dyDescent="0.2">
      <c r="A954" s="148"/>
      <c r="B954" s="148"/>
      <c r="C954" s="148" t="s">
        <v>1658</v>
      </c>
      <c r="D954" s="148" t="s">
        <v>193</v>
      </c>
      <c r="E954" s="154">
        <v>1</v>
      </c>
      <c r="F954" s="144" t="str">
        <f>IF(AND(ISNA(VLOOKUP(D954,A:A,1,FALSE())),ISNA(VLOOKUP(D954,BaseType!A:A,1,FALSE())),D954&lt;&gt;"Struct"),"N","Y")</f>
        <v>Y</v>
      </c>
      <c r="G954" s="150" t="s">
        <v>1206</v>
      </c>
      <c r="H954" s="91"/>
      <c r="I954" s="91"/>
      <c r="J954" s="91"/>
      <c r="K954" s="91"/>
      <c r="L954" s="91"/>
      <c r="M954" s="91"/>
      <c r="N954" s="42"/>
      <c r="O954" s="42"/>
      <c r="P954" s="42"/>
      <c r="Q954" s="42"/>
      <c r="R954" s="42"/>
      <c r="S954" s="42"/>
      <c r="T954" s="42"/>
    </row>
    <row r="955" spans="1:20" ht="15" customHeight="1" x14ac:dyDescent="0.2">
      <c r="A955" s="148"/>
      <c r="B955" s="148"/>
      <c r="C955" s="148" t="s">
        <v>1659</v>
      </c>
      <c r="D955" s="148" t="s">
        <v>193</v>
      </c>
      <c r="E955" s="154">
        <v>1</v>
      </c>
      <c r="F955" s="144" t="str">
        <f>IF(AND(ISNA(VLOOKUP(D955,A:A,1,FALSE())),ISNA(VLOOKUP(D955,BaseType!A:A,1,FALSE())),D955&lt;&gt;"Struct"),"N","Y")</f>
        <v>Y</v>
      </c>
      <c r="G955" s="147" t="s">
        <v>1683</v>
      </c>
      <c r="H955" s="91"/>
      <c r="I955" s="91"/>
      <c r="J955" s="91"/>
      <c r="K955" s="91"/>
      <c r="L955" s="91"/>
      <c r="M955" s="91"/>
      <c r="N955" s="42"/>
      <c r="O955" s="42"/>
      <c r="P955" s="42"/>
      <c r="Q955" s="42"/>
      <c r="R955" s="42"/>
      <c r="S955" s="42"/>
      <c r="T955" s="42"/>
    </row>
    <row r="956" spans="1:20" ht="15" customHeight="1" x14ac:dyDescent="0.2">
      <c r="A956" s="148"/>
      <c r="B956" s="148"/>
      <c r="C956" s="148" t="s">
        <v>1661</v>
      </c>
      <c r="D956" s="148" t="s">
        <v>193</v>
      </c>
      <c r="E956" s="154">
        <v>1</v>
      </c>
      <c r="F956" s="144" t="str">
        <f>IF(AND(ISNA(VLOOKUP(D956,A:A,1,FALSE())),ISNA(VLOOKUP(D956,BaseType!A:A,1,FALSE())),D956&lt;&gt;"Struct"),"N","Y")</f>
        <v>Y</v>
      </c>
      <c r="G956" s="147" t="s">
        <v>1684</v>
      </c>
      <c r="H956" s="91"/>
      <c r="I956" s="91"/>
      <c r="J956" s="91"/>
      <c r="K956" s="91"/>
      <c r="L956" s="91"/>
      <c r="M956" s="91"/>
      <c r="N956" s="42"/>
      <c r="O956" s="42"/>
      <c r="P956" s="42"/>
      <c r="Q956" s="42"/>
      <c r="R956" s="42"/>
      <c r="S956" s="42"/>
      <c r="T956" s="42"/>
    </row>
    <row r="957" spans="1:20" ht="15" customHeight="1" x14ac:dyDescent="0.2">
      <c r="A957" s="148"/>
      <c r="B957" s="148"/>
      <c r="C957" s="148" t="s">
        <v>1662</v>
      </c>
      <c r="D957" s="148" t="s">
        <v>193</v>
      </c>
      <c r="E957" s="154">
        <v>1</v>
      </c>
      <c r="F957" s="144" t="str">
        <f>IF(AND(ISNA(VLOOKUP(D957,A:A,1,FALSE())),ISNA(VLOOKUP(D957,BaseType!A:A,1,FALSE())),D957&lt;&gt;"Struct"),"N","Y")</f>
        <v>Y</v>
      </c>
      <c r="G957" s="147" t="s">
        <v>1196</v>
      </c>
      <c r="H957" s="91"/>
      <c r="I957" s="91"/>
      <c r="J957" s="91"/>
      <c r="K957" s="91"/>
      <c r="L957" s="91"/>
      <c r="M957" s="91"/>
      <c r="N957" s="42"/>
      <c r="O957" s="42"/>
      <c r="P957" s="42"/>
      <c r="Q957" s="42"/>
      <c r="R957" s="42"/>
      <c r="S957" s="42"/>
      <c r="T957" s="42"/>
    </row>
    <row r="958" spans="1:20" ht="15" customHeight="1" x14ac:dyDescent="0.2">
      <c r="A958" s="148"/>
      <c r="B958" s="148"/>
      <c r="C958" s="148" t="s">
        <v>1663</v>
      </c>
      <c r="D958" s="148" t="s">
        <v>193</v>
      </c>
      <c r="E958" s="154">
        <v>1</v>
      </c>
      <c r="F958" s="144" t="str">
        <f>IF(AND(ISNA(VLOOKUP(D958,A:A,1,FALSE())),ISNA(VLOOKUP(D958,BaseType!A:A,1,FALSE())),D958&lt;&gt;"Struct"),"N","Y")</f>
        <v>Y</v>
      </c>
      <c r="G958" s="147" t="s">
        <v>1647</v>
      </c>
      <c r="H958" s="91"/>
      <c r="I958" s="91"/>
      <c r="J958" s="91"/>
      <c r="K958" s="91"/>
      <c r="L958" s="91"/>
      <c r="M958" s="91"/>
      <c r="N958" s="42"/>
      <c r="O958" s="42"/>
      <c r="P958" s="42"/>
      <c r="Q958" s="42"/>
      <c r="R958" s="42"/>
      <c r="S958" s="42"/>
      <c r="T958" s="42"/>
    </row>
    <row r="959" spans="1:20" ht="15" customHeight="1" x14ac:dyDescent="0.2">
      <c r="A959" s="148"/>
      <c r="B959" s="148"/>
      <c r="C959" s="148" t="s">
        <v>1685</v>
      </c>
      <c r="D959" s="148" t="s">
        <v>193</v>
      </c>
      <c r="E959" s="154">
        <v>1</v>
      </c>
      <c r="F959" s="144" t="str">
        <f>IF(AND(ISNA(VLOOKUP(D959,A:A,1,FALSE())),ISNA(VLOOKUP(D959,BaseType!A:A,1,FALSE())),D959&lt;&gt;"Struct"),"N","Y")</f>
        <v>Y</v>
      </c>
      <c r="G959" s="147" t="s">
        <v>1686</v>
      </c>
      <c r="H959" s="91"/>
      <c r="I959" s="91"/>
      <c r="J959" s="91"/>
      <c r="K959" s="91"/>
      <c r="L959" s="91"/>
      <c r="M959" s="91"/>
      <c r="N959" s="42"/>
      <c r="O959" s="42"/>
      <c r="P959" s="42"/>
      <c r="Q959" s="42"/>
      <c r="R959" s="42"/>
      <c r="S959" s="42"/>
      <c r="T959" s="42"/>
    </row>
    <row r="960" spans="1:20" ht="15" customHeight="1" x14ac:dyDescent="0.2">
      <c r="A960" s="148"/>
      <c r="B960" s="148"/>
      <c r="C960" s="148" t="s">
        <v>1664</v>
      </c>
      <c r="D960" s="148" t="s">
        <v>193</v>
      </c>
      <c r="E960" s="154">
        <v>1</v>
      </c>
      <c r="F960" s="144" t="str">
        <f>IF(AND(ISNA(VLOOKUP(D960,A:A,1,FALSE())),ISNA(VLOOKUP(D960,BaseType!A:A,1,FALSE())),D960&lt;&gt;"Struct"),"N","Y")</f>
        <v>Y</v>
      </c>
      <c r="G960" s="147" t="s">
        <v>1687</v>
      </c>
      <c r="H960" s="91"/>
      <c r="I960" s="91"/>
      <c r="J960" s="91"/>
      <c r="K960" s="91"/>
      <c r="L960" s="91"/>
      <c r="M960" s="91"/>
      <c r="N960" s="42"/>
      <c r="O960" s="42"/>
      <c r="P960" s="42"/>
      <c r="Q960" s="42"/>
      <c r="R960" s="42"/>
      <c r="S960" s="42"/>
      <c r="T960" s="42"/>
    </row>
    <row r="961" spans="1:20" ht="15" customHeight="1" x14ac:dyDescent="0.2">
      <c r="A961" s="148"/>
      <c r="B961" s="148"/>
      <c r="C961" s="148" t="s">
        <v>1665</v>
      </c>
      <c r="D961" s="148" t="s">
        <v>193</v>
      </c>
      <c r="E961" s="154">
        <v>1</v>
      </c>
      <c r="F961" s="144" t="str">
        <f>IF(AND(ISNA(VLOOKUP(D961,A:A,1,FALSE())),ISNA(VLOOKUP(D961,BaseType!A:A,1,FALSE())),D961&lt;&gt;"Struct"),"N","Y")</f>
        <v>Y</v>
      </c>
      <c r="G961" s="147" t="s">
        <v>1688</v>
      </c>
      <c r="H961" s="91"/>
      <c r="I961" s="91"/>
      <c r="J961" s="91"/>
      <c r="K961" s="91"/>
      <c r="L961" s="91"/>
      <c r="M961" s="91"/>
      <c r="N961" s="42"/>
      <c r="O961" s="42"/>
      <c r="P961" s="42"/>
      <c r="Q961" s="42"/>
      <c r="R961" s="42"/>
      <c r="S961" s="42"/>
      <c r="T961" s="42"/>
    </row>
    <row r="962" spans="1:20" ht="15" customHeight="1" x14ac:dyDescent="0.2">
      <c r="A962" s="148"/>
      <c r="B962" s="148"/>
      <c r="C962" s="148" t="s">
        <v>1666</v>
      </c>
      <c r="D962" s="148" t="s">
        <v>193</v>
      </c>
      <c r="E962" s="154">
        <v>1</v>
      </c>
      <c r="F962" s="144" t="str">
        <f>IF(AND(ISNA(VLOOKUP(D962,A:A,1,FALSE())),ISNA(VLOOKUP(D962,BaseType!A:A,1,FALSE())),D962&lt;&gt;"Struct"),"N","Y")</f>
        <v>Y</v>
      </c>
      <c r="G962" s="147" t="s">
        <v>1688</v>
      </c>
      <c r="H962" s="91"/>
      <c r="I962" s="91"/>
      <c r="J962" s="91"/>
      <c r="K962" s="91"/>
      <c r="L962" s="91"/>
      <c r="M962" s="91"/>
      <c r="N962" s="42"/>
      <c r="O962" s="42"/>
      <c r="P962" s="42"/>
      <c r="Q962" s="42"/>
      <c r="R962" s="42"/>
      <c r="S962" s="42"/>
      <c r="T962" s="42"/>
    </row>
    <row r="963" spans="1:20" ht="15" customHeight="1" x14ac:dyDescent="0.2">
      <c r="A963" s="148"/>
      <c r="B963" s="148"/>
      <c r="C963" s="148" t="s">
        <v>1667</v>
      </c>
      <c r="D963" s="148" t="s">
        <v>193</v>
      </c>
      <c r="E963" s="154">
        <v>1</v>
      </c>
      <c r="F963" s="144" t="str">
        <f>IF(AND(ISNA(VLOOKUP(D963,A:A,1,FALSE())),ISNA(VLOOKUP(D963,BaseType!A:A,1,FALSE())),D963&lt;&gt;"Struct"),"N","Y")</f>
        <v>Y</v>
      </c>
      <c r="G963" s="150" t="s">
        <v>1206</v>
      </c>
      <c r="H963" s="91"/>
      <c r="I963" s="91"/>
      <c r="J963" s="91"/>
      <c r="K963" s="91"/>
      <c r="L963" s="91"/>
      <c r="M963" s="91"/>
      <c r="N963" s="42"/>
      <c r="O963" s="42"/>
      <c r="P963" s="42"/>
      <c r="Q963" s="42"/>
      <c r="R963" s="42"/>
      <c r="S963" s="42"/>
      <c r="T963" s="42"/>
    </row>
    <row r="964" spans="1:20" ht="15" customHeight="1" x14ac:dyDescent="0.2">
      <c r="A964" s="148"/>
      <c r="B964" s="148"/>
      <c r="C964" s="148" t="s">
        <v>1668</v>
      </c>
      <c r="D964" s="148" t="s">
        <v>193</v>
      </c>
      <c r="E964" s="154">
        <v>1</v>
      </c>
      <c r="F964" s="144" t="str">
        <f>IF(AND(ISNA(VLOOKUP(D964,A:A,1,FALSE())),ISNA(VLOOKUP(D964,BaseType!A:A,1,FALSE())),D964&lt;&gt;"Struct"),"N","Y")</f>
        <v>Y</v>
      </c>
      <c r="G964" s="150"/>
      <c r="H964" s="91"/>
      <c r="I964" s="91"/>
      <c r="J964" s="91"/>
      <c r="K964" s="91"/>
      <c r="L964" s="91"/>
      <c r="M964" s="91"/>
      <c r="N964" s="42"/>
      <c r="O964" s="42"/>
      <c r="P964" s="42"/>
      <c r="Q964" s="42"/>
      <c r="R964" s="42"/>
      <c r="S964" s="42"/>
      <c r="T964" s="42"/>
    </row>
    <row r="965" spans="1:20" ht="15" customHeight="1" x14ac:dyDescent="0.2">
      <c r="A965" s="148"/>
      <c r="B965" s="148"/>
      <c r="C965" s="148" t="s">
        <v>1669</v>
      </c>
      <c r="D965" s="148" t="s">
        <v>764</v>
      </c>
      <c r="E965" s="154">
        <v>1</v>
      </c>
      <c r="F965" s="144" t="str">
        <f>IF(AND(ISNA(VLOOKUP(D965,A:A,1,FALSE())),ISNA(VLOOKUP(D965,BaseType!A:A,1,FALSE())),D965&lt;&gt;"Struct"),"N","Y")</f>
        <v>Y</v>
      </c>
      <c r="G965" s="150"/>
      <c r="H965" s="91"/>
      <c r="I965" s="91"/>
      <c r="J965" s="91"/>
      <c r="K965" s="91"/>
      <c r="L965" s="91"/>
      <c r="M965" s="91"/>
      <c r="N965" s="42"/>
      <c r="O965" s="42"/>
      <c r="P965" s="42"/>
      <c r="Q965" s="42"/>
      <c r="R965" s="42"/>
      <c r="S965" s="42"/>
      <c r="T965" s="42"/>
    </row>
    <row r="966" spans="1:20" ht="15" customHeight="1" x14ac:dyDescent="0.2">
      <c r="A966" s="148"/>
      <c r="B966" s="148"/>
      <c r="C966" s="148" t="s">
        <v>1670</v>
      </c>
      <c r="D966" s="148" t="s">
        <v>225</v>
      </c>
      <c r="E966" s="154">
        <v>1</v>
      </c>
      <c r="F966" s="144" t="str">
        <f>IF(AND(ISNA(VLOOKUP(D966,A:A,1,FALSE())),ISNA(VLOOKUP(D966,BaseType!A:A,1,FALSE())),D966&lt;&gt;"Struct"),"N","Y")</f>
        <v>Y</v>
      </c>
      <c r="G966" s="150"/>
      <c r="H966" s="91"/>
      <c r="I966" s="91"/>
      <c r="J966" s="91"/>
      <c r="K966" s="91"/>
      <c r="L966" s="91"/>
      <c r="M966" s="91"/>
      <c r="N966" s="42"/>
      <c r="O966" s="42"/>
      <c r="P966" s="42"/>
      <c r="Q966" s="42"/>
      <c r="R966" s="42"/>
      <c r="S966" s="42"/>
      <c r="T966" s="42"/>
    </row>
    <row r="967" spans="1:20" ht="15" customHeight="1" x14ac:dyDescent="0.2">
      <c r="A967" s="148"/>
      <c r="B967" s="148"/>
      <c r="C967" s="148" t="s">
        <v>1671</v>
      </c>
      <c r="D967" s="148" t="s">
        <v>225</v>
      </c>
      <c r="E967" s="154">
        <v>1</v>
      </c>
      <c r="F967" s="144" t="str">
        <f>IF(AND(ISNA(VLOOKUP(D967,A:A,1,FALSE())),ISNA(VLOOKUP(D967,BaseType!A:A,1,FALSE())),D967&lt;&gt;"Struct"),"N","Y")</f>
        <v>Y</v>
      </c>
      <c r="G967" s="150"/>
      <c r="H967" s="91"/>
      <c r="I967" s="91"/>
      <c r="J967" s="91"/>
      <c r="K967" s="91"/>
      <c r="L967" s="91"/>
      <c r="M967" s="91"/>
      <c r="N967" s="42"/>
      <c r="O967" s="42"/>
      <c r="P967" s="42"/>
      <c r="Q967" s="42"/>
      <c r="R967" s="42"/>
      <c r="S967" s="42"/>
      <c r="T967" s="42"/>
    </row>
    <row r="968" spans="1:20" ht="15" customHeight="1" x14ac:dyDescent="0.2">
      <c r="A968" s="148"/>
      <c r="B968" s="148"/>
      <c r="C968" s="148" t="s">
        <v>1672</v>
      </c>
      <c r="D968" s="148" t="s">
        <v>225</v>
      </c>
      <c r="E968" s="154">
        <v>1</v>
      </c>
      <c r="F968" s="144" t="str">
        <f>IF(AND(ISNA(VLOOKUP(D968,A:A,1,FALSE())),ISNA(VLOOKUP(D968,BaseType!A:A,1,FALSE())),D968&lt;&gt;"Struct"),"N","Y")</f>
        <v>Y</v>
      </c>
      <c r="G968" s="150"/>
      <c r="H968" s="91"/>
      <c r="I968" s="91"/>
      <c r="J968" s="91"/>
      <c r="K968" s="91"/>
      <c r="L968" s="91"/>
      <c r="M968" s="91"/>
      <c r="N968" s="42"/>
      <c r="O968" s="42"/>
      <c r="P968" s="42"/>
      <c r="Q968" s="42"/>
      <c r="R968" s="42"/>
      <c r="S968" s="42"/>
      <c r="T968" s="42"/>
    </row>
    <row r="969" spans="1:20" ht="15" customHeight="1" x14ac:dyDescent="0.2">
      <c r="A969" s="148"/>
      <c r="B969" s="148"/>
      <c r="C969" s="148" t="s">
        <v>1673</v>
      </c>
      <c r="D969" s="148" t="s">
        <v>225</v>
      </c>
      <c r="E969" s="154">
        <v>1</v>
      </c>
      <c r="F969" s="144" t="str">
        <f>IF(AND(ISNA(VLOOKUP(D969,A:A,1,FALSE())),ISNA(VLOOKUP(D969,BaseType!A:A,1,FALSE())),D969&lt;&gt;"Struct"),"N","Y")</f>
        <v>Y</v>
      </c>
      <c r="G969" s="150"/>
      <c r="H969" s="91"/>
      <c r="I969" s="91"/>
      <c r="J969" s="91"/>
      <c r="K969" s="91"/>
      <c r="L969" s="91"/>
      <c r="M969" s="91"/>
      <c r="N969" s="42"/>
      <c r="O969" s="42"/>
      <c r="P969" s="42"/>
      <c r="Q969" s="42"/>
      <c r="R969" s="42"/>
      <c r="S969" s="42"/>
      <c r="T969" s="42"/>
    </row>
    <row r="970" spans="1:20" ht="15" customHeight="1" x14ac:dyDescent="0.2">
      <c r="A970" s="148"/>
      <c r="B970" s="148"/>
      <c r="C970" s="148" t="s">
        <v>1674</v>
      </c>
      <c r="D970" s="148" t="s">
        <v>225</v>
      </c>
      <c r="E970" s="154">
        <v>1</v>
      </c>
      <c r="F970" s="144" t="str">
        <f>IF(AND(ISNA(VLOOKUP(D970,A:A,1,FALSE())),ISNA(VLOOKUP(D970,BaseType!A:A,1,FALSE())),D970&lt;&gt;"Struct"),"N","Y")</f>
        <v>Y</v>
      </c>
      <c r="G970" s="150"/>
      <c r="H970" s="91"/>
      <c r="I970" s="91"/>
      <c r="J970" s="91"/>
      <c r="K970" s="91"/>
      <c r="L970" s="91"/>
      <c r="M970" s="91"/>
      <c r="N970" s="42"/>
      <c r="O970" s="42"/>
      <c r="P970" s="42"/>
      <c r="Q970" s="42"/>
      <c r="R970" s="42"/>
      <c r="S970" s="42"/>
      <c r="T970" s="42"/>
    </row>
    <row r="971" spans="1:20" ht="15" customHeight="1" x14ac:dyDescent="0.2">
      <c r="A971" s="148"/>
      <c r="B971" s="148"/>
      <c r="C971" s="148" t="s">
        <v>1675</v>
      </c>
      <c r="D971" s="148" t="s">
        <v>225</v>
      </c>
      <c r="E971" s="154">
        <v>1</v>
      </c>
      <c r="F971" s="144" t="str">
        <f>IF(AND(ISNA(VLOOKUP(D971,A:A,1,FALSE())),ISNA(VLOOKUP(D971,BaseType!A:A,1,FALSE())),D971&lt;&gt;"Struct"),"N","Y")</f>
        <v>Y</v>
      </c>
      <c r="G971" s="150"/>
      <c r="H971" s="91"/>
      <c r="I971" s="91"/>
      <c r="J971" s="91"/>
      <c r="K971" s="91"/>
      <c r="L971" s="91"/>
      <c r="M971" s="91"/>
      <c r="N971" s="42"/>
      <c r="O971" s="42"/>
      <c r="P971" s="42"/>
      <c r="Q971" s="42"/>
      <c r="R971" s="42"/>
      <c r="S971" s="42"/>
      <c r="T971" s="42"/>
    </row>
    <row r="972" spans="1:20" ht="15" customHeight="1" x14ac:dyDescent="0.2">
      <c r="A972" s="148"/>
      <c r="B972" s="148"/>
      <c r="C972" s="148" t="s">
        <v>1676</v>
      </c>
      <c r="D972" s="148" t="s">
        <v>225</v>
      </c>
      <c r="E972" s="154">
        <v>1</v>
      </c>
      <c r="F972" s="144" t="str">
        <f>IF(AND(ISNA(VLOOKUP(D972,A:A,1,FALSE())),ISNA(VLOOKUP(D972,BaseType!A:A,1,FALSE())),D972&lt;&gt;"Struct"),"N","Y")</f>
        <v>Y</v>
      </c>
      <c r="G972" s="150"/>
      <c r="H972" s="91"/>
      <c r="I972" s="91"/>
      <c r="J972" s="91"/>
      <c r="K972" s="91"/>
      <c r="L972" s="91"/>
      <c r="M972" s="91"/>
      <c r="N972" s="42"/>
      <c r="O972" s="42"/>
      <c r="P972" s="42"/>
      <c r="Q972" s="42"/>
      <c r="R972" s="42"/>
      <c r="S972" s="42"/>
      <c r="T972" s="42"/>
    </row>
    <row r="973" spans="1:20" ht="15" customHeight="1" x14ac:dyDescent="0.2">
      <c r="A973" s="148"/>
      <c r="B973" s="148"/>
      <c r="C973" s="148" t="s">
        <v>1677</v>
      </c>
      <c r="D973" s="148" t="s">
        <v>225</v>
      </c>
      <c r="E973" s="154">
        <v>1</v>
      </c>
      <c r="F973" s="144" t="str">
        <f>IF(AND(ISNA(VLOOKUP(D973,A:A,1,FALSE())),ISNA(VLOOKUP(D973,BaseType!A:A,1,FALSE())),D973&lt;&gt;"Struct"),"N","Y")</f>
        <v>Y</v>
      </c>
      <c r="G973" s="150"/>
      <c r="H973" s="91"/>
      <c r="I973" s="91"/>
      <c r="J973" s="91"/>
      <c r="K973" s="91"/>
      <c r="L973" s="91"/>
      <c r="M973" s="91"/>
      <c r="N973" s="42"/>
      <c r="O973" s="42"/>
      <c r="P973" s="42"/>
      <c r="Q973" s="42"/>
      <c r="R973" s="42"/>
      <c r="S973" s="42"/>
      <c r="T973" s="42"/>
    </row>
    <row r="974" spans="1:20" ht="15" customHeight="1" x14ac:dyDescent="0.2">
      <c r="A974" s="148"/>
      <c r="B974" s="148"/>
      <c r="C974" s="148" t="s">
        <v>1678</v>
      </c>
      <c r="D974" s="148" t="s">
        <v>225</v>
      </c>
      <c r="E974" s="154">
        <v>1</v>
      </c>
      <c r="F974" s="144" t="str">
        <f>IF(AND(ISNA(VLOOKUP(D974,A:A,1,FALSE())),ISNA(VLOOKUP(D974,BaseType!A:A,1,FALSE())),D974&lt;&gt;"Struct"),"N","Y")</f>
        <v>Y</v>
      </c>
      <c r="G974" s="150"/>
      <c r="H974" s="91"/>
      <c r="I974" s="91"/>
      <c r="J974" s="91"/>
      <c r="K974" s="91"/>
      <c r="L974" s="91"/>
      <c r="M974" s="91"/>
      <c r="N974" s="42"/>
      <c r="O974" s="42"/>
      <c r="P974" s="42"/>
      <c r="Q974" s="42"/>
      <c r="R974" s="42"/>
      <c r="S974" s="42"/>
      <c r="T974" s="42"/>
    </row>
    <row r="975" spans="1:20" ht="15" customHeight="1" x14ac:dyDescent="0.2">
      <c r="A975" s="148"/>
      <c r="B975" s="148"/>
      <c r="C975" s="148" t="s">
        <v>1679</v>
      </c>
      <c r="D975" s="148" t="s">
        <v>225</v>
      </c>
      <c r="E975" s="154">
        <v>1</v>
      </c>
      <c r="F975" s="144" t="str">
        <f>IF(AND(ISNA(VLOOKUP(D975,A:A,1,FALSE())),ISNA(VLOOKUP(D975,BaseType!A:A,1,FALSE())),D975&lt;&gt;"Struct"),"N","Y")</f>
        <v>Y</v>
      </c>
      <c r="G975" s="150"/>
      <c r="H975" s="91"/>
      <c r="I975" s="91"/>
      <c r="J975" s="91"/>
      <c r="K975" s="91"/>
      <c r="L975" s="91"/>
      <c r="M975" s="91"/>
      <c r="N975" s="42"/>
      <c r="O975" s="42"/>
      <c r="P975" s="42"/>
      <c r="Q975" s="42"/>
      <c r="R975" s="42"/>
      <c r="S975" s="42"/>
      <c r="T975" s="42"/>
    </row>
    <row r="976" spans="1:20" ht="15" customHeight="1" x14ac:dyDescent="0.2">
      <c r="A976" s="148"/>
      <c r="B976" s="148"/>
      <c r="C976" s="148" t="s">
        <v>1680</v>
      </c>
      <c r="D976" s="148" t="s">
        <v>225</v>
      </c>
      <c r="E976" s="154">
        <v>1</v>
      </c>
      <c r="F976" s="144" t="str">
        <f>IF(AND(ISNA(VLOOKUP(D976,A:A,1,FALSE())),ISNA(VLOOKUP(D976,BaseType!A:A,1,FALSE())),D976&lt;&gt;"Struct"),"N","Y")</f>
        <v>Y</v>
      </c>
      <c r="G976" s="150"/>
      <c r="H976" s="91"/>
      <c r="I976" s="91"/>
      <c r="J976" s="91"/>
      <c r="K976" s="91"/>
      <c r="L976" s="91"/>
      <c r="M976" s="91"/>
      <c r="N976" s="42"/>
      <c r="O976" s="42"/>
      <c r="P976" s="42"/>
      <c r="Q976" s="42"/>
      <c r="R976" s="42"/>
      <c r="S976" s="42"/>
      <c r="T976" s="42"/>
    </row>
    <row r="977" spans="1:20" ht="15" customHeight="1" x14ac:dyDescent="0.2">
      <c r="A977" s="148"/>
      <c r="B977" s="148"/>
      <c r="C977" s="148" t="s">
        <v>1681</v>
      </c>
      <c r="D977" s="148" t="s">
        <v>225</v>
      </c>
      <c r="E977" s="154">
        <v>1</v>
      </c>
      <c r="F977" s="144" t="str">
        <f>IF(AND(ISNA(VLOOKUP(D977,A:A,1,FALSE())),ISNA(VLOOKUP(D977,BaseType!A:A,1,FALSE())),D977&lt;&gt;"Struct"),"N","Y")</f>
        <v>Y</v>
      </c>
      <c r="G977" s="150"/>
      <c r="H977" s="91"/>
      <c r="I977" s="91"/>
      <c r="J977" s="91"/>
      <c r="K977" s="91"/>
      <c r="L977" s="91"/>
      <c r="M977" s="91"/>
      <c r="N977" s="42"/>
      <c r="O977" s="42"/>
      <c r="P977" s="42"/>
      <c r="Q977" s="42"/>
      <c r="R977" s="42"/>
      <c r="S977" s="42"/>
      <c r="T977" s="42"/>
    </row>
    <row r="978" spans="1:20" ht="15" customHeight="1" x14ac:dyDescent="0.2">
      <c r="A978" s="143" t="s">
        <v>178</v>
      </c>
      <c r="B978" s="143" t="str">
        <f>IF(ISBLANK(A978),"",IF(AND(ISNA(VLOOKUP(A978,Interface_Platform!E:E,1,FALSE())),ISNA(VLOOKUP(A978,D:D,1,FALSE()))),"N","Y"))</f>
        <v>Y</v>
      </c>
      <c r="C978" s="75"/>
      <c r="D978" s="143" t="s">
        <v>484</v>
      </c>
      <c r="E978" s="40"/>
      <c r="F978" s="144" t="str">
        <f>IF(AND(ISNA(VLOOKUP(D978,A:A,1,FALSE())),ISNA(VLOOKUP(D978,BaseType!A:A,1,FALSE())),D978&lt;&gt;"Struct"),"N","Y")</f>
        <v>Y</v>
      </c>
      <c r="G978" s="146"/>
      <c r="H978" s="141"/>
      <c r="I978" s="141"/>
      <c r="J978" s="141"/>
      <c r="K978" s="141"/>
      <c r="L978" s="141"/>
      <c r="M978" s="141"/>
      <c r="N978" s="140"/>
      <c r="O978" s="140"/>
      <c r="P978" s="140"/>
      <c r="Q978" s="140"/>
      <c r="R978" s="140"/>
      <c r="S978" s="140"/>
      <c r="T978" s="140"/>
    </row>
    <row r="979" spans="1:20" ht="15" customHeight="1" x14ac:dyDescent="0.2">
      <c r="A979" s="141"/>
      <c r="B979" s="143"/>
      <c r="C979" s="143" t="s">
        <v>1715</v>
      </c>
      <c r="D979" s="143" t="s">
        <v>193</v>
      </c>
      <c r="E979" s="142">
        <v>1</v>
      </c>
      <c r="F979" s="144" t="str">
        <f>IF(AND(ISNA(VLOOKUP(D979,A:A,1,FALSE())),ISNA(VLOOKUP(D979,BaseType!A:A,1,FALSE())),D979&lt;&gt;"Struct"),"N","Y")</f>
        <v>Y</v>
      </c>
      <c r="G979" s="146" t="s">
        <v>1716</v>
      </c>
      <c r="H979" s="141"/>
      <c r="I979" s="141"/>
      <c r="J979" s="141"/>
      <c r="K979" s="141"/>
      <c r="L979" s="141"/>
      <c r="M979" s="141"/>
      <c r="N979" s="140"/>
      <c r="O979" s="140"/>
      <c r="P979" s="140"/>
      <c r="Q979" s="140"/>
      <c r="R979" s="140"/>
      <c r="S979" s="140"/>
      <c r="T979" s="140"/>
    </row>
    <row r="980" spans="1:20" ht="15" customHeight="1" x14ac:dyDescent="0.2">
      <c r="A980" s="141"/>
      <c r="B980" s="143"/>
      <c r="C980" s="181" t="s">
        <v>1717</v>
      </c>
      <c r="D980" s="181" t="s">
        <v>1389</v>
      </c>
      <c r="E980" s="205">
        <v>1</v>
      </c>
      <c r="F980" s="144" t="str">
        <f>IF(AND(ISNA(VLOOKUP(D980,A:A,1,FALSE())),ISNA(VLOOKUP(D980,BaseType!A:A,1,FALSE())),D980&lt;&gt;"Struct"),"N","Y")</f>
        <v>Y</v>
      </c>
      <c r="G980" s="146"/>
      <c r="H980" s="141"/>
      <c r="I980" s="141"/>
      <c r="J980" s="141"/>
      <c r="K980" s="141"/>
      <c r="L980" s="141"/>
      <c r="M980" s="141"/>
      <c r="N980" s="140"/>
      <c r="O980" s="140"/>
      <c r="P980" s="140"/>
      <c r="Q980" s="140"/>
      <c r="R980" s="140"/>
      <c r="S980" s="140"/>
      <c r="T980" s="140"/>
    </row>
    <row r="981" spans="1:20" ht="15" customHeight="1" x14ac:dyDescent="0.2">
      <c r="A981" s="141"/>
      <c r="B981" s="143" t="str">
        <f>IF(ISBLANK(A981),"",IF(AND(ISNA(VLOOKUP(A981,Interface_Platform!E:E,1,FALSE())),ISNA(VLOOKUP(A981,D:D,1,FALSE()))),"N","Y"))</f>
        <v/>
      </c>
      <c r="C981" s="143" t="s">
        <v>1718</v>
      </c>
      <c r="D981" s="143" t="s">
        <v>1615</v>
      </c>
      <c r="E981" s="142">
        <v>1</v>
      </c>
      <c r="F981" s="144" t="str">
        <f>IF(AND(ISNA(VLOOKUP(D981,A:A,1,FALSE())),ISNA(VLOOKUP(D981,BaseType!A:A,1,FALSE())),D981&lt;&gt;"Struct"),"N","Y")</f>
        <v>Y</v>
      </c>
      <c r="G981" s="146"/>
      <c r="H981" s="141"/>
      <c r="I981" s="141"/>
      <c r="J981" s="141"/>
      <c r="K981" s="141"/>
      <c r="L981" s="141"/>
      <c r="M981" s="141"/>
      <c r="N981" s="140"/>
      <c r="O981" s="140"/>
      <c r="P981" s="140"/>
      <c r="Q981" s="140"/>
      <c r="R981" s="140"/>
      <c r="S981" s="140"/>
      <c r="T981" s="140"/>
    </row>
    <row r="982" spans="1:20" ht="15" customHeight="1" x14ac:dyDescent="0.2">
      <c r="A982" s="141"/>
      <c r="B982" s="143" t="str">
        <f>IF(ISBLANK(A982),"",IF(AND(ISNA(VLOOKUP(A982,Interface_Platform!E:E,1,FALSE())),ISNA(VLOOKUP(A982,D:D,1,FALSE()))),"N","Y"))</f>
        <v/>
      </c>
      <c r="C982" s="143" t="s">
        <v>1719</v>
      </c>
      <c r="D982" s="143" t="s">
        <v>1640</v>
      </c>
      <c r="E982" s="142">
        <v>1</v>
      </c>
      <c r="F982" s="144" t="str">
        <f>IF(AND(ISNA(VLOOKUP(D982,A:A,1,FALSE())),ISNA(VLOOKUP(D982,BaseType!A:A,1,FALSE())),D982&lt;&gt;"Struct"),"N","Y")</f>
        <v>Y</v>
      </c>
      <c r="G982" s="146"/>
      <c r="H982" s="141"/>
      <c r="I982" s="141"/>
      <c r="J982" s="141"/>
      <c r="K982" s="141"/>
      <c r="L982" s="141"/>
      <c r="M982" s="141"/>
      <c r="N982" s="140"/>
      <c r="O982" s="140"/>
      <c r="P982" s="140"/>
      <c r="Q982" s="140"/>
      <c r="R982" s="140"/>
      <c r="S982" s="140"/>
      <c r="T982" s="140"/>
    </row>
    <row r="983" spans="1:20" ht="15" customHeight="1" x14ac:dyDescent="0.2">
      <c r="A983" s="141"/>
      <c r="B983" s="143" t="str">
        <f>IF(ISBLANK(A983),"",IF(AND(ISNA(VLOOKUP(A983,Interface_Platform!E:E,1,FALSE())),ISNA(VLOOKUP(A983,D:D,1,FALSE()))),"N","Y"))</f>
        <v/>
      </c>
      <c r="C983" s="143" t="s">
        <v>1720</v>
      </c>
      <c r="D983" s="143" t="s">
        <v>1657</v>
      </c>
      <c r="E983" s="142">
        <v>1</v>
      </c>
      <c r="F983" s="144" t="str">
        <f>IF(AND(ISNA(VLOOKUP(D983,A:A,1,FALSE())),ISNA(VLOOKUP(D983,BaseType!A:A,1,FALSE())),D983&lt;&gt;"Struct"),"N","Y")</f>
        <v>Y</v>
      </c>
      <c r="G983" s="146"/>
      <c r="H983" s="141"/>
      <c r="I983" s="141"/>
      <c r="J983" s="141"/>
      <c r="K983" s="141"/>
      <c r="L983" s="141"/>
      <c r="M983" s="141"/>
      <c r="N983" s="140"/>
      <c r="O983" s="140"/>
      <c r="P983" s="140"/>
      <c r="Q983" s="140"/>
      <c r="R983" s="140"/>
      <c r="S983" s="140"/>
      <c r="T983" s="140"/>
    </row>
    <row r="984" spans="1:20" ht="15" customHeight="1" x14ac:dyDescent="0.2">
      <c r="A984" s="141"/>
      <c r="B984" s="143" t="str">
        <f>IF(ISBLANK(A984),"",IF(AND(ISNA(VLOOKUP(A984,Interface_Platform!E:E,1,FALSE())),ISNA(VLOOKUP(A984,D:D,1,FALSE()))),"N","Y"))</f>
        <v/>
      </c>
      <c r="C984" s="143" t="s">
        <v>1721</v>
      </c>
      <c r="D984" s="143" t="s">
        <v>1682</v>
      </c>
      <c r="E984" s="142">
        <v>1</v>
      </c>
      <c r="F984" s="144" t="str">
        <f>IF(AND(ISNA(VLOOKUP(D984,A:A,1,FALSE())),ISNA(VLOOKUP(D984,BaseType!A:A,1,FALSE())),D984&lt;&gt;"Struct"),"N","Y")</f>
        <v>Y</v>
      </c>
      <c r="G984" s="146"/>
      <c r="H984" s="141"/>
      <c r="I984" s="141"/>
      <c r="J984" s="141"/>
      <c r="K984" s="141"/>
      <c r="L984" s="141"/>
      <c r="M984" s="141"/>
      <c r="N984" s="140"/>
      <c r="O984" s="140"/>
      <c r="P984" s="140"/>
      <c r="Q984" s="140"/>
      <c r="R984" s="140"/>
      <c r="S984" s="140"/>
      <c r="T984" s="140"/>
    </row>
    <row r="985" spans="1:20" ht="15" customHeight="1" x14ac:dyDescent="0.2">
      <c r="A985" s="141"/>
      <c r="B985" s="143" t="str">
        <f>IF(ISBLANK(A985),"",IF(AND(ISNA(VLOOKUP(A985,Interface_Platform!E:E,1,FALSE())),ISNA(VLOOKUP(A985,D:D,1,FALSE()))),"N","Y"))</f>
        <v/>
      </c>
      <c r="C985" s="143" t="s">
        <v>1722</v>
      </c>
      <c r="D985" s="143" t="s">
        <v>1689</v>
      </c>
      <c r="E985" s="142">
        <v>1</v>
      </c>
      <c r="F985" s="144" t="str">
        <f>IF(AND(ISNA(VLOOKUP(D985,A:A,1,FALSE())),ISNA(VLOOKUP(D985,BaseType!A:A,1,FALSE())),D985&lt;&gt;"Struct"),"N","Y")</f>
        <v>Y</v>
      </c>
      <c r="G985" s="146"/>
      <c r="H985" s="141"/>
      <c r="I985" s="141"/>
      <c r="J985" s="141"/>
      <c r="K985" s="141"/>
      <c r="L985" s="141"/>
      <c r="M985" s="141"/>
      <c r="N985" s="140"/>
      <c r="O985" s="140"/>
      <c r="P985" s="140"/>
      <c r="Q985" s="140"/>
      <c r="R985" s="140"/>
      <c r="S985" s="140"/>
      <c r="T985" s="140"/>
    </row>
    <row r="986" spans="1:20" ht="15" customHeight="1" x14ac:dyDescent="0.2">
      <c r="A986" s="141"/>
      <c r="B986" s="143" t="str">
        <f>IF(ISBLANK(A986),"",IF(AND(ISNA(VLOOKUP(A986,Interface_Platform!E:E,1,FALSE())),ISNA(VLOOKUP(A986,D:D,1,FALSE()))),"N","Y"))</f>
        <v/>
      </c>
      <c r="C986" s="143" t="s">
        <v>1723</v>
      </c>
      <c r="D986" s="143" t="s">
        <v>1689</v>
      </c>
      <c r="E986" s="142">
        <v>1</v>
      </c>
      <c r="F986" s="144" t="str">
        <f>IF(AND(ISNA(VLOOKUP(D986,A:A,1,FALSE())),ISNA(VLOOKUP(D986,BaseType!A:A,1,FALSE())),D986&lt;&gt;"Struct"),"N","Y")</f>
        <v>Y</v>
      </c>
      <c r="G986" s="146"/>
      <c r="H986" s="141"/>
      <c r="I986" s="141"/>
      <c r="J986" s="141"/>
      <c r="K986" s="141"/>
      <c r="L986" s="141"/>
      <c r="M986" s="141"/>
      <c r="N986" s="140"/>
      <c r="O986" s="140"/>
      <c r="P986" s="140"/>
      <c r="Q986" s="140"/>
      <c r="R986" s="140"/>
      <c r="S986" s="140"/>
      <c r="T986" s="140"/>
    </row>
    <row r="987" spans="1:20" ht="15" customHeight="1" x14ac:dyDescent="0.2">
      <c r="A987" s="141"/>
      <c r="B987" s="143" t="str">
        <f>IF(ISBLANK(A987),"",IF(AND(ISNA(VLOOKUP(A987,Interface_Platform!E:E,1,FALSE())),ISNA(VLOOKUP(A987,D:D,1,FALSE()))),"N","Y"))</f>
        <v/>
      </c>
      <c r="C987" s="143" t="s">
        <v>1724</v>
      </c>
      <c r="D987" s="143" t="s">
        <v>1682</v>
      </c>
      <c r="E987" s="142">
        <v>1</v>
      </c>
      <c r="F987" s="144" t="str">
        <f>IF(AND(ISNA(VLOOKUP(D987,A:A,1,FALSE())),ISNA(VLOOKUP(D987,BaseType!A:A,1,FALSE())),D987&lt;&gt;"Struct"),"N","Y")</f>
        <v>Y</v>
      </c>
      <c r="G987" s="146"/>
      <c r="H987" s="141"/>
      <c r="I987" s="141"/>
      <c r="J987" s="141"/>
      <c r="K987" s="141"/>
      <c r="L987" s="141"/>
      <c r="M987" s="141"/>
      <c r="N987" s="140"/>
      <c r="O987" s="140"/>
      <c r="P987" s="140"/>
      <c r="Q987" s="140"/>
      <c r="R987" s="140"/>
      <c r="S987" s="140"/>
      <c r="T987" s="140"/>
    </row>
    <row r="988" spans="1:20" ht="15" customHeight="1" x14ac:dyDescent="0.2">
      <c r="A988" s="141"/>
      <c r="B988" s="143" t="str">
        <f>IF(ISBLANK(A988),"",IF(AND(ISNA(VLOOKUP(A988,Interface_Platform!E:E,1,FALSE())),ISNA(VLOOKUP(A988,D:D,1,FALSE()))),"N","Y"))</f>
        <v/>
      </c>
      <c r="C988" s="143" t="s">
        <v>1725</v>
      </c>
      <c r="D988" s="143" t="s">
        <v>1657</v>
      </c>
      <c r="E988" s="142">
        <v>1</v>
      </c>
      <c r="F988" s="144" t="str">
        <f>IF(AND(ISNA(VLOOKUP(D988,A:A,1,FALSE())),ISNA(VLOOKUP(D988,BaseType!A:A,1,FALSE())),D988&lt;&gt;"Struct"),"N","Y")</f>
        <v>Y</v>
      </c>
      <c r="G988" s="146"/>
      <c r="H988" s="141"/>
      <c r="I988" s="141"/>
      <c r="J988" s="141"/>
      <c r="K988" s="141"/>
      <c r="L988" s="141"/>
      <c r="M988" s="141"/>
      <c r="N988" s="140"/>
      <c r="O988" s="140"/>
      <c r="P988" s="140"/>
      <c r="Q988" s="140"/>
      <c r="R988" s="140"/>
      <c r="S988" s="140"/>
      <c r="T988" s="140"/>
    </row>
    <row r="989" spans="1:20" ht="15" customHeight="1" x14ac:dyDescent="0.2">
      <c r="A989" s="141"/>
      <c r="B989" s="143" t="str">
        <f>IF(ISBLANK(A989),"",IF(AND(ISNA(VLOOKUP(A989,Interface_Platform!E:E,1,FALSE())),ISNA(VLOOKUP(A989,D:D,1,FALSE()))),"N","Y"))</f>
        <v/>
      </c>
      <c r="C989" s="143" t="s">
        <v>1726</v>
      </c>
      <c r="D989" s="143" t="s">
        <v>1640</v>
      </c>
      <c r="E989" s="142">
        <v>1</v>
      </c>
      <c r="F989" s="144" t="str">
        <f>IF(AND(ISNA(VLOOKUP(D989,A:A,1,FALSE())),ISNA(VLOOKUP(D989,BaseType!A:A,1,FALSE())),D989&lt;&gt;"Struct"),"N","Y")</f>
        <v>Y</v>
      </c>
      <c r="G989" s="146"/>
      <c r="H989" s="141"/>
      <c r="I989" s="141"/>
      <c r="J989" s="141"/>
      <c r="K989" s="141"/>
      <c r="L989" s="141"/>
      <c r="M989" s="141"/>
      <c r="N989" s="140"/>
      <c r="O989" s="140"/>
      <c r="P989" s="140"/>
      <c r="Q989" s="140"/>
      <c r="R989" s="140"/>
      <c r="S989" s="140"/>
      <c r="T989" s="140"/>
    </row>
    <row r="990" spans="1:20" ht="15" customHeight="1" x14ac:dyDescent="0.2">
      <c r="A990" s="141"/>
      <c r="B990" s="143" t="str">
        <f>IF(ISBLANK(A990),"",IF(AND(ISNA(VLOOKUP(A990,Interface_Platform!E:E,1,FALSE())),ISNA(VLOOKUP(A990,D:D,1,FALSE()))),"N","Y"))</f>
        <v/>
      </c>
      <c r="C990" s="143" t="s">
        <v>1727</v>
      </c>
      <c r="D990" s="143" t="s">
        <v>1692</v>
      </c>
      <c r="E990" s="142">
        <v>1</v>
      </c>
      <c r="F990" s="144" t="str">
        <f>IF(AND(ISNA(VLOOKUP(D990,A:A,1,FALSE())),ISNA(VLOOKUP(D990,BaseType!A:A,1,FALSE())),D990&lt;&gt;"Struct"),"N","Y")</f>
        <v>Y</v>
      </c>
      <c r="G990" s="146"/>
      <c r="H990" s="141"/>
      <c r="I990" s="141"/>
      <c r="J990" s="141"/>
      <c r="K990" s="141"/>
      <c r="L990" s="141"/>
      <c r="M990" s="141"/>
      <c r="N990" s="140"/>
      <c r="O990" s="140"/>
      <c r="P990" s="140"/>
      <c r="Q990" s="140"/>
      <c r="R990" s="140"/>
      <c r="S990" s="140"/>
      <c r="T990" s="140"/>
    </row>
    <row r="991" spans="1:20" ht="15" customHeight="1" x14ac:dyDescent="0.2">
      <c r="A991" s="143"/>
      <c r="B991" s="143"/>
      <c r="C991" s="143" t="s">
        <v>1728</v>
      </c>
      <c r="D991" s="143" t="s">
        <v>1714</v>
      </c>
      <c r="E991" s="142">
        <v>1</v>
      </c>
      <c r="F991" s="144" t="str">
        <f>IF(AND(ISNA(VLOOKUP(D991,A:A,1,FALSE())),ISNA(VLOOKUP(D991,BaseType!A:A,1,FALSE())),D991&lt;&gt;"Struct"),"N","Y")</f>
        <v>Y</v>
      </c>
      <c r="G991" s="146"/>
      <c r="H991" s="141"/>
      <c r="I991" s="141"/>
      <c r="J991" s="141"/>
      <c r="K991" s="141"/>
      <c r="L991" s="141"/>
      <c r="M991" s="141"/>
      <c r="N991" s="140"/>
      <c r="O991" s="140"/>
      <c r="P991" s="140"/>
      <c r="Q991" s="140"/>
      <c r="R991" s="140"/>
      <c r="S991" s="140"/>
      <c r="T991" s="140"/>
    </row>
    <row r="992" spans="1:20" ht="15" customHeight="1" x14ac:dyDescent="0.2">
      <c r="A992" s="143"/>
      <c r="B992" s="143"/>
      <c r="C992" s="143" t="s">
        <v>1729</v>
      </c>
      <c r="D992" s="143" t="s">
        <v>1714</v>
      </c>
      <c r="E992" s="142">
        <v>1</v>
      </c>
      <c r="F992" s="144" t="str">
        <f>IF(AND(ISNA(VLOOKUP(D992,A:A,1,FALSE())),ISNA(VLOOKUP(D992,BaseType!A:A,1,FALSE())),D992&lt;&gt;"Struct"),"N","Y")</f>
        <v>Y</v>
      </c>
      <c r="G992" s="146"/>
      <c r="H992" s="141"/>
      <c r="I992" s="141"/>
      <c r="J992" s="141"/>
      <c r="K992" s="141"/>
      <c r="L992" s="141"/>
      <c r="M992" s="141"/>
      <c r="N992" s="140"/>
      <c r="O992" s="140"/>
      <c r="P992" s="140"/>
      <c r="Q992" s="140"/>
      <c r="R992" s="140"/>
      <c r="S992" s="140"/>
      <c r="T992" s="140"/>
    </row>
    <row r="993" spans="1:20" ht="15" customHeight="1" x14ac:dyDescent="0.2">
      <c r="A993" s="148"/>
      <c r="B993" s="143"/>
      <c r="C993" s="148" t="s">
        <v>1730</v>
      </c>
      <c r="D993" s="143" t="s">
        <v>1731</v>
      </c>
      <c r="E993" s="154">
        <v>2</v>
      </c>
      <c r="F993" s="144" t="str">
        <f>IF(AND(ISNA(VLOOKUP(D993,A:A,1,FALSE())),ISNA(VLOOKUP(D993,BaseType!A:A,1,FALSE())),D993&lt;&gt;"Struct"),"N","Y")</f>
        <v>Y</v>
      </c>
      <c r="G993" s="150"/>
      <c r="H993" s="91"/>
      <c r="I993" s="91"/>
      <c r="J993" s="91"/>
      <c r="K993" s="91"/>
      <c r="L993" s="91"/>
      <c r="M993" s="91"/>
      <c r="N993" s="42"/>
      <c r="O993" s="42"/>
      <c r="P993" s="42"/>
      <c r="Q993" s="42"/>
      <c r="R993" s="42"/>
      <c r="S993" s="42"/>
      <c r="T993" s="42"/>
    </row>
    <row r="994" spans="1:20" ht="15" customHeight="1" x14ac:dyDescent="0.2">
      <c r="A994" s="148"/>
      <c r="B994" s="143"/>
      <c r="C994" s="75" t="s">
        <v>1732</v>
      </c>
      <c r="D994" s="143" t="s">
        <v>1733</v>
      </c>
      <c r="E994" s="40">
        <v>1</v>
      </c>
      <c r="F994" s="144" t="str">
        <f>IF(AND(ISNA(VLOOKUP(D994,A:A,1,FALSE())),ISNA(VLOOKUP(D994,BaseType!A:A,1,FALSE())),D994&lt;&gt;"Struct"),"N","Y")</f>
        <v>Y</v>
      </c>
      <c r="G994" s="150"/>
      <c r="H994" s="91"/>
      <c r="I994" s="91"/>
      <c r="J994" s="91"/>
      <c r="K994" s="91"/>
      <c r="L994" s="91"/>
      <c r="M994" s="91"/>
      <c r="N994" s="42"/>
      <c r="O994" s="42"/>
      <c r="P994" s="42"/>
      <c r="Q994" s="42"/>
      <c r="R994" s="42"/>
      <c r="S994" s="42"/>
      <c r="T994" s="42"/>
    </row>
    <row r="995" spans="1:20" ht="15" customHeight="1" x14ac:dyDescent="0.2">
      <c r="A995" s="148"/>
      <c r="B995" s="143"/>
      <c r="C995" s="48" t="s">
        <v>1734</v>
      </c>
      <c r="D995" s="148" t="s">
        <v>1735</v>
      </c>
      <c r="E995" s="46">
        <v>1</v>
      </c>
      <c r="F995" s="144" t="str">
        <f>IF(AND(ISNA(VLOOKUP(D995,A:A,1,FALSE())),ISNA(VLOOKUP(D995,BaseType!A:A,1,FALSE())),D995&lt;&gt;"Struct"),"N","Y")</f>
        <v>Y</v>
      </c>
      <c r="G995" s="150"/>
      <c r="H995" s="91"/>
      <c r="I995" s="91"/>
      <c r="J995" s="91"/>
      <c r="K995" s="91"/>
      <c r="L995" s="91"/>
      <c r="M995" s="91"/>
      <c r="N995" s="42"/>
      <c r="O995" s="42"/>
      <c r="P995" s="42"/>
      <c r="Q995" s="42"/>
      <c r="R995" s="42"/>
      <c r="S995" s="42"/>
      <c r="T995" s="42"/>
    </row>
    <row r="996" spans="1:20" ht="15" customHeight="1" x14ac:dyDescent="0.2">
      <c r="A996" s="193" t="s">
        <v>1735</v>
      </c>
      <c r="B996" s="143" t="str">
        <f>IF(ISBLANK(A996),"",IF(AND(ISNA(VLOOKUP(A996,Interface_Platform!E:E,1,FALSE())),ISNA(VLOOKUP(A996,D:D,1,FALSE()))),"N","Y"))</f>
        <v>Y</v>
      </c>
      <c r="C996" s="48"/>
      <c r="D996" s="143" t="s">
        <v>484</v>
      </c>
      <c r="E996" s="46"/>
      <c r="F996" s="144"/>
      <c r="G996" s="150"/>
      <c r="H996" s="91"/>
      <c r="I996" s="91"/>
      <c r="J996" s="91"/>
      <c r="K996" s="91"/>
      <c r="L996" s="91"/>
      <c r="M996" s="91"/>
      <c r="N996" s="42"/>
      <c r="O996" s="42"/>
      <c r="P996" s="42"/>
      <c r="Q996" s="42"/>
      <c r="R996" s="42"/>
      <c r="S996" s="42"/>
      <c r="T996" s="42"/>
    </row>
    <row r="997" spans="1:20" ht="15" customHeight="1" x14ac:dyDescent="0.2">
      <c r="A997" s="163"/>
      <c r="B997" s="216"/>
      <c r="C997" s="48" t="s">
        <v>1342</v>
      </c>
      <c r="D997" s="148" t="s">
        <v>631</v>
      </c>
      <c r="E997" s="46">
        <v>1</v>
      </c>
      <c r="F997" s="144" t="str">
        <f>IF(AND(ISNA(VLOOKUP(D997,A:A,1,FALSE())),ISNA(VLOOKUP(D997,BaseType!A:A,1,FALSE())),D997&lt;&gt;"Struct"),"N","Y")</f>
        <v>Y</v>
      </c>
      <c r="G997" s="150"/>
      <c r="H997" s="91"/>
      <c r="I997" s="91"/>
      <c r="J997" s="91"/>
      <c r="K997" s="91"/>
      <c r="L997" s="91"/>
      <c r="M997" s="91"/>
      <c r="N997" s="42"/>
      <c r="O997" s="42"/>
      <c r="P997" s="42"/>
      <c r="Q997" s="42"/>
      <c r="R997" s="42"/>
      <c r="S997" s="42"/>
      <c r="T997" s="42"/>
    </row>
    <row r="998" spans="1:20" ht="15" customHeight="1" x14ac:dyDescent="0.2">
      <c r="A998" s="165"/>
      <c r="B998" s="166"/>
      <c r="C998" s="48" t="s">
        <v>1736</v>
      </c>
      <c r="D998" s="148" t="s">
        <v>1737</v>
      </c>
      <c r="E998" s="46">
        <v>2</v>
      </c>
      <c r="F998" s="144" t="str">
        <f>IF(AND(ISNA(VLOOKUP(D998,A:A,1,FALSE())),ISNA(VLOOKUP(D998,BaseType!A:A,1,FALSE())),D998&lt;&gt;"Struct"),"N","Y")</f>
        <v>Y</v>
      </c>
      <c r="G998" s="150" t="s">
        <v>1738</v>
      </c>
      <c r="H998" s="91"/>
      <c r="I998" s="91"/>
      <c r="J998" s="91"/>
      <c r="K998" s="91"/>
      <c r="L998" s="91"/>
      <c r="M998" s="91"/>
      <c r="N998" s="42"/>
      <c r="O998" s="42"/>
      <c r="P998" s="42"/>
      <c r="Q998" s="42"/>
      <c r="R998" s="42"/>
      <c r="S998" s="42"/>
      <c r="T998" s="42"/>
    </row>
    <row r="999" spans="1:20" ht="15" customHeight="1" x14ac:dyDescent="0.2">
      <c r="A999" s="148" t="s">
        <v>1737</v>
      </c>
      <c r="B999" s="143" t="str">
        <f>IF(ISBLANK(A999),"",IF(AND(ISNA(VLOOKUP(A999,Interface_Platform!E:E,1,FALSE())),ISNA(VLOOKUP(A999,D:D,1,FALSE()))),"N","Y"))</f>
        <v>Y</v>
      </c>
      <c r="C999" s="162"/>
      <c r="D999" s="169" t="s">
        <v>484</v>
      </c>
      <c r="E999" s="46"/>
      <c r="F999" s="144"/>
      <c r="G999" s="150"/>
      <c r="H999" s="91"/>
      <c r="I999" s="91"/>
      <c r="J999" s="91"/>
      <c r="K999" s="91"/>
      <c r="L999" s="91"/>
      <c r="M999" s="91"/>
      <c r="N999" s="42"/>
      <c r="O999" s="42"/>
      <c r="P999" s="42"/>
      <c r="Q999" s="42"/>
      <c r="R999" s="42"/>
      <c r="S999" s="42"/>
      <c r="T999" s="42"/>
    </row>
    <row r="1000" spans="1:20" ht="15" customHeight="1" x14ac:dyDescent="0.2">
      <c r="A1000" s="163"/>
      <c r="B1000" s="143"/>
      <c r="C1000" s="162" t="s">
        <v>973</v>
      </c>
      <c r="D1000" s="143" t="s">
        <v>298</v>
      </c>
      <c r="E1000" s="46">
        <v>1</v>
      </c>
      <c r="F1000" s="144" t="str">
        <f>IF(AND(ISNA(VLOOKUP(D1000,A:A,1,FALSE())),ISNA(VLOOKUP(D1000,BaseType!A:A,1,FALSE())),D1000&lt;&gt;"Struct"),"N","Y")</f>
        <v>Y</v>
      </c>
      <c r="G1000" s="150" t="s">
        <v>1739</v>
      </c>
      <c r="H1000" s="91"/>
      <c r="I1000" s="91"/>
      <c r="J1000" s="91"/>
      <c r="K1000" s="91"/>
      <c r="L1000" s="91"/>
      <c r="M1000" s="91"/>
      <c r="N1000" s="42"/>
      <c r="O1000" s="42"/>
      <c r="P1000" s="42"/>
      <c r="Q1000" s="42"/>
      <c r="R1000" s="42"/>
      <c r="S1000" s="42"/>
      <c r="T1000" s="42"/>
    </row>
    <row r="1001" spans="1:20" ht="15" customHeight="1" x14ac:dyDescent="0.2">
      <c r="A1001" s="163"/>
      <c r="B1001" s="143"/>
      <c r="C1001" s="162" t="s">
        <v>1740</v>
      </c>
      <c r="D1001" s="148" t="s">
        <v>1741</v>
      </c>
      <c r="E1001" s="46">
        <v>50</v>
      </c>
      <c r="F1001" s="144" t="str">
        <f>IF(AND(ISNA(VLOOKUP(D1001,A:A,1,FALSE())),ISNA(VLOOKUP(D1001,BaseType!A:A,1,FALSE())),D1001&lt;&gt;"Struct"),"N","Y")</f>
        <v>Y</v>
      </c>
      <c r="G1001" s="150"/>
      <c r="H1001" s="91"/>
      <c r="I1001" s="91"/>
      <c r="J1001" s="91"/>
      <c r="K1001" s="91"/>
      <c r="L1001" s="91"/>
      <c r="M1001" s="91"/>
      <c r="N1001" s="42"/>
      <c r="O1001" s="42"/>
      <c r="P1001" s="42"/>
      <c r="Q1001" s="42"/>
      <c r="R1001" s="42"/>
      <c r="S1001" s="42"/>
      <c r="T1001" s="42"/>
    </row>
    <row r="1002" spans="1:20" ht="15" customHeight="1" x14ac:dyDescent="0.2">
      <c r="A1002" s="168" t="s">
        <v>1733</v>
      </c>
      <c r="B1002" s="167" t="str">
        <f>IF(ISBLANK(A1002),"",IF(AND(ISNA(VLOOKUP(A1002,Interface_Platform!E:E,1,FALSE())),ISNA(VLOOKUP(A1002,D:D,1,FALSE()))),"N","Y"))</f>
        <v>Y</v>
      </c>
      <c r="C1002" s="48"/>
      <c r="D1002" s="169" t="s">
        <v>484</v>
      </c>
      <c r="E1002" s="46"/>
      <c r="F1002" s="144" t="str">
        <f>IF(AND(ISNA(VLOOKUP(D1002,A:A,1,FALSE())),ISNA(VLOOKUP(D1002,BaseType!A:A,1,FALSE())),D1002&lt;&gt;"Struct"),"N","Y")</f>
        <v>Y</v>
      </c>
      <c r="G1002" s="150"/>
      <c r="H1002" s="91"/>
      <c r="I1002" s="91"/>
      <c r="J1002" s="91"/>
      <c r="K1002" s="91"/>
      <c r="L1002" s="91"/>
      <c r="M1002" s="91"/>
      <c r="N1002" s="42"/>
      <c r="O1002" s="42"/>
      <c r="P1002" s="42"/>
      <c r="Q1002" s="42"/>
      <c r="R1002" s="42"/>
      <c r="S1002" s="42"/>
      <c r="T1002" s="42"/>
    </row>
    <row r="1003" spans="1:20" ht="15" customHeight="1" x14ac:dyDescent="0.2">
      <c r="A1003" s="148"/>
      <c r="B1003" s="148" t="str">
        <f>IF(ISBLANK(A1003),"",IF(AND(ISNA(VLOOKUP(A1003,Interface_Platform!E:E,1,FALSE())),ISNA(VLOOKUP(A1003,D:D,1,FALSE()))),"N","Y"))</f>
        <v/>
      </c>
      <c r="C1003" s="148" t="s">
        <v>973</v>
      </c>
      <c r="D1003" s="143" t="s">
        <v>1249</v>
      </c>
      <c r="E1003" s="154">
        <v>1</v>
      </c>
      <c r="F1003" s="144" t="str">
        <f>IF(AND(ISNA(VLOOKUP(D1003,A:A,1,FALSE())),ISNA(VLOOKUP(D1003,BaseType!A:A,1,FALSE())),D1003&lt;&gt;"Struct"),"N","Y")</f>
        <v>Y</v>
      </c>
      <c r="G1003" s="150" t="s">
        <v>1742</v>
      </c>
      <c r="H1003" s="91"/>
      <c r="I1003" s="91"/>
      <c r="J1003" s="91"/>
      <c r="K1003" s="91"/>
      <c r="L1003" s="91"/>
      <c r="M1003" s="91"/>
      <c r="N1003" s="42"/>
      <c r="O1003" s="42"/>
      <c r="P1003" s="42"/>
      <c r="Q1003" s="42"/>
      <c r="R1003" s="42"/>
      <c r="S1003" s="42"/>
      <c r="T1003" s="42"/>
    </row>
    <row r="1004" spans="1:20" ht="15" customHeight="1" x14ac:dyDescent="0.2">
      <c r="A1004" s="148"/>
      <c r="B1004" s="148" t="str">
        <f>IF(ISBLANK(A1004),"",IF(AND(ISNA(VLOOKUP(A1004,Interface_Platform!E:E,1,FALSE())),ISNA(VLOOKUP(A1004,D:D,1,FALSE()))),"N","Y"))</f>
        <v/>
      </c>
      <c r="C1004" s="148" t="s">
        <v>1743</v>
      </c>
      <c r="D1004" s="143" t="s">
        <v>1249</v>
      </c>
      <c r="E1004" s="154">
        <v>1</v>
      </c>
      <c r="F1004" s="144" t="str">
        <f>IF(AND(ISNA(VLOOKUP(D1004,A:A,1,FALSE())),ISNA(VLOOKUP(D1004,BaseType!A:A,1,FALSE())),D1004&lt;&gt;"Struct"),"N","Y")</f>
        <v>Y</v>
      </c>
      <c r="G1004" s="150" t="s">
        <v>1744</v>
      </c>
      <c r="H1004" s="91"/>
      <c r="I1004" s="91"/>
      <c r="J1004" s="91"/>
      <c r="K1004" s="91"/>
      <c r="L1004" s="91"/>
      <c r="M1004" s="91"/>
      <c r="N1004" s="42"/>
      <c r="O1004" s="42"/>
      <c r="P1004" s="42"/>
      <c r="Q1004" s="42"/>
      <c r="R1004" s="42"/>
      <c r="S1004" s="42"/>
      <c r="T1004" s="42"/>
    </row>
    <row r="1005" spans="1:20" ht="15" customHeight="1" x14ac:dyDescent="0.2">
      <c r="A1005" s="148"/>
      <c r="B1005" s="148" t="str">
        <f>IF(ISBLANK(A1005),"",IF(AND(ISNA(VLOOKUP(A1005,Interface_Platform!E:E,1,FALSE())),ISNA(VLOOKUP(A1005,D:D,1,FALSE()))),"N","Y"))</f>
        <v/>
      </c>
      <c r="C1005" s="148" t="s">
        <v>1745</v>
      </c>
      <c r="D1005" s="143" t="s">
        <v>1249</v>
      </c>
      <c r="E1005" s="154">
        <v>1</v>
      </c>
      <c r="F1005" s="144" t="str">
        <f>IF(AND(ISNA(VLOOKUP(D1005,A:A,1,FALSE())),ISNA(VLOOKUP(D1005,BaseType!A:A,1,FALSE())),D1005&lt;&gt;"Struct"),"N","Y")</f>
        <v>Y</v>
      </c>
      <c r="G1005" s="150" t="s">
        <v>1746</v>
      </c>
      <c r="H1005" s="91"/>
      <c r="I1005" s="91"/>
      <c r="J1005" s="91"/>
      <c r="K1005" s="91"/>
      <c r="L1005" s="91"/>
      <c r="M1005" s="91"/>
      <c r="N1005" s="42"/>
      <c r="O1005" s="42"/>
      <c r="P1005" s="42"/>
      <c r="Q1005" s="42"/>
      <c r="R1005" s="42"/>
      <c r="S1005" s="42"/>
      <c r="T1005" s="42"/>
    </row>
    <row r="1006" spans="1:20" ht="15" customHeight="1" x14ac:dyDescent="0.2">
      <c r="A1006" s="148"/>
      <c r="B1006" s="148" t="str">
        <f>IF(ISBLANK(A1006),"",IF(AND(ISNA(VLOOKUP(A1006,Interface_Platform!E:E,1,FALSE())),ISNA(VLOOKUP(A1006,D:D,1,FALSE()))),"N","Y"))</f>
        <v/>
      </c>
      <c r="C1006" s="148" t="s">
        <v>1747</v>
      </c>
      <c r="D1006" s="143" t="s">
        <v>1741</v>
      </c>
      <c r="E1006" s="154">
        <v>1</v>
      </c>
      <c r="F1006" s="144" t="str">
        <f>IF(AND(ISNA(VLOOKUP(D1006,A:A,1,FALSE())),ISNA(VLOOKUP(D1006,BaseType!A:A,1,FALSE())),D1006&lt;&gt;"Struct"),"N","Y")</f>
        <v>Y</v>
      </c>
      <c r="G1006" s="150"/>
      <c r="H1006" s="91"/>
      <c r="I1006" s="91"/>
      <c r="J1006" s="91"/>
      <c r="K1006" s="91"/>
      <c r="L1006" s="91"/>
      <c r="M1006" s="91"/>
      <c r="N1006" s="42"/>
      <c r="O1006" s="42"/>
      <c r="P1006" s="42"/>
      <c r="Q1006" s="42"/>
      <c r="R1006" s="42"/>
      <c r="S1006" s="42"/>
      <c r="T1006" s="42"/>
    </row>
    <row r="1007" spans="1:20" ht="15" customHeight="1" x14ac:dyDescent="0.2">
      <c r="A1007" s="148"/>
      <c r="B1007" s="148" t="str">
        <f>IF(ISBLANK(A1007),"",IF(AND(ISNA(VLOOKUP(A1007,Interface_Platform!E:E,1,FALSE())),ISNA(VLOOKUP(A1007,D:D,1,FALSE()))),"N","Y"))</f>
        <v/>
      </c>
      <c r="C1007" s="148" t="s">
        <v>1748</v>
      </c>
      <c r="D1007" s="143" t="s">
        <v>1741</v>
      </c>
      <c r="E1007" s="154">
        <v>4</v>
      </c>
      <c r="F1007" s="144" t="str">
        <f>IF(AND(ISNA(VLOOKUP(D1007,A:A,1,FALSE())),ISNA(VLOOKUP(D1007,BaseType!A:A,1,FALSE())),D1007&lt;&gt;"Struct"),"N","Y")</f>
        <v>Y</v>
      </c>
      <c r="G1007" s="150"/>
      <c r="H1007" s="91"/>
      <c r="I1007" s="91"/>
      <c r="J1007" s="91"/>
      <c r="K1007" s="91"/>
      <c r="L1007" s="91"/>
      <c r="M1007" s="91"/>
      <c r="N1007" s="42"/>
      <c r="O1007" s="42"/>
      <c r="P1007" s="42"/>
      <c r="Q1007" s="42"/>
      <c r="R1007" s="42"/>
      <c r="S1007" s="42"/>
      <c r="T1007" s="42"/>
    </row>
    <row r="1008" spans="1:20" ht="15" customHeight="1" x14ac:dyDescent="0.2">
      <c r="A1008" s="143" t="s">
        <v>1741</v>
      </c>
      <c r="B1008" s="144" t="str">
        <f>IF(ISBLANK(A1008),"",IF(AND(ISNA(VLOOKUP(A1008,Interface_Platform!E:E,1,FALSE())),ISNA(VLOOKUP(A1008,D:D,1,FALSE()))),"N","Y"))</f>
        <v>Y</v>
      </c>
      <c r="C1008" s="75"/>
      <c r="D1008" s="169" t="s">
        <v>484</v>
      </c>
      <c r="E1008" s="40"/>
      <c r="F1008" s="144" t="str">
        <f>IF(AND(ISNA(VLOOKUP(D1008,A:A,1,FALSE())),ISNA(VLOOKUP(D1008,BaseType!A:A,1,FALSE())),D1008&lt;&gt;"Struct"),"N","Y")</f>
        <v>Y</v>
      </c>
      <c r="G1008" s="150"/>
      <c r="H1008" s="91"/>
      <c r="I1008" s="91"/>
      <c r="J1008" s="91"/>
      <c r="K1008" s="91"/>
      <c r="L1008" s="91"/>
      <c r="M1008" s="91"/>
      <c r="N1008" s="42"/>
      <c r="O1008" s="42"/>
      <c r="P1008" s="42"/>
      <c r="Q1008" s="42"/>
      <c r="R1008" s="42"/>
      <c r="S1008" s="42"/>
      <c r="T1008" s="42"/>
    </row>
    <row r="1009" spans="1:20" ht="15" customHeight="1" x14ac:dyDescent="0.2">
      <c r="A1009" s="148"/>
      <c r="B1009" s="143"/>
      <c r="C1009" s="75" t="s">
        <v>1749</v>
      </c>
      <c r="D1009" s="143" t="s">
        <v>1314</v>
      </c>
      <c r="E1009" s="40">
        <v>1</v>
      </c>
      <c r="F1009" s="144" t="str">
        <f>IF(AND(ISNA(VLOOKUP(D1009,A:A,1,FALSE())),ISNA(VLOOKUP(D1009,BaseType!A:A,1,FALSE())),D1009&lt;&gt;"Struct"),"N","Y")</f>
        <v>Y</v>
      </c>
      <c r="G1009" s="150"/>
      <c r="H1009" s="91"/>
      <c r="I1009" s="91"/>
      <c r="J1009" s="91"/>
      <c r="K1009" s="91"/>
      <c r="L1009" s="91"/>
      <c r="M1009" s="91"/>
      <c r="N1009" s="42"/>
      <c r="O1009" s="42"/>
      <c r="P1009" s="42"/>
      <c r="Q1009" s="42"/>
      <c r="R1009" s="42"/>
      <c r="S1009" s="42"/>
      <c r="T1009" s="42"/>
    </row>
    <row r="1010" spans="1:20" ht="15" customHeight="1" x14ac:dyDescent="0.2">
      <c r="A1010" s="148"/>
      <c r="B1010" s="143"/>
      <c r="C1010" s="75" t="s">
        <v>1750</v>
      </c>
      <c r="D1010" s="143" t="s">
        <v>1314</v>
      </c>
      <c r="E1010" s="40">
        <v>1</v>
      </c>
      <c r="F1010" s="144" t="str">
        <f>IF(AND(ISNA(VLOOKUP(D1010,A:A,1,FALSE())),ISNA(VLOOKUP(D1010,BaseType!A:A,1,FALSE())),D1010&lt;&gt;"Struct"),"N","Y")</f>
        <v>Y</v>
      </c>
      <c r="G1010" s="150"/>
      <c r="H1010" s="91"/>
      <c r="I1010" s="91"/>
      <c r="J1010" s="91"/>
      <c r="K1010" s="91"/>
      <c r="L1010" s="91"/>
      <c r="M1010" s="91"/>
      <c r="N1010" s="42"/>
      <c r="O1010" s="42"/>
      <c r="P1010" s="42"/>
      <c r="Q1010" s="42"/>
      <c r="R1010" s="42"/>
      <c r="S1010" s="42"/>
      <c r="T1010" s="42"/>
    </row>
    <row r="1011" spans="1:20" ht="15" customHeight="1" x14ac:dyDescent="0.2">
      <c r="A1011" s="148" t="s">
        <v>1731</v>
      </c>
      <c r="B1011" s="143" t="str">
        <f>IF(ISBLANK(A1011),"",IF(AND(ISNA(VLOOKUP(A1011,Interface_Platform!E:E,1,FALSE())),ISNA(VLOOKUP(A1011,D:D,1,FALSE()))),"N","Y"))</f>
        <v>Y</v>
      </c>
      <c r="C1011" s="75"/>
      <c r="D1011" s="143" t="s">
        <v>484</v>
      </c>
      <c r="E1011" s="40"/>
      <c r="F1011" s="144" t="str">
        <f>IF(AND(ISNA(VLOOKUP(D1011,A:A,1,FALSE())),ISNA(VLOOKUP(D1011,BaseType!A:A,1,FALSE())),D1011&lt;&gt;"Struct"),"N","Y")</f>
        <v>Y</v>
      </c>
      <c r="G1011" s="150"/>
      <c r="H1011" s="91"/>
      <c r="I1011" s="91"/>
      <c r="J1011" s="91"/>
      <c r="K1011" s="91"/>
      <c r="L1011" s="91"/>
      <c r="M1011" s="91"/>
      <c r="N1011" s="42"/>
      <c r="O1011" s="42"/>
      <c r="P1011" s="42"/>
      <c r="Q1011" s="42"/>
      <c r="R1011" s="42"/>
      <c r="S1011" s="42"/>
      <c r="T1011" s="42"/>
    </row>
    <row r="1012" spans="1:20" ht="15" customHeight="1" x14ac:dyDescent="0.2">
      <c r="A1012" s="143"/>
      <c r="B1012" s="143" t="str">
        <f>IF(ISBLANK(A1012),"",IF(AND(ISNA(VLOOKUP(A1012,Interface_Platform!E:E,1,FALSE())),ISNA(VLOOKUP(A1012,D:D,1,FALSE()))),"N","Y"))</f>
        <v/>
      </c>
      <c r="C1012" s="143" t="s">
        <v>1751</v>
      </c>
      <c r="D1012" s="143" t="s">
        <v>293</v>
      </c>
      <c r="E1012" s="142">
        <v>1</v>
      </c>
      <c r="F1012" s="144" t="str">
        <f>IF(AND(ISNA(VLOOKUP(D1012,A:A,1,FALSE())),ISNA(VLOOKUP(D1012,BaseType!A:A,1,FALSE())),D1012&lt;&gt;"Struct"),"N","Y")</f>
        <v>Y</v>
      </c>
      <c r="G1012" s="150" t="s">
        <v>1752</v>
      </c>
      <c r="H1012" s="91"/>
      <c r="I1012" s="91"/>
      <c r="J1012" s="91"/>
      <c r="K1012" s="91"/>
      <c r="L1012" s="91"/>
      <c r="M1012" s="91"/>
      <c r="N1012" s="42"/>
      <c r="O1012" s="42"/>
      <c r="P1012" s="42"/>
      <c r="Q1012" s="42"/>
      <c r="R1012" s="42"/>
      <c r="S1012" s="42"/>
      <c r="T1012" s="42"/>
    </row>
    <row r="1013" spans="1:20" ht="15" customHeight="1" x14ac:dyDescent="0.2">
      <c r="A1013" s="148"/>
      <c r="B1013" s="143" t="str">
        <f>IF(ISBLANK(A1013),"",IF(AND(ISNA(VLOOKUP(A1013,Interface_Platform!E:E,1,FALSE())),ISNA(VLOOKUP(A1013,D:D,1,FALSE()))),"N","Y"))</f>
        <v/>
      </c>
      <c r="C1013" s="143" t="s">
        <v>1753</v>
      </c>
      <c r="D1013" s="143" t="s">
        <v>1249</v>
      </c>
      <c r="E1013" s="142">
        <v>1</v>
      </c>
      <c r="F1013" s="144" t="str">
        <f>IF(AND(ISNA(VLOOKUP(D1013,A:A,1,FALSE())),ISNA(VLOOKUP(D1013,BaseType!A:A,1,FALSE())),D1013&lt;&gt;"Struct"),"N","Y")</f>
        <v>Y</v>
      </c>
      <c r="G1013" s="150" t="s">
        <v>1754</v>
      </c>
      <c r="H1013" s="91"/>
      <c r="I1013" s="91"/>
      <c r="J1013" s="91"/>
      <c r="K1013" s="91"/>
      <c r="L1013" s="91"/>
      <c r="M1013" s="91"/>
      <c r="N1013" s="42"/>
      <c r="O1013" s="42"/>
      <c r="P1013" s="42"/>
      <c r="Q1013" s="42"/>
      <c r="R1013" s="42"/>
      <c r="S1013" s="42"/>
      <c r="T1013" s="42"/>
    </row>
    <row r="1014" spans="1:20" ht="15" customHeight="1" x14ac:dyDescent="0.2">
      <c r="A1014" s="148"/>
      <c r="B1014" s="143" t="str">
        <f>IF(ISBLANK(A1014),"",IF(AND(ISNA(VLOOKUP(A1014,Interface_Platform!E:E,1,FALSE())),ISNA(VLOOKUP(A1014,D:D,1,FALSE()))),"N","Y"))</f>
        <v/>
      </c>
      <c r="C1014" s="143" t="s">
        <v>1749</v>
      </c>
      <c r="D1014" s="143" t="s">
        <v>1314</v>
      </c>
      <c r="E1014" s="142">
        <v>1</v>
      </c>
      <c r="F1014" s="144" t="str">
        <f>IF(AND(ISNA(VLOOKUP(D1014,A:A,1,FALSE())),ISNA(VLOOKUP(D1014,BaseType!A:A,1,FALSE())),D1014&lt;&gt;"Struct"),"N","Y")</f>
        <v>Y</v>
      </c>
      <c r="G1014" s="150"/>
      <c r="H1014" s="91"/>
      <c r="I1014" s="91"/>
      <c r="J1014" s="91"/>
      <c r="K1014" s="91"/>
      <c r="L1014" s="91"/>
      <c r="M1014" s="91"/>
      <c r="N1014" s="42"/>
      <c r="O1014" s="42"/>
      <c r="P1014" s="42"/>
      <c r="Q1014" s="42"/>
      <c r="R1014" s="42"/>
      <c r="S1014" s="42"/>
      <c r="T1014" s="42"/>
    </row>
    <row r="1015" spans="1:20" ht="15" customHeight="1" x14ac:dyDescent="0.2">
      <c r="A1015" s="148"/>
      <c r="B1015" s="143" t="str">
        <f>IF(ISBLANK(A1015),"",IF(AND(ISNA(VLOOKUP(A1015,Interface_Platform!E:E,1,FALSE())),ISNA(VLOOKUP(A1015,D:D,1,FALSE()))),"N","Y"))</f>
        <v/>
      </c>
      <c r="C1015" s="143" t="s">
        <v>1750</v>
      </c>
      <c r="D1015" s="143" t="s">
        <v>1314</v>
      </c>
      <c r="E1015" s="142">
        <v>1</v>
      </c>
      <c r="F1015" s="144" t="str">
        <f>IF(AND(ISNA(VLOOKUP(D1015,A:A,1,FALSE())),ISNA(VLOOKUP(D1015,BaseType!A:A,1,FALSE())),D1015&lt;&gt;"Struct"),"N","Y")</f>
        <v>Y</v>
      </c>
      <c r="G1015" s="150"/>
      <c r="H1015" s="91"/>
      <c r="I1015" s="91"/>
      <c r="J1015" s="91"/>
      <c r="K1015" s="91"/>
      <c r="L1015" s="91"/>
      <c r="M1015" s="91"/>
      <c r="N1015" s="42"/>
      <c r="O1015" s="42"/>
      <c r="P1015" s="42"/>
      <c r="Q1015" s="42"/>
      <c r="R1015" s="42"/>
      <c r="S1015" s="42"/>
      <c r="T1015" s="42"/>
    </row>
    <row r="1016" spans="1:20" ht="15" customHeight="1" x14ac:dyDescent="0.2">
      <c r="A1016" s="148"/>
      <c r="B1016" s="143" t="str">
        <f>IF(ISBLANK(A1016),"",IF(AND(ISNA(VLOOKUP(A1016,Interface_Platform!E:E,1,FALSE())),ISNA(VLOOKUP(A1016,D:D,1,FALSE()))),"N","Y"))</f>
        <v/>
      </c>
      <c r="C1016" s="143" t="s">
        <v>1755</v>
      </c>
      <c r="D1016" s="143" t="s">
        <v>193</v>
      </c>
      <c r="E1016" s="142">
        <v>1</v>
      </c>
      <c r="F1016" s="144" t="str">
        <f>IF(AND(ISNA(VLOOKUP(D1016,A:A,1,FALSE())),ISNA(VLOOKUP(D1016,BaseType!A:A,1,FALSE())),D1016&lt;&gt;"Struct"),"N","Y")</f>
        <v>Y</v>
      </c>
      <c r="G1016" s="150"/>
      <c r="H1016" s="91"/>
      <c r="I1016" s="91"/>
      <c r="J1016" s="91"/>
      <c r="K1016" s="91"/>
      <c r="L1016" s="91"/>
      <c r="M1016" s="91"/>
      <c r="N1016" s="42"/>
      <c r="O1016" s="42"/>
      <c r="P1016" s="42"/>
      <c r="Q1016" s="42"/>
      <c r="R1016" s="42"/>
      <c r="S1016" s="42"/>
      <c r="T1016" s="42"/>
    </row>
    <row r="1017" spans="1:20" ht="15" customHeight="1" x14ac:dyDescent="0.2">
      <c r="A1017" s="148" t="s">
        <v>1756</v>
      </c>
      <c r="B1017" s="143" t="str">
        <f>IF(ISBLANK(A1017),"",IF(AND(ISNA(VLOOKUP(A1017,Interface_Platform!E:E,1,FALSE())),ISNA(VLOOKUP(A1017,D:D,1,FALSE()))),"N","Y"))</f>
        <v>Y</v>
      </c>
      <c r="C1017" s="148"/>
      <c r="D1017" s="143" t="s">
        <v>484</v>
      </c>
      <c r="E1017" s="154"/>
      <c r="F1017" s="144" t="str">
        <f>IF(AND(ISNA(VLOOKUP(D1017,A:A,1,FALSE())),ISNA(VLOOKUP(D1017,BaseType!A:A,1,FALSE())),D1017&lt;&gt;"Struct"),"N","Y")</f>
        <v>Y</v>
      </c>
      <c r="G1017" s="150"/>
      <c r="H1017" s="91"/>
      <c r="I1017" s="91"/>
      <c r="J1017" s="91"/>
      <c r="K1017" s="91"/>
      <c r="L1017" s="91"/>
      <c r="M1017" s="91"/>
      <c r="N1017" s="42"/>
      <c r="O1017" s="42"/>
      <c r="P1017" s="42"/>
      <c r="Q1017" s="42"/>
      <c r="R1017" s="42"/>
      <c r="S1017" s="42"/>
      <c r="T1017" s="42"/>
    </row>
    <row r="1018" spans="1:20" ht="15" customHeight="1" x14ac:dyDescent="0.2">
      <c r="A1018" s="148"/>
      <c r="B1018" s="143"/>
      <c r="C1018" s="148" t="s">
        <v>1757</v>
      </c>
      <c r="D1018" s="143" t="s">
        <v>193</v>
      </c>
      <c r="E1018" s="142">
        <v>1</v>
      </c>
      <c r="F1018" s="144" t="str">
        <f>IF(AND(ISNA(VLOOKUP(D1018,A:A,1,FALSE())),ISNA(VLOOKUP(D1018,BaseType!A:A,1,FALSE())),D1018&lt;&gt;"Struct"),"N","Y")</f>
        <v>Y</v>
      </c>
      <c r="G1018" s="150"/>
      <c r="H1018" s="91"/>
      <c r="I1018" s="91"/>
      <c r="J1018" s="91"/>
      <c r="K1018" s="91"/>
      <c r="L1018" s="91"/>
      <c r="M1018" s="91"/>
      <c r="N1018" s="42"/>
      <c r="O1018" s="42"/>
      <c r="P1018" s="42"/>
      <c r="Q1018" s="42"/>
      <c r="R1018" s="42"/>
      <c r="S1018" s="42"/>
      <c r="T1018" s="42"/>
    </row>
    <row r="1019" spans="1:20" ht="15" customHeight="1" x14ac:dyDescent="0.2">
      <c r="A1019" s="148"/>
      <c r="B1019" s="143"/>
      <c r="C1019" s="148" t="s">
        <v>1758</v>
      </c>
      <c r="D1019" s="143" t="s">
        <v>193</v>
      </c>
      <c r="E1019" s="142">
        <v>1</v>
      </c>
      <c r="F1019" s="144" t="str">
        <f>IF(AND(ISNA(VLOOKUP(D1019,A:A,1,FALSE())),ISNA(VLOOKUP(D1019,BaseType!A:A,1,FALSE())),D1019&lt;&gt;"Struct"),"N","Y")</f>
        <v>Y</v>
      </c>
      <c r="G1019" s="150"/>
      <c r="H1019" s="91"/>
      <c r="I1019" s="91"/>
      <c r="J1019" s="91"/>
      <c r="K1019" s="91"/>
      <c r="L1019" s="91"/>
      <c r="M1019" s="91"/>
      <c r="N1019" s="42"/>
      <c r="O1019" s="42"/>
      <c r="P1019" s="42"/>
      <c r="Q1019" s="42"/>
      <c r="R1019" s="42"/>
      <c r="S1019" s="42"/>
      <c r="T1019" s="42"/>
    </row>
    <row r="1020" spans="1:20" ht="15" customHeight="1" x14ac:dyDescent="0.2">
      <c r="A1020" s="148"/>
      <c r="B1020" s="143"/>
      <c r="C1020" s="148" t="s">
        <v>1759</v>
      </c>
      <c r="D1020" s="143" t="s">
        <v>193</v>
      </c>
      <c r="E1020" s="142">
        <v>1</v>
      </c>
      <c r="F1020" s="144" t="str">
        <f>IF(AND(ISNA(VLOOKUP(D1020,A:A,1,FALSE())),ISNA(VLOOKUP(D1020,BaseType!A:A,1,FALSE())),D1020&lt;&gt;"Struct"),"N","Y")</f>
        <v>Y</v>
      </c>
      <c r="G1020" s="150"/>
      <c r="H1020" s="91"/>
      <c r="I1020" s="91"/>
      <c r="J1020" s="91"/>
      <c r="K1020" s="91"/>
      <c r="L1020" s="91"/>
      <c r="M1020" s="91"/>
      <c r="N1020" s="42"/>
      <c r="O1020" s="42"/>
      <c r="P1020" s="42"/>
      <c r="Q1020" s="42"/>
      <c r="R1020" s="42"/>
      <c r="S1020" s="42"/>
      <c r="T1020" s="42"/>
    </row>
    <row r="1021" spans="1:20" ht="15" customHeight="1" x14ac:dyDescent="0.2">
      <c r="A1021" s="148"/>
      <c r="B1021" s="143"/>
      <c r="C1021" s="148" t="s">
        <v>1760</v>
      </c>
      <c r="D1021" s="149" t="s">
        <v>225</v>
      </c>
      <c r="E1021" s="142">
        <v>1</v>
      </c>
      <c r="F1021" s="144" t="str">
        <f>IF(AND(ISNA(VLOOKUP(D1021,A:A,1,FALSE())),ISNA(VLOOKUP(D1021,BaseType!A:A,1,FALSE())),D1021&lt;&gt;"Struct"),"N","Y")</f>
        <v>Y</v>
      </c>
      <c r="G1021" s="150"/>
      <c r="H1021" s="91"/>
      <c r="I1021" s="91"/>
      <c r="J1021" s="91"/>
      <c r="K1021" s="91"/>
      <c r="L1021" s="91"/>
      <c r="M1021" s="91"/>
      <c r="N1021" s="42"/>
      <c r="O1021" s="42"/>
      <c r="P1021" s="42"/>
      <c r="Q1021" s="42"/>
      <c r="R1021" s="42"/>
      <c r="S1021" s="42"/>
      <c r="T1021" s="42"/>
    </row>
    <row r="1022" spans="1:20" ht="15" customHeight="1" x14ac:dyDescent="0.2">
      <c r="A1022" s="148"/>
      <c r="B1022" s="143"/>
      <c r="C1022" s="148" t="s">
        <v>1761</v>
      </c>
      <c r="D1022" s="149" t="s">
        <v>293</v>
      </c>
      <c r="E1022" s="142">
        <v>1</v>
      </c>
      <c r="F1022" s="144" t="str">
        <f>IF(AND(ISNA(VLOOKUP(D1022,A:A,1,FALSE())),ISNA(VLOOKUP(D1022,BaseType!A:A,1,FALSE())),D1022&lt;&gt;"Struct"),"N","Y")</f>
        <v>Y</v>
      </c>
      <c r="G1022" s="150" t="s">
        <v>1762</v>
      </c>
      <c r="H1022" s="91"/>
      <c r="I1022" s="91"/>
      <c r="J1022" s="91"/>
      <c r="K1022" s="91"/>
      <c r="L1022" s="91"/>
      <c r="M1022" s="91"/>
      <c r="N1022" s="42"/>
      <c r="O1022" s="42"/>
      <c r="P1022" s="42"/>
      <c r="Q1022" s="42"/>
      <c r="R1022" s="42"/>
      <c r="S1022" s="42"/>
      <c r="T1022" s="42"/>
    </row>
    <row r="1023" spans="1:20" ht="15" customHeight="1" x14ac:dyDescent="0.2">
      <c r="A1023" s="148"/>
      <c r="B1023" s="143"/>
      <c r="C1023" s="148" t="s">
        <v>1763</v>
      </c>
      <c r="D1023" s="149" t="s">
        <v>225</v>
      </c>
      <c r="E1023" s="142">
        <v>1</v>
      </c>
      <c r="F1023" s="144" t="str">
        <f>IF(AND(ISNA(VLOOKUP(D1023,A:A,1,FALSE())),ISNA(VLOOKUP(D1023,BaseType!A:A,1,FALSE())),D1023&lt;&gt;"Struct"),"N","Y")</f>
        <v>Y</v>
      </c>
      <c r="G1023" s="150"/>
      <c r="H1023" s="91"/>
      <c r="I1023" s="91"/>
      <c r="J1023" s="91"/>
      <c r="K1023" s="91"/>
      <c r="L1023" s="91"/>
      <c r="M1023" s="91"/>
      <c r="N1023" s="42"/>
      <c r="O1023" s="42"/>
      <c r="P1023" s="42"/>
      <c r="Q1023" s="42"/>
      <c r="R1023" s="42"/>
      <c r="S1023" s="42"/>
      <c r="T1023" s="42"/>
    </row>
    <row r="1024" spans="1:20" ht="15" customHeight="1" x14ac:dyDescent="0.2">
      <c r="A1024" s="148"/>
      <c r="B1024" s="143"/>
      <c r="C1024" s="148" t="s">
        <v>1764</v>
      </c>
      <c r="D1024" s="149" t="s">
        <v>293</v>
      </c>
      <c r="E1024" s="142">
        <v>1</v>
      </c>
      <c r="F1024" s="144" t="str">
        <f>IF(AND(ISNA(VLOOKUP(D1024,A:A,1,FALSE())),ISNA(VLOOKUP(D1024,BaseType!A:A,1,FALSE())),D1024&lt;&gt;"Struct"),"N","Y")</f>
        <v>Y</v>
      </c>
      <c r="G1024" s="150" t="s">
        <v>1762</v>
      </c>
      <c r="H1024" s="91"/>
      <c r="I1024" s="91"/>
      <c r="J1024" s="91"/>
      <c r="K1024" s="91"/>
      <c r="L1024" s="91"/>
      <c r="M1024" s="91"/>
      <c r="N1024" s="42"/>
      <c r="O1024" s="42"/>
      <c r="P1024" s="42"/>
      <c r="Q1024" s="42"/>
      <c r="R1024" s="42"/>
      <c r="S1024" s="42"/>
      <c r="T1024" s="42"/>
    </row>
    <row r="1025" spans="1:20" ht="15" customHeight="1" x14ac:dyDescent="0.2">
      <c r="A1025" s="148"/>
      <c r="B1025" s="143"/>
      <c r="C1025" s="148" t="s">
        <v>1401</v>
      </c>
      <c r="D1025" s="143" t="s">
        <v>193</v>
      </c>
      <c r="E1025" s="142">
        <v>1</v>
      </c>
      <c r="F1025" s="144" t="str">
        <f>IF(AND(ISNA(VLOOKUP(D1025,A:A,1,FALSE())),ISNA(VLOOKUP(D1025,BaseType!A:A,1,FALSE())),D1025&lt;&gt;"Struct"),"N","Y")</f>
        <v>Y</v>
      </c>
      <c r="G1025" s="150"/>
      <c r="H1025" s="91"/>
      <c r="I1025" s="91"/>
      <c r="J1025" s="91"/>
      <c r="K1025" s="91"/>
      <c r="L1025" s="91"/>
      <c r="M1025" s="91"/>
      <c r="N1025" s="42"/>
      <c r="O1025" s="42"/>
      <c r="P1025" s="42"/>
      <c r="Q1025" s="42"/>
      <c r="R1025" s="42"/>
      <c r="S1025" s="42"/>
      <c r="T1025" s="42"/>
    </row>
    <row r="1026" spans="1:20" ht="15" customHeight="1" x14ac:dyDescent="0.2">
      <c r="A1026" s="148"/>
      <c r="B1026" s="143"/>
      <c r="C1026" s="148" t="s">
        <v>1402</v>
      </c>
      <c r="D1026" s="143" t="s">
        <v>193</v>
      </c>
      <c r="E1026" s="142">
        <v>1</v>
      </c>
      <c r="F1026" s="144" t="str">
        <f>IF(AND(ISNA(VLOOKUP(D1026,A:A,1,FALSE())),ISNA(VLOOKUP(D1026,BaseType!A:A,1,FALSE())),D1026&lt;&gt;"Struct"),"N","Y")</f>
        <v>Y</v>
      </c>
      <c r="G1026" s="150"/>
      <c r="H1026" s="91"/>
      <c r="I1026" s="91"/>
      <c r="J1026" s="91"/>
      <c r="K1026" s="91"/>
      <c r="L1026" s="91"/>
      <c r="M1026" s="91"/>
      <c r="N1026" s="42"/>
      <c r="O1026" s="42"/>
      <c r="P1026" s="42"/>
      <c r="Q1026" s="42"/>
      <c r="R1026" s="42"/>
      <c r="S1026" s="42"/>
      <c r="T1026" s="42"/>
    </row>
    <row r="1027" spans="1:20" ht="15" customHeight="1" x14ac:dyDescent="0.2">
      <c r="A1027" s="148"/>
      <c r="B1027" s="143"/>
      <c r="C1027" s="148" t="s">
        <v>1765</v>
      </c>
      <c r="D1027" s="143" t="s">
        <v>193</v>
      </c>
      <c r="E1027" s="142">
        <v>1</v>
      </c>
      <c r="F1027" s="144" t="str">
        <f>IF(AND(ISNA(VLOOKUP(D1027,A:A,1,FALSE())),ISNA(VLOOKUP(D1027,BaseType!A:A,1,FALSE())),D1027&lt;&gt;"Struct"),"N","Y")</f>
        <v>Y</v>
      </c>
      <c r="G1027" s="150" t="s">
        <v>1762</v>
      </c>
      <c r="H1027" s="91"/>
      <c r="I1027" s="91"/>
      <c r="J1027" s="91"/>
      <c r="K1027" s="91"/>
      <c r="L1027" s="91"/>
      <c r="M1027" s="91"/>
      <c r="N1027" s="42"/>
      <c r="O1027" s="42"/>
      <c r="P1027" s="42"/>
      <c r="Q1027" s="42"/>
      <c r="R1027" s="42"/>
      <c r="S1027" s="42"/>
      <c r="T1027" s="42"/>
    </row>
    <row r="1028" spans="1:20" ht="15" customHeight="1" x14ac:dyDescent="0.2">
      <c r="A1028" s="148"/>
      <c r="B1028" s="143"/>
      <c r="C1028" s="148" t="s">
        <v>1766</v>
      </c>
      <c r="D1028" s="149" t="s">
        <v>225</v>
      </c>
      <c r="E1028" s="142">
        <v>1</v>
      </c>
      <c r="F1028" s="144" t="str">
        <f>IF(AND(ISNA(VLOOKUP(D1028,A:A,1,FALSE())),ISNA(VLOOKUP(D1028,BaseType!A:A,1,FALSE())),D1028&lt;&gt;"Struct"),"N","Y")</f>
        <v>Y</v>
      </c>
      <c r="G1028" s="150"/>
      <c r="H1028" s="91"/>
      <c r="I1028" s="91"/>
      <c r="J1028" s="91"/>
      <c r="K1028" s="91"/>
      <c r="L1028" s="91"/>
      <c r="M1028" s="91"/>
      <c r="N1028" s="42"/>
      <c r="O1028" s="42"/>
      <c r="P1028" s="42"/>
      <c r="Q1028" s="42"/>
      <c r="R1028" s="42"/>
      <c r="S1028" s="42"/>
      <c r="T1028" s="42"/>
    </row>
    <row r="1029" spans="1:20" ht="15" customHeight="1" x14ac:dyDescent="0.2">
      <c r="A1029" s="148"/>
      <c r="B1029" s="143"/>
      <c r="C1029" s="148" t="s">
        <v>1767</v>
      </c>
      <c r="D1029" s="143" t="s">
        <v>193</v>
      </c>
      <c r="E1029" s="142">
        <v>1</v>
      </c>
      <c r="F1029" s="144" t="str">
        <f>IF(AND(ISNA(VLOOKUP(D1029,A:A,1,FALSE())),ISNA(VLOOKUP(D1029,BaseType!A:A,1,FALSE())),D1029&lt;&gt;"Struct"),"N","Y")</f>
        <v>Y</v>
      </c>
      <c r="G1029" s="150"/>
      <c r="H1029" s="91"/>
      <c r="I1029" s="91"/>
      <c r="J1029" s="91"/>
      <c r="K1029" s="91"/>
      <c r="L1029" s="91"/>
      <c r="M1029" s="91"/>
      <c r="N1029" s="42"/>
      <c r="O1029" s="42"/>
      <c r="P1029" s="42"/>
      <c r="Q1029" s="42"/>
      <c r="R1029" s="42"/>
      <c r="S1029" s="42"/>
      <c r="T1029" s="42"/>
    </row>
    <row r="1030" spans="1:20" ht="15" customHeight="1" x14ac:dyDescent="0.2">
      <c r="A1030" s="148"/>
      <c r="B1030" s="143"/>
      <c r="C1030" s="148" t="s">
        <v>1768</v>
      </c>
      <c r="D1030" s="143" t="s">
        <v>298</v>
      </c>
      <c r="E1030" s="142">
        <v>1</v>
      </c>
      <c r="F1030" s="144" t="str">
        <f>IF(AND(ISNA(VLOOKUP(D1030,A:A,1,FALSE())),ISNA(VLOOKUP(D1030,BaseType!A:A,1,FALSE())),D1030&lt;&gt;"Struct"),"N","Y")</f>
        <v>Y</v>
      </c>
      <c r="G1030" s="150"/>
      <c r="H1030" s="91"/>
      <c r="I1030" s="91"/>
      <c r="J1030" s="91"/>
      <c r="K1030" s="91"/>
      <c r="L1030" s="91"/>
      <c r="M1030" s="91"/>
      <c r="N1030" s="42"/>
      <c r="O1030" s="42"/>
      <c r="P1030" s="42"/>
      <c r="Q1030" s="42"/>
      <c r="R1030" s="42"/>
      <c r="S1030" s="42"/>
      <c r="T1030" s="42"/>
    </row>
    <row r="1031" spans="1:20" ht="15" customHeight="1" x14ac:dyDescent="0.2">
      <c r="A1031" s="148" t="s">
        <v>1769</v>
      </c>
      <c r="B1031" s="143" t="str">
        <f>IF(ISBLANK(A1031),"",IF(AND(ISNA(VLOOKUP(A1031,Interface_Platform!E:E,1,FALSE())),ISNA(VLOOKUP(A1031,D:D,1,FALSE()))),"N","Y"))</f>
        <v>Y</v>
      </c>
      <c r="C1031" s="148"/>
      <c r="D1031" s="143" t="s">
        <v>484</v>
      </c>
      <c r="E1031" s="154"/>
      <c r="F1031" s="144" t="str">
        <f>IF(AND(ISNA(VLOOKUP(D1031,A:A,1,FALSE())),ISNA(VLOOKUP(D1031,BaseType!A:A,1,FALSE())),D1031&lt;&gt;"Struct"),"N","Y")</f>
        <v>Y</v>
      </c>
      <c r="G1031" s="150"/>
      <c r="H1031" s="91"/>
      <c r="I1031" s="91"/>
      <c r="J1031" s="91"/>
      <c r="K1031" s="91"/>
      <c r="L1031" s="91"/>
      <c r="M1031" s="91"/>
      <c r="N1031" s="42"/>
      <c r="O1031" s="42"/>
      <c r="P1031" s="42"/>
      <c r="Q1031" s="42"/>
      <c r="R1031" s="42"/>
      <c r="S1031" s="42"/>
      <c r="T1031" s="42"/>
    </row>
    <row r="1032" spans="1:20" ht="15" customHeight="1" x14ac:dyDescent="0.2">
      <c r="A1032" s="148"/>
      <c r="B1032" s="143"/>
      <c r="C1032" s="148" t="s">
        <v>1770</v>
      </c>
      <c r="D1032" s="143" t="s">
        <v>193</v>
      </c>
      <c r="E1032" s="142">
        <v>1</v>
      </c>
      <c r="F1032" s="144" t="str">
        <f>IF(AND(ISNA(VLOOKUP(D1032,A:A,1,FALSE())),ISNA(VLOOKUP(D1032,BaseType!A:A,1,FALSE())),D1032&lt;&gt;"Struct"),"N","Y")</f>
        <v>Y</v>
      </c>
      <c r="G1032" s="150"/>
      <c r="H1032" s="91"/>
      <c r="I1032" s="91"/>
      <c r="J1032" s="91"/>
      <c r="K1032" s="91"/>
      <c r="L1032" s="91"/>
      <c r="M1032" s="91"/>
      <c r="N1032" s="42"/>
      <c r="O1032" s="42"/>
      <c r="P1032" s="42"/>
      <c r="Q1032" s="42"/>
      <c r="R1032" s="42"/>
      <c r="S1032" s="42"/>
      <c r="T1032" s="42"/>
    </row>
    <row r="1033" spans="1:20" ht="15" customHeight="1" x14ac:dyDescent="0.2">
      <c r="A1033" s="148"/>
      <c r="B1033" s="143"/>
      <c r="C1033" s="148" t="s">
        <v>1771</v>
      </c>
      <c r="D1033" s="148" t="s">
        <v>193</v>
      </c>
      <c r="E1033" s="142">
        <v>1</v>
      </c>
      <c r="F1033" s="144" t="str">
        <f>IF(AND(ISNA(VLOOKUP(D1033,A:A,1,FALSE())),ISNA(VLOOKUP(D1033,BaseType!A:A,1,FALSE())),D1033&lt;&gt;"Struct"),"N","Y")</f>
        <v>Y</v>
      </c>
      <c r="G1033" s="150" t="s">
        <v>1772</v>
      </c>
      <c r="H1033" s="91"/>
      <c r="I1033" s="91"/>
      <c r="J1033" s="91"/>
      <c r="K1033" s="91"/>
      <c r="L1033" s="91"/>
      <c r="M1033" s="91"/>
      <c r="N1033" s="42"/>
      <c r="O1033" s="42"/>
      <c r="P1033" s="42"/>
      <c r="Q1033" s="42"/>
      <c r="R1033" s="42"/>
      <c r="S1033" s="42"/>
      <c r="T1033" s="42"/>
    </row>
    <row r="1034" spans="1:20" ht="15" customHeight="1" x14ac:dyDescent="0.2">
      <c r="A1034" s="148"/>
      <c r="B1034" s="143"/>
      <c r="C1034" s="148" t="s">
        <v>1773</v>
      </c>
      <c r="D1034" s="148" t="s">
        <v>193</v>
      </c>
      <c r="E1034" s="142">
        <v>1</v>
      </c>
      <c r="F1034" s="144" t="str">
        <f>IF(AND(ISNA(VLOOKUP(D1034,A:A,1,FALSE())),ISNA(VLOOKUP(D1034,BaseType!A:A,1,FALSE())),D1034&lt;&gt;"Struct"),"N","Y")</f>
        <v>Y</v>
      </c>
      <c r="G1034" s="150" t="s">
        <v>1774</v>
      </c>
      <c r="H1034" s="91"/>
      <c r="I1034" s="91"/>
      <c r="J1034" s="91"/>
      <c r="K1034" s="91"/>
      <c r="L1034" s="91"/>
      <c r="M1034" s="91"/>
      <c r="N1034" s="42"/>
      <c r="O1034" s="42"/>
      <c r="P1034" s="42"/>
      <c r="Q1034" s="42"/>
      <c r="R1034" s="42"/>
      <c r="S1034" s="42"/>
      <c r="T1034" s="42"/>
    </row>
    <row r="1035" spans="1:20" ht="15" customHeight="1" x14ac:dyDescent="0.2">
      <c r="A1035" s="148"/>
      <c r="B1035" s="143"/>
      <c r="C1035" s="148" t="s">
        <v>1775</v>
      </c>
      <c r="D1035" s="148" t="s">
        <v>764</v>
      </c>
      <c r="E1035" s="142">
        <v>1</v>
      </c>
      <c r="F1035" s="144" t="str">
        <f>IF(AND(ISNA(VLOOKUP(D1035,A:A,1,FALSE())),ISNA(VLOOKUP(D1035,BaseType!A:A,1,FALSE())),D1035&lt;&gt;"Struct"),"N","Y")</f>
        <v>Y</v>
      </c>
      <c r="G1035" s="150"/>
      <c r="H1035" s="91"/>
      <c r="I1035" s="91"/>
      <c r="J1035" s="91"/>
      <c r="K1035" s="91"/>
      <c r="L1035" s="91"/>
      <c r="M1035" s="91"/>
      <c r="N1035" s="42"/>
      <c r="O1035" s="42"/>
      <c r="P1035" s="42"/>
      <c r="Q1035" s="42"/>
      <c r="R1035" s="42"/>
      <c r="S1035" s="42"/>
      <c r="T1035" s="42"/>
    </row>
    <row r="1036" spans="1:20" ht="15" customHeight="1" x14ac:dyDescent="0.2">
      <c r="A1036" s="148"/>
      <c r="B1036" s="143"/>
      <c r="C1036" s="148" t="s">
        <v>1776</v>
      </c>
      <c r="D1036" s="148" t="s">
        <v>193</v>
      </c>
      <c r="E1036" s="142">
        <v>1</v>
      </c>
      <c r="F1036" s="144" t="str">
        <f>IF(AND(ISNA(VLOOKUP(D1036,A:A,1,FALSE())),ISNA(VLOOKUP(D1036,BaseType!A:A,1,FALSE())),D1036&lt;&gt;"Struct"),"N","Y")</f>
        <v>Y</v>
      </c>
      <c r="G1036" s="150"/>
      <c r="H1036" s="91"/>
      <c r="I1036" s="91"/>
      <c r="J1036" s="91"/>
      <c r="K1036" s="91"/>
      <c r="L1036" s="91"/>
      <c r="M1036" s="91"/>
      <c r="N1036" s="42"/>
      <c r="O1036" s="42"/>
      <c r="P1036" s="42"/>
      <c r="Q1036" s="42"/>
      <c r="R1036" s="42"/>
      <c r="S1036" s="42"/>
      <c r="T1036" s="42"/>
    </row>
    <row r="1037" spans="1:20" ht="15" customHeight="1" x14ac:dyDescent="0.2">
      <c r="A1037" s="148"/>
      <c r="B1037" s="143"/>
      <c r="C1037" s="148" t="s">
        <v>1777</v>
      </c>
      <c r="D1037" s="148" t="s">
        <v>193</v>
      </c>
      <c r="E1037" s="142">
        <v>1</v>
      </c>
      <c r="F1037" s="144" t="str">
        <f>IF(AND(ISNA(VLOOKUP(D1037,A:A,1,FALSE())),ISNA(VLOOKUP(D1037,BaseType!A:A,1,FALSE())),D1037&lt;&gt;"Struct"),"N","Y")</f>
        <v>Y</v>
      </c>
      <c r="G1037" s="150" t="s">
        <v>1778</v>
      </c>
      <c r="H1037" s="91"/>
      <c r="I1037" s="91"/>
      <c r="J1037" s="91"/>
      <c r="K1037" s="91"/>
      <c r="L1037" s="91"/>
      <c r="M1037" s="91"/>
      <c r="N1037" s="42"/>
      <c r="O1037" s="42"/>
      <c r="P1037" s="42"/>
      <c r="Q1037" s="42"/>
      <c r="R1037" s="42"/>
      <c r="S1037" s="42"/>
      <c r="T1037" s="42"/>
    </row>
    <row r="1038" spans="1:20" ht="15" customHeight="1" x14ac:dyDescent="0.2">
      <c r="A1038" s="148"/>
      <c r="B1038" s="143"/>
      <c r="C1038" s="148" t="s">
        <v>1779</v>
      </c>
      <c r="D1038" s="148" t="s">
        <v>193</v>
      </c>
      <c r="E1038" s="142">
        <v>1</v>
      </c>
      <c r="F1038" s="144" t="str">
        <f>IF(AND(ISNA(VLOOKUP(D1038,A:A,1,FALSE())),ISNA(VLOOKUP(D1038,BaseType!A:A,1,FALSE())),D1038&lt;&gt;"Struct"),"N","Y")</f>
        <v>Y</v>
      </c>
      <c r="G1038" s="150" t="s">
        <v>1780</v>
      </c>
      <c r="H1038" s="91"/>
      <c r="I1038" s="91"/>
      <c r="J1038" s="91"/>
      <c r="K1038" s="91"/>
      <c r="L1038" s="91"/>
      <c r="M1038" s="91"/>
      <c r="N1038" s="42"/>
      <c r="O1038" s="42"/>
      <c r="P1038" s="42"/>
      <c r="Q1038" s="42"/>
      <c r="R1038" s="42"/>
      <c r="S1038" s="42"/>
      <c r="T1038" s="42"/>
    </row>
    <row r="1039" spans="1:20" ht="15" customHeight="1" x14ac:dyDescent="0.2">
      <c r="A1039" s="148"/>
      <c r="B1039" s="143"/>
      <c r="C1039" s="148" t="s">
        <v>1781</v>
      </c>
      <c r="D1039" s="148" t="s">
        <v>193</v>
      </c>
      <c r="E1039" s="142">
        <v>1</v>
      </c>
      <c r="F1039" s="144" t="str">
        <f>IF(AND(ISNA(VLOOKUP(D1039,A:A,1,FALSE())),ISNA(VLOOKUP(D1039,BaseType!A:A,1,FALSE())),D1039&lt;&gt;"Struct"),"N","Y")</f>
        <v>Y</v>
      </c>
      <c r="G1039" s="150" t="s">
        <v>1782</v>
      </c>
      <c r="H1039" s="91"/>
      <c r="I1039" s="91"/>
      <c r="J1039" s="91"/>
      <c r="K1039" s="91"/>
      <c r="L1039" s="91"/>
      <c r="M1039" s="91"/>
      <c r="N1039" s="42"/>
      <c r="O1039" s="42"/>
      <c r="P1039" s="42"/>
      <c r="Q1039" s="42"/>
      <c r="R1039" s="42"/>
      <c r="S1039" s="42"/>
      <c r="T1039" s="42"/>
    </row>
    <row r="1040" spans="1:20" ht="15" customHeight="1" x14ac:dyDescent="0.2">
      <c r="A1040" s="148"/>
      <c r="B1040" s="143"/>
      <c r="C1040" s="148" t="s">
        <v>1783</v>
      </c>
      <c r="D1040" s="148" t="s">
        <v>193</v>
      </c>
      <c r="E1040" s="142">
        <v>1</v>
      </c>
      <c r="F1040" s="144" t="str">
        <f>IF(AND(ISNA(VLOOKUP(D1040,A:A,1,FALSE())),ISNA(VLOOKUP(D1040,BaseType!A:A,1,FALSE())),D1040&lt;&gt;"Struct"),"N","Y")</f>
        <v>Y</v>
      </c>
      <c r="G1040" s="150" t="s">
        <v>1784</v>
      </c>
      <c r="H1040" s="91"/>
      <c r="I1040" s="91"/>
      <c r="J1040" s="91"/>
      <c r="K1040" s="91"/>
      <c r="L1040" s="91"/>
      <c r="M1040" s="91"/>
      <c r="N1040" s="42"/>
      <c r="O1040" s="42"/>
      <c r="P1040" s="42"/>
      <c r="Q1040" s="42"/>
      <c r="R1040" s="42"/>
      <c r="S1040" s="42"/>
      <c r="T1040" s="42"/>
    </row>
    <row r="1041" spans="1:20" ht="15" customHeight="1" x14ac:dyDescent="0.2">
      <c r="A1041" s="148"/>
      <c r="B1041" s="143"/>
      <c r="C1041" s="148" t="s">
        <v>1785</v>
      </c>
      <c r="D1041" s="148" t="s">
        <v>193</v>
      </c>
      <c r="E1041" s="142">
        <v>1</v>
      </c>
      <c r="F1041" s="144" t="str">
        <f>IF(AND(ISNA(VLOOKUP(D1041,A:A,1,FALSE())),ISNA(VLOOKUP(D1041,BaseType!A:A,1,FALSE())),D1041&lt;&gt;"Struct"),"N","Y")</f>
        <v>Y</v>
      </c>
      <c r="G1041" s="150" t="s">
        <v>1786</v>
      </c>
      <c r="H1041" s="91"/>
      <c r="I1041" s="91"/>
      <c r="J1041" s="91"/>
      <c r="K1041" s="91"/>
      <c r="L1041" s="91"/>
      <c r="M1041" s="91"/>
      <c r="N1041" s="42"/>
      <c r="O1041" s="42"/>
      <c r="P1041" s="42"/>
      <c r="Q1041" s="42"/>
      <c r="R1041" s="42"/>
      <c r="S1041" s="42"/>
      <c r="T1041" s="42"/>
    </row>
    <row r="1042" spans="1:20" ht="15" customHeight="1" x14ac:dyDescent="0.2">
      <c r="A1042" s="148"/>
      <c r="B1042" s="143"/>
      <c r="C1042" s="148" t="s">
        <v>1787</v>
      </c>
      <c r="D1042" s="148" t="s">
        <v>193</v>
      </c>
      <c r="E1042" s="142">
        <v>1</v>
      </c>
      <c r="F1042" s="144" t="str">
        <f>IF(AND(ISNA(VLOOKUP(D1042,A:A,1,FALSE())),ISNA(VLOOKUP(D1042,BaseType!A:A,1,FALSE())),D1042&lt;&gt;"Struct"),"N","Y")</f>
        <v>Y</v>
      </c>
      <c r="G1042" s="150" t="s">
        <v>1788</v>
      </c>
      <c r="H1042" s="91"/>
      <c r="I1042" s="91"/>
      <c r="J1042" s="91"/>
      <c r="K1042" s="91"/>
      <c r="L1042" s="91"/>
      <c r="M1042" s="91"/>
      <c r="N1042" s="42"/>
      <c r="O1042" s="42"/>
      <c r="P1042" s="42"/>
      <c r="Q1042" s="42"/>
      <c r="R1042" s="42"/>
      <c r="S1042" s="42"/>
      <c r="T1042" s="42"/>
    </row>
    <row r="1043" spans="1:20" ht="15" customHeight="1" x14ac:dyDescent="0.2">
      <c r="A1043" s="148"/>
      <c r="B1043" s="143"/>
      <c r="C1043" s="148" t="s">
        <v>1789</v>
      </c>
      <c r="D1043" s="148" t="s">
        <v>193</v>
      </c>
      <c r="E1043" s="142">
        <v>1</v>
      </c>
      <c r="F1043" s="144" t="str">
        <f>IF(AND(ISNA(VLOOKUP(D1043,A:A,1,FALSE())),ISNA(VLOOKUP(D1043,BaseType!A:A,1,FALSE())),D1043&lt;&gt;"Struct"),"N","Y")</f>
        <v>Y</v>
      </c>
      <c r="G1043" s="150" t="s">
        <v>1790</v>
      </c>
      <c r="H1043" s="91"/>
      <c r="I1043" s="91"/>
      <c r="J1043" s="91"/>
      <c r="K1043" s="91"/>
      <c r="L1043" s="91"/>
      <c r="M1043" s="91"/>
      <c r="N1043" s="42"/>
      <c r="O1043" s="42"/>
      <c r="P1043" s="42"/>
      <c r="Q1043" s="42"/>
      <c r="R1043" s="42"/>
      <c r="S1043" s="42"/>
      <c r="T1043" s="42"/>
    </row>
    <row r="1044" spans="1:20" ht="15" customHeight="1" x14ac:dyDescent="0.2">
      <c r="A1044" s="148"/>
      <c r="B1044" s="143"/>
      <c r="C1044" s="148" t="s">
        <v>1791</v>
      </c>
      <c r="D1044" s="148" t="s">
        <v>193</v>
      </c>
      <c r="E1044" s="142">
        <v>1</v>
      </c>
      <c r="F1044" s="144" t="str">
        <f>IF(AND(ISNA(VLOOKUP(D1044,A:A,1,FALSE())),ISNA(VLOOKUP(D1044,BaseType!A:A,1,FALSE())),D1044&lt;&gt;"Struct"),"N","Y")</f>
        <v>Y</v>
      </c>
      <c r="G1044" s="150" t="s">
        <v>1792</v>
      </c>
      <c r="H1044" s="91"/>
      <c r="I1044" s="91"/>
      <c r="J1044" s="91"/>
      <c r="K1044" s="91"/>
      <c r="L1044" s="91"/>
      <c r="M1044" s="91"/>
      <c r="N1044" s="42"/>
      <c r="O1044" s="42"/>
      <c r="P1044" s="42"/>
      <c r="Q1044" s="42"/>
      <c r="R1044" s="42"/>
      <c r="S1044" s="42"/>
      <c r="T1044" s="42"/>
    </row>
    <row r="1045" spans="1:20" ht="15" customHeight="1" x14ac:dyDescent="0.2">
      <c r="A1045" s="148"/>
      <c r="B1045" s="143"/>
      <c r="C1045" s="148" t="s">
        <v>1793</v>
      </c>
      <c r="D1045" s="148" t="s">
        <v>193</v>
      </c>
      <c r="E1045" s="142">
        <v>1</v>
      </c>
      <c r="F1045" s="144" t="str">
        <f>IF(AND(ISNA(VLOOKUP(D1045,A:A,1,FALSE())),ISNA(VLOOKUP(D1045,BaseType!A:A,1,FALSE())),D1045&lt;&gt;"Struct"),"N","Y")</f>
        <v>Y</v>
      </c>
      <c r="G1045" s="150" t="s">
        <v>1794</v>
      </c>
      <c r="H1045" s="91"/>
      <c r="I1045" s="91"/>
      <c r="J1045" s="91"/>
      <c r="K1045" s="91"/>
      <c r="L1045" s="91"/>
      <c r="M1045" s="91"/>
      <c r="N1045" s="42"/>
      <c r="O1045" s="42"/>
      <c r="P1045" s="42"/>
      <c r="Q1045" s="42"/>
      <c r="R1045" s="42"/>
      <c r="S1045" s="42"/>
      <c r="T1045" s="42"/>
    </row>
    <row r="1046" spans="1:20" ht="15" customHeight="1" x14ac:dyDescent="0.2">
      <c r="A1046" s="148"/>
      <c r="B1046" s="143"/>
      <c r="C1046" s="148" t="s">
        <v>1795</v>
      </c>
      <c r="D1046" s="148" t="s">
        <v>193</v>
      </c>
      <c r="E1046" s="142">
        <v>1</v>
      </c>
      <c r="F1046" s="144" t="str">
        <f>IF(AND(ISNA(VLOOKUP(D1046,A:A,1,FALSE())),ISNA(VLOOKUP(D1046,BaseType!A:A,1,FALSE())),D1046&lt;&gt;"Struct"),"N","Y")</f>
        <v>Y</v>
      </c>
      <c r="G1046" s="150" t="s">
        <v>1796</v>
      </c>
      <c r="H1046" s="91"/>
      <c r="I1046" s="91"/>
      <c r="J1046" s="91"/>
      <c r="K1046" s="91"/>
      <c r="L1046" s="91"/>
      <c r="M1046" s="91"/>
      <c r="N1046" s="42"/>
      <c r="O1046" s="42"/>
      <c r="P1046" s="42"/>
      <c r="Q1046" s="42"/>
      <c r="R1046" s="42"/>
      <c r="S1046" s="42"/>
      <c r="T1046" s="42"/>
    </row>
    <row r="1047" spans="1:20" ht="15" customHeight="1" x14ac:dyDescent="0.2">
      <c r="A1047" s="148"/>
      <c r="B1047" s="143"/>
      <c r="C1047" s="148" t="s">
        <v>1797</v>
      </c>
      <c r="D1047" s="149" t="s">
        <v>225</v>
      </c>
      <c r="E1047" s="142">
        <v>1</v>
      </c>
      <c r="F1047" s="144" t="str">
        <f>IF(AND(ISNA(VLOOKUP(D1047,A:A,1,FALSE())),ISNA(VLOOKUP(D1047,BaseType!A:A,1,FALSE())),D1047&lt;&gt;"Struct"),"N","Y")</f>
        <v>Y</v>
      </c>
      <c r="G1047" s="150"/>
      <c r="H1047" s="91"/>
      <c r="I1047" s="91"/>
      <c r="J1047" s="91"/>
      <c r="K1047" s="91"/>
      <c r="L1047" s="91"/>
      <c r="M1047" s="91"/>
      <c r="N1047" s="42"/>
      <c r="O1047" s="42"/>
      <c r="P1047" s="42"/>
      <c r="Q1047" s="42"/>
      <c r="R1047" s="42"/>
      <c r="S1047" s="42"/>
      <c r="T1047" s="42"/>
    </row>
    <row r="1048" spans="1:20" ht="15" customHeight="1" x14ac:dyDescent="0.2">
      <c r="A1048" s="148"/>
      <c r="B1048" s="143"/>
      <c r="C1048" s="148" t="s">
        <v>1798</v>
      </c>
      <c r="D1048" s="149" t="s">
        <v>225</v>
      </c>
      <c r="E1048" s="142">
        <v>1</v>
      </c>
      <c r="F1048" s="144" t="str">
        <f>IF(AND(ISNA(VLOOKUP(D1048,A:A,1,FALSE())),ISNA(VLOOKUP(D1048,BaseType!A:A,1,FALSE())),D1048&lt;&gt;"Struct"),"N","Y")</f>
        <v>Y</v>
      </c>
      <c r="G1048" s="150"/>
      <c r="H1048" s="91"/>
      <c r="I1048" s="91"/>
      <c r="J1048" s="91"/>
      <c r="K1048" s="91"/>
      <c r="L1048" s="91"/>
      <c r="M1048" s="91"/>
      <c r="N1048" s="42"/>
      <c r="O1048" s="42"/>
      <c r="P1048" s="42"/>
      <c r="Q1048" s="42"/>
      <c r="R1048" s="42"/>
      <c r="S1048" s="42"/>
      <c r="T1048" s="42"/>
    </row>
    <row r="1049" spans="1:20" ht="15" customHeight="1" x14ac:dyDescent="0.2">
      <c r="A1049" s="148"/>
      <c r="B1049" s="143"/>
      <c r="C1049" s="148" t="s">
        <v>1799</v>
      </c>
      <c r="D1049" s="149" t="s">
        <v>225</v>
      </c>
      <c r="E1049" s="142">
        <v>1</v>
      </c>
      <c r="F1049" s="144" t="str">
        <f>IF(AND(ISNA(VLOOKUP(D1049,A:A,1,FALSE())),ISNA(VLOOKUP(D1049,BaseType!A:A,1,FALSE())),D1049&lt;&gt;"Struct"),"N","Y")</f>
        <v>Y</v>
      </c>
      <c r="G1049" s="150"/>
      <c r="H1049" s="91"/>
      <c r="I1049" s="91"/>
      <c r="J1049" s="91"/>
      <c r="K1049" s="91"/>
      <c r="L1049" s="91"/>
      <c r="M1049" s="91"/>
      <c r="N1049" s="42"/>
      <c r="O1049" s="42"/>
      <c r="P1049" s="42"/>
      <c r="Q1049" s="42"/>
      <c r="R1049" s="42"/>
      <c r="S1049" s="42"/>
      <c r="T1049" s="42"/>
    </row>
    <row r="1050" spans="1:20" ht="15" customHeight="1" x14ac:dyDescent="0.2">
      <c r="A1050" s="148"/>
      <c r="B1050" s="143"/>
      <c r="C1050" s="148" t="s">
        <v>1800</v>
      </c>
      <c r="D1050" s="149" t="s">
        <v>293</v>
      </c>
      <c r="E1050" s="142">
        <v>1</v>
      </c>
      <c r="F1050" s="144" t="str">
        <f>IF(AND(ISNA(VLOOKUP(D1050,A:A,1,FALSE())),ISNA(VLOOKUP(D1050,BaseType!A:A,1,FALSE())),D1050&lt;&gt;"Struct"),"N","Y")</f>
        <v>Y</v>
      </c>
      <c r="G1050" s="150" t="s">
        <v>1801</v>
      </c>
      <c r="H1050" s="91"/>
      <c r="I1050" s="91"/>
      <c r="J1050" s="91"/>
      <c r="K1050" s="91"/>
      <c r="L1050" s="91"/>
      <c r="M1050" s="91"/>
      <c r="N1050" s="42"/>
      <c r="O1050" s="42"/>
      <c r="P1050" s="42"/>
      <c r="Q1050" s="42"/>
      <c r="R1050" s="42"/>
      <c r="S1050" s="42"/>
      <c r="T1050" s="42"/>
    </row>
    <row r="1051" spans="1:20" ht="15" customHeight="1" x14ac:dyDescent="0.2">
      <c r="A1051" s="148"/>
      <c r="B1051" s="143"/>
      <c r="C1051" s="148" t="s">
        <v>1802</v>
      </c>
      <c r="D1051" s="149" t="s">
        <v>293</v>
      </c>
      <c r="E1051" s="142">
        <v>1</v>
      </c>
      <c r="F1051" s="144" t="str">
        <f>IF(AND(ISNA(VLOOKUP(D1051,A:A,1,FALSE())),ISNA(VLOOKUP(D1051,BaseType!A:A,1,FALSE())),D1051&lt;&gt;"Struct"),"N","Y")</f>
        <v>Y</v>
      </c>
      <c r="G1051" s="150" t="s">
        <v>1803</v>
      </c>
      <c r="H1051" s="91"/>
      <c r="I1051" s="91"/>
      <c r="J1051" s="91"/>
      <c r="K1051" s="91"/>
      <c r="L1051" s="91"/>
      <c r="M1051" s="91"/>
      <c r="N1051" s="42"/>
      <c r="O1051" s="42"/>
      <c r="P1051" s="42"/>
      <c r="Q1051" s="42"/>
      <c r="R1051" s="42"/>
      <c r="S1051" s="42"/>
      <c r="T1051" s="42"/>
    </row>
    <row r="1052" spans="1:20" ht="15" customHeight="1" x14ac:dyDescent="0.2">
      <c r="A1052" s="148"/>
      <c r="B1052" s="143"/>
      <c r="C1052" s="148" t="s">
        <v>1804</v>
      </c>
      <c r="D1052" s="148" t="s">
        <v>193</v>
      </c>
      <c r="E1052" s="142">
        <v>1</v>
      </c>
      <c r="F1052" s="144" t="str">
        <f>IF(AND(ISNA(VLOOKUP(D1052,A:A,1,FALSE())),ISNA(VLOOKUP(D1052,BaseType!A:A,1,FALSE())),D1052&lt;&gt;"Struct"),"N","Y")</f>
        <v>Y</v>
      </c>
      <c r="G1052" s="150" t="s">
        <v>1805</v>
      </c>
      <c r="H1052" s="91"/>
      <c r="I1052" s="91"/>
      <c r="J1052" s="91"/>
      <c r="K1052" s="91"/>
      <c r="L1052" s="91"/>
      <c r="M1052" s="91"/>
      <c r="N1052" s="42"/>
      <c r="O1052" s="42"/>
      <c r="P1052" s="42"/>
      <c r="Q1052" s="42"/>
      <c r="R1052" s="42"/>
      <c r="S1052" s="42"/>
      <c r="T1052" s="42"/>
    </row>
    <row r="1053" spans="1:20" ht="15" customHeight="1" x14ac:dyDescent="0.2">
      <c r="A1053" s="148"/>
      <c r="B1053" s="143"/>
      <c r="C1053" s="148" t="s">
        <v>1806</v>
      </c>
      <c r="D1053" s="149" t="s">
        <v>293</v>
      </c>
      <c r="E1053" s="142">
        <v>1</v>
      </c>
      <c r="F1053" s="144" t="str">
        <f>IF(AND(ISNA(VLOOKUP(D1053,A:A,1,FALSE())),ISNA(VLOOKUP(D1053,BaseType!A:A,1,FALSE())),D1053&lt;&gt;"Struct"),"N","Y")</f>
        <v>Y</v>
      </c>
      <c r="G1053" s="150" t="s">
        <v>1807</v>
      </c>
      <c r="H1053" s="91"/>
      <c r="I1053" s="91"/>
      <c r="J1053" s="91"/>
      <c r="K1053" s="91"/>
      <c r="L1053" s="91"/>
      <c r="M1053" s="91"/>
      <c r="N1053" s="42"/>
      <c r="O1053" s="42"/>
      <c r="P1053" s="42"/>
      <c r="Q1053" s="42"/>
      <c r="R1053" s="42"/>
      <c r="S1053" s="42"/>
      <c r="T1053" s="42"/>
    </row>
    <row r="1054" spans="1:20" ht="15" customHeight="1" x14ac:dyDescent="0.2">
      <c r="A1054" s="148"/>
      <c r="B1054" s="143"/>
      <c r="C1054" s="148" t="s">
        <v>1808</v>
      </c>
      <c r="D1054" s="149" t="s">
        <v>225</v>
      </c>
      <c r="E1054" s="142">
        <v>1</v>
      </c>
      <c r="F1054" s="144" t="str">
        <f>IF(AND(ISNA(VLOOKUP(D1054,A:A,1,FALSE())),ISNA(VLOOKUP(D1054,BaseType!A:A,1,FALSE())),D1054&lt;&gt;"Struct"),"N","Y")</f>
        <v>Y</v>
      </c>
      <c r="G1054" s="150"/>
      <c r="H1054" s="91"/>
      <c r="I1054" s="91"/>
      <c r="J1054" s="91"/>
      <c r="K1054" s="91"/>
      <c r="L1054" s="91"/>
      <c r="M1054" s="91"/>
      <c r="N1054" s="42"/>
      <c r="O1054" s="42"/>
      <c r="P1054" s="42"/>
      <c r="Q1054" s="42"/>
      <c r="R1054" s="42"/>
      <c r="S1054" s="42"/>
      <c r="T1054" s="42"/>
    </row>
    <row r="1055" spans="1:20" ht="15" customHeight="1" x14ac:dyDescent="0.2">
      <c r="A1055" s="148"/>
      <c r="B1055" s="143"/>
      <c r="C1055" s="148" t="s">
        <v>1809</v>
      </c>
      <c r="D1055" s="148" t="s">
        <v>193</v>
      </c>
      <c r="E1055" s="142">
        <v>1</v>
      </c>
      <c r="F1055" s="144" t="str">
        <f>IF(AND(ISNA(VLOOKUP(D1055,A:A,1,FALSE())),ISNA(VLOOKUP(D1055,BaseType!A:A,1,FALSE())),D1055&lt;&gt;"Struct"),"N","Y")</f>
        <v>Y</v>
      </c>
      <c r="G1055" s="150" t="s">
        <v>1810</v>
      </c>
      <c r="H1055" s="91"/>
      <c r="I1055" s="91"/>
      <c r="J1055" s="91"/>
      <c r="K1055" s="91"/>
      <c r="L1055" s="91"/>
      <c r="M1055" s="91"/>
      <c r="N1055" s="42"/>
      <c r="O1055" s="42"/>
      <c r="P1055" s="42"/>
      <c r="Q1055" s="42"/>
      <c r="R1055" s="42"/>
      <c r="S1055" s="42"/>
      <c r="T1055" s="42"/>
    </row>
    <row r="1056" spans="1:20" ht="15" customHeight="1" x14ac:dyDescent="0.2">
      <c r="A1056" s="148"/>
      <c r="B1056" s="143"/>
      <c r="C1056" s="148" t="s">
        <v>1811</v>
      </c>
      <c r="D1056" s="149" t="s">
        <v>225</v>
      </c>
      <c r="E1056" s="142">
        <v>1</v>
      </c>
      <c r="F1056" s="144" t="str">
        <f>IF(AND(ISNA(VLOOKUP(D1056,A:A,1,FALSE())),ISNA(VLOOKUP(D1056,BaseType!A:A,1,FALSE())),D1056&lt;&gt;"Struct"),"N","Y")</f>
        <v>Y</v>
      </c>
      <c r="G1056" s="150"/>
      <c r="H1056" s="91"/>
      <c r="I1056" s="91"/>
      <c r="J1056" s="91"/>
      <c r="K1056" s="91"/>
      <c r="L1056" s="91"/>
      <c r="M1056" s="91"/>
      <c r="N1056" s="42"/>
      <c r="O1056" s="42"/>
      <c r="P1056" s="42"/>
      <c r="Q1056" s="42"/>
      <c r="R1056" s="42"/>
      <c r="S1056" s="42"/>
      <c r="T1056" s="42"/>
    </row>
    <row r="1057" spans="1:20" ht="15" customHeight="1" x14ac:dyDescent="0.2">
      <c r="A1057" s="148"/>
      <c r="B1057" s="143"/>
      <c r="C1057" s="148" t="s">
        <v>1812</v>
      </c>
      <c r="D1057" s="149" t="s">
        <v>225</v>
      </c>
      <c r="E1057" s="142">
        <v>1</v>
      </c>
      <c r="F1057" s="144" t="str">
        <f>IF(AND(ISNA(VLOOKUP(D1057,A:A,1,FALSE())),ISNA(VLOOKUP(D1057,BaseType!A:A,1,FALSE())),D1057&lt;&gt;"Struct"),"N","Y")</f>
        <v>Y</v>
      </c>
      <c r="G1057" s="150"/>
      <c r="H1057" s="91"/>
      <c r="I1057" s="91"/>
      <c r="J1057" s="91"/>
      <c r="K1057" s="91"/>
      <c r="L1057" s="91"/>
      <c r="M1057" s="91"/>
      <c r="N1057" s="42"/>
      <c r="O1057" s="42"/>
      <c r="P1057" s="42"/>
      <c r="Q1057" s="42"/>
      <c r="R1057" s="42"/>
      <c r="S1057" s="42"/>
      <c r="T1057" s="42"/>
    </row>
    <row r="1058" spans="1:20" ht="15" customHeight="1" x14ac:dyDescent="0.2">
      <c r="A1058" s="148"/>
      <c r="B1058" s="143"/>
      <c r="C1058" s="148" t="s">
        <v>1813</v>
      </c>
      <c r="D1058" s="149" t="s">
        <v>225</v>
      </c>
      <c r="E1058" s="142">
        <v>1</v>
      </c>
      <c r="F1058" s="144" t="str">
        <f>IF(AND(ISNA(VLOOKUP(D1058,A:A,1,FALSE())),ISNA(VLOOKUP(D1058,BaseType!A:A,1,FALSE())),D1058&lt;&gt;"Struct"),"N","Y")</f>
        <v>Y</v>
      </c>
      <c r="G1058" s="150"/>
      <c r="H1058" s="91"/>
      <c r="I1058" s="91"/>
      <c r="J1058" s="91"/>
      <c r="K1058" s="91"/>
      <c r="L1058" s="91"/>
      <c r="M1058" s="91"/>
      <c r="N1058" s="42"/>
      <c r="O1058" s="42"/>
      <c r="P1058" s="42"/>
      <c r="Q1058" s="42"/>
      <c r="R1058" s="42"/>
      <c r="S1058" s="42"/>
      <c r="T1058" s="42"/>
    </row>
    <row r="1059" spans="1:20" ht="15" customHeight="1" x14ac:dyDescent="0.2">
      <c r="A1059" s="148"/>
      <c r="B1059" s="143"/>
      <c r="C1059" s="148" t="s">
        <v>1814</v>
      </c>
      <c r="D1059" s="149" t="s">
        <v>225</v>
      </c>
      <c r="E1059" s="142">
        <v>1</v>
      </c>
      <c r="F1059" s="144" t="str">
        <f>IF(AND(ISNA(VLOOKUP(D1059,A:A,1,FALSE())),ISNA(VLOOKUP(D1059,BaseType!A:A,1,FALSE())),D1059&lt;&gt;"Struct"),"N","Y")</f>
        <v>Y</v>
      </c>
      <c r="G1059" s="150"/>
      <c r="H1059" s="91"/>
      <c r="I1059" s="91"/>
      <c r="J1059" s="91"/>
      <c r="K1059" s="91"/>
      <c r="L1059" s="91"/>
      <c r="M1059" s="91"/>
      <c r="N1059" s="42"/>
      <c r="O1059" s="42"/>
      <c r="P1059" s="42"/>
      <c r="Q1059" s="42"/>
      <c r="R1059" s="42"/>
      <c r="S1059" s="42"/>
      <c r="T1059" s="42"/>
    </row>
    <row r="1060" spans="1:20" ht="15" customHeight="1" x14ac:dyDescent="0.2">
      <c r="A1060" s="148"/>
      <c r="B1060" s="143"/>
      <c r="C1060" s="148" t="s">
        <v>1815</v>
      </c>
      <c r="D1060" s="149" t="s">
        <v>225</v>
      </c>
      <c r="E1060" s="142">
        <v>1</v>
      </c>
      <c r="F1060" s="144" t="str">
        <f>IF(AND(ISNA(VLOOKUP(D1060,A:A,1,FALSE())),ISNA(VLOOKUP(D1060,BaseType!A:A,1,FALSE())),D1060&lt;&gt;"Struct"),"N","Y")</f>
        <v>Y</v>
      </c>
      <c r="G1060" s="150"/>
      <c r="H1060" s="91"/>
      <c r="I1060" s="91"/>
      <c r="J1060" s="91"/>
      <c r="K1060" s="91"/>
      <c r="L1060" s="91"/>
      <c r="M1060" s="91"/>
      <c r="N1060" s="42"/>
      <c r="O1060" s="42"/>
      <c r="P1060" s="42"/>
      <c r="Q1060" s="42"/>
      <c r="R1060" s="42"/>
      <c r="S1060" s="42"/>
      <c r="T1060" s="42"/>
    </row>
    <row r="1061" spans="1:20" ht="15" customHeight="1" x14ac:dyDescent="0.2">
      <c r="A1061" s="148"/>
      <c r="B1061" s="143"/>
      <c r="C1061" s="148" t="s">
        <v>1816</v>
      </c>
      <c r="D1061" s="149" t="s">
        <v>225</v>
      </c>
      <c r="E1061" s="142">
        <v>1</v>
      </c>
      <c r="F1061" s="144" t="str">
        <f>IF(AND(ISNA(VLOOKUP(D1061,A:A,1,FALSE())),ISNA(VLOOKUP(D1061,BaseType!A:A,1,FALSE())),D1061&lt;&gt;"Struct"),"N","Y")</f>
        <v>Y</v>
      </c>
      <c r="G1061" s="150"/>
      <c r="H1061" s="91"/>
      <c r="I1061" s="91"/>
      <c r="J1061" s="91"/>
      <c r="K1061" s="91"/>
      <c r="L1061" s="91"/>
      <c r="M1061" s="91"/>
      <c r="N1061" s="42"/>
      <c r="O1061" s="42"/>
      <c r="P1061" s="42"/>
      <c r="Q1061" s="42"/>
      <c r="R1061" s="42"/>
      <c r="S1061" s="42"/>
      <c r="T1061" s="42"/>
    </row>
    <row r="1062" spans="1:20" ht="15" customHeight="1" x14ac:dyDescent="0.2">
      <c r="A1062" s="148"/>
      <c r="B1062" s="143"/>
      <c r="C1062" s="148" t="s">
        <v>1817</v>
      </c>
      <c r="D1062" s="149" t="s">
        <v>225</v>
      </c>
      <c r="E1062" s="142">
        <v>1</v>
      </c>
      <c r="F1062" s="144" t="str">
        <f>IF(AND(ISNA(VLOOKUP(D1062,A:A,1,FALSE())),ISNA(VLOOKUP(D1062,BaseType!A:A,1,FALSE())),D1062&lt;&gt;"Struct"),"N","Y")</f>
        <v>Y</v>
      </c>
      <c r="G1062" s="150"/>
      <c r="H1062" s="91"/>
      <c r="I1062" s="91"/>
      <c r="J1062" s="91"/>
      <c r="K1062" s="91"/>
      <c r="L1062" s="91"/>
      <c r="M1062" s="91"/>
      <c r="N1062" s="42"/>
      <c r="O1062" s="42"/>
      <c r="P1062" s="42"/>
      <c r="Q1062" s="42"/>
      <c r="R1062" s="42"/>
      <c r="S1062" s="42"/>
      <c r="T1062" s="42"/>
    </row>
    <row r="1063" spans="1:20" ht="15" customHeight="1" x14ac:dyDescent="0.2">
      <c r="A1063" s="148"/>
      <c r="B1063" s="143"/>
      <c r="C1063" s="148" t="s">
        <v>1818</v>
      </c>
      <c r="D1063" s="149" t="s">
        <v>225</v>
      </c>
      <c r="E1063" s="142">
        <v>1</v>
      </c>
      <c r="F1063" s="144" t="str">
        <f>IF(AND(ISNA(VLOOKUP(D1063,A:A,1,FALSE())),ISNA(VLOOKUP(D1063,BaseType!A:A,1,FALSE())),D1063&lt;&gt;"Struct"),"N","Y")</f>
        <v>Y</v>
      </c>
      <c r="G1063" s="150"/>
      <c r="H1063" s="91"/>
      <c r="I1063" s="91"/>
      <c r="J1063" s="91"/>
      <c r="K1063" s="91"/>
      <c r="L1063" s="91"/>
      <c r="M1063" s="91"/>
      <c r="N1063" s="42"/>
      <c r="O1063" s="42"/>
      <c r="P1063" s="42"/>
      <c r="Q1063" s="42"/>
      <c r="R1063" s="42"/>
      <c r="S1063" s="42"/>
      <c r="T1063" s="42"/>
    </row>
    <row r="1064" spans="1:20" ht="15" customHeight="1" x14ac:dyDescent="0.2">
      <c r="A1064" s="148"/>
      <c r="B1064" s="143"/>
      <c r="C1064" s="148" t="s">
        <v>1819</v>
      </c>
      <c r="D1064" s="149" t="s">
        <v>225</v>
      </c>
      <c r="E1064" s="142">
        <v>1</v>
      </c>
      <c r="F1064" s="144" t="str">
        <f>IF(AND(ISNA(VLOOKUP(D1064,A:A,1,FALSE())),ISNA(VLOOKUP(D1064,BaseType!A:A,1,FALSE())),D1064&lt;&gt;"Struct"),"N","Y")</f>
        <v>Y</v>
      </c>
      <c r="G1064" s="150"/>
      <c r="H1064" s="91"/>
      <c r="I1064" s="91"/>
      <c r="J1064" s="91"/>
      <c r="K1064" s="91"/>
      <c r="L1064" s="91"/>
      <c r="M1064" s="91"/>
      <c r="N1064" s="42"/>
      <c r="O1064" s="42"/>
      <c r="P1064" s="42"/>
      <c r="Q1064" s="42"/>
      <c r="R1064" s="42"/>
      <c r="S1064" s="42"/>
      <c r="T1064" s="42"/>
    </row>
    <row r="1065" spans="1:20" ht="15" customHeight="1" x14ac:dyDescent="0.2">
      <c r="A1065" s="148"/>
      <c r="B1065" s="143"/>
      <c r="C1065" s="148" t="s">
        <v>1820</v>
      </c>
      <c r="D1065" s="149" t="s">
        <v>225</v>
      </c>
      <c r="E1065" s="142">
        <v>1</v>
      </c>
      <c r="F1065" s="144" t="str">
        <f>IF(AND(ISNA(VLOOKUP(D1065,A:A,1,FALSE())),ISNA(VLOOKUP(D1065,BaseType!A:A,1,FALSE())),D1065&lt;&gt;"Struct"),"N","Y")</f>
        <v>Y</v>
      </c>
      <c r="G1065" s="150"/>
      <c r="H1065" s="91"/>
      <c r="I1065" s="91"/>
      <c r="J1065" s="91"/>
      <c r="K1065" s="91"/>
      <c r="L1065" s="91"/>
      <c r="M1065" s="91"/>
      <c r="N1065" s="42"/>
      <c r="O1065" s="42"/>
      <c r="P1065" s="42"/>
      <c r="Q1065" s="42"/>
      <c r="R1065" s="42"/>
      <c r="S1065" s="42"/>
      <c r="T1065" s="42"/>
    </row>
    <row r="1066" spans="1:20" ht="15" customHeight="1" x14ac:dyDescent="0.2">
      <c r="A1066" s="148"/>
      <c r="B1066" s="143"/>
      <c r="C1066" s="148" t="s">
        <v>1821</v>
      </c>
      <c r="D1066" s="149" t="s">
        <v>225</v>
      </c>
      <c r="E1066" s="142">
        <v>1</v>
      </c>
      <c r="F1066" s="144" t="str">
        <f>IF(AND(ISNA(VLOOKUP(D1066,A:A,1,FALSE())),ISNA(VLOOKUP(D1066,BaseType!A:A,1,FALSE())),D1066&lt;&gt;"Struct"),"N","Y")</f>
        <v>Y</v>
      </c>
      <c r="G1066" s="150"/>
      <c r="H1066" s="91"/>
      <c r="I1066" s="91"/>
      <c r="J1066" s="91"/>
      <c r="K1066" s="91"/>
      <c r="L1066" s="91"/>
      <c r="M1066" s="91"/>
      <c r="N1066" s="42"/>
      <c r="O1066" s="42"/>
      <c r="P1066" s="42"/>
      <c r="Q1066" s="42"/>
      <c r="R1066" s="42"/>
      <c r="S1066" s="42"/>
      <c r="T1066" s="42"/>
    </row>
    <row r="1067" spans="1:20" ht="15" customHeight="1" x14ac:dyDescent="0.2">
      <c r="A1067" s="148"/>
      <c r="B1067" s="143"/>
      <c r="C1067" s="148" t="s">
        <v>1822</v>
      </c>
      <c r="D1067" s="148" t="s">
        <v>193</v>
      </c>
      <c r="E1067" s="142">
        <v>1</v>
      </c>
      <c r="F1067" s="144" t="str">
        <f>IF(AND(ISNA(VLOOKUP(D1067,A:A,1,FALSE())),ISNA(VLOOKUP(D1067,BaseType!A:A,1,FALSE())),D1067&lt;&gt;"Struct"),"N","Y")</f>
        <v>Y</v>
      </c>
      <c r="G1067" s="150" t="s">
        <v>1823</v>
      </c>
      <c r="H1067" s="91"/>
      <c r="I1067" s="91"/>
      <c r="J1067" s="91"/>
      <c r="K1067" s="91"/>
      <c r="L1067" s="91"/>
      <c r="M1067" s="91"/>
      <c r="N1067" s="42"/>
      <c r="O1067" s="42"/>
      <c r="P1067" s="42"/>
      <c r="Q1067" s="42"/>
      <c r="R1067" s="42"/>
      <c r="S1067" s="42"/>
      <c r="T1067" s="42"/>
    </row>
    <row r="1068" spans="1:20" ht="15" customHeight="1" x14ac:dyDescent="0.2">
      <c r="A1068" s="148"/>
      <c r="B1068" s="143"/>
      <c r="C1068" s="148" t="s">
        <v>1824</v>
      </c>
      <c r="D1068" s="149" t="s">
        <v>225</v>
      </c>
      <c r="E1068" s="142">
        <v>1</v>
      </c>
      <c r="F1068" s="144" t="str">
        <f>IF(AND(ISNA(VLOOKUP(D1068,A:A,1,FALSE())),ISNA(VLOOKUP(D1068,BaseType!A:A,1,FALSE())),D1068&lt;&gt;"Struct"),"N","Y")</f>
        <v>Y</v>
      </c>
      <c r="G1068" s="150"/>
      <c r="H1068" s="91"/>
      <c r="I1068" s="91"/>
      <c r="J1068" s="91"/>
      <c r="K1068" s="91"/>
      <c r="L1068" s="91"/>
      <c r="M1068" s="91"/>
      <c r="N1068" s="42"/>
      <c r="O1068" s="42"/>
      <c r="P1068" s="42"/>
      <c r="Q1068" s="42"/>
      <c r="R1068" s="42"/>
      <c r="S1068" s="42"/>
      <c r="T1068" s="42"/>
    </row>
    <row r="1069" spans="1:20" ht="15" customHeight="1" x14ac:dyDescent="0.2">
      <c r="A1069" s="148"/>
      <c r="B1069" s="143"/>
      <c r="C1069" s="148" t="s">
        <v>1825</v>
      </c>
      <c r="D1069" s="149" t="s">
        <v>225</v>
      </c>
      <c r="E1069" s="142">
        <v>1</v>
      </c>
      <c r="F1069" s="144" t="str">
        <f>IF(AND(ISNA(VLOOKUP(D1069,A:A,1,FALSE())),ISNA(VLOOKUP(D1069,BaseType!A:A,1,FALSE())),D1069&lt;&gt;"Struct"),"N","Y")</f>
        <v>Y</v>
      </c>
      <c r="G1069" s="150"/>
      <c r="H1069" s="91"/>
      <c r="I1069" s="91"/>
      <c r="J1069" s="91"/>
      <c r="K1069" s="91"/>
      <c r="L1069" s="91"/>
      <c r="M1069" s="91"/>
      <c r="N1069" s="42"/>
      <c r="O1069" s="42"/>
      <c r="P1069" s="42"/>
      <c r="Q1069" s="42"/>
      <c r="R1069" s="42"/>
      <c r="S1069" s="42"/>
      <c r="T1069" s="42"/>
    </row>
    <row r="1070" spans="1:20" ht="15" customHeight="1" x14ac:dyDescent="0.2">
      <c r="A1070" s="148"/>
      <c r="B1070" s="143"/>
      <c r="C1070" s="148" t="s">
        <v>1826</v>
      </c>
      <c r="D1070" s="149" t="s">
        <v>225</v>
      </c>
      <c r="E1070" s="142">
        <v>1</v>
      </c>
      <c r="F1070" s="144" t="str">
        <f>IF(AND(ISNA(VLOOKUP(D1070,A:A,1,FALSE())),ISNA(VLOOKUP(D1070,BaseType!A:A,1,FALSE())),D1070&lt;&gt;"Struct"),"N","Y")</f>
        <v>Y</v>
      </c>
      <c r="G1070" s="150"/>
      <c r="H1070" s="91"/>
      <c r="I1070" s="91"/>
      <c r="J1070" s="91"/>
      <c r="K1070" s="91"/>
      <c r="L1070" s="91"/>
      <c r="M1070" s="91"/>
      <c r="N1070" s="42"/>
      <c r="O1070" s="42"/>
      <c r="P1070" s="42"/>
      <c r="Q1070" s="42"/>
      <c r="R1070" s="42"/>
      <c r="S1070" s="42"/>
      <c r="T1070" s="42"/>
    </row>
    <row r="1071" spans="1:20" ht="15" customHeight="1" x14ac:dyDescent="0.2">
      <c r="A1071" s="148"/>
      <c r="B1071" s="143"/>
      <c r="C1071" s="148" t="s">
        <v>1827</v>
      </c>
      <c r="D1071" s="149" t="s">
        <v>225</v>
      </c>
      <c r="E1071" s="142">
        <v>1</v>
      </c>
      <c r="F1071" s="144" t="str">
        <f>IF(AND(ISNA(VLOOKUP(D1071,A:A,1,FALSE())),ISNA(VLOOKUP(D1071,BaseType!A:A,1,FALSE())),D1071&lt;&gt;"Struct"),"N","Y")</f>
        <v>Y</v>
      </c>
      <c r="G1071" s="150"/>
      <c r="H1071" s="91"/>
      <c r="I1071" s="91"/>
      <c r="J1071" s="91"/>
      <c r="K1071" s="91"/>
      <c r="L1071" s="91"/>
      <c r="M1071" s="91"/>
      <c r="N1071" s="42"/>
      <c r="O1071" s="42"/>
      <c r="P1071" s="42"/>
      <c r="Q1071" s="42"/>
      <c r="R1071" s="42"/>
      <c r="S1071" s="42"/>
      <c r="T1071" s="42"/>
    </row>
    <row r="1072" spans="1:20" ht="15" customHeight="1" x14ac:dyDescent="0.2">
      <c r="A1072" s="148"/>
      <c r="B1072" s="143"/>
      <c r="C1072" s="148" t="s">
        <v>1767</v>
      </c>
      <c r="D1072" s="148" t="s">
        <v>193</v>
      </c>
      <c r="E1072" s="142">
        <v>1</v>
      </c>
      <c r="F1072" s="144" t="str">
        <f>IF(AND(ISNA(VLOOKUP(D1072,A:A,1,FALSE())),ISNA(VLOOKUP(D1072,BaseType!A:A,1,FALSE())),D1072&lt;&gt;"Struct"),"N","Y")</f>
        <v>Y</v>
      </c>
      <c r="G1072" s="150"/>
      <c r="H1072" s="91"/>
      <c r="I1072" s="91"/>
      <c r="J1072" s="91"/>
      <c r="K1072" s="91"/>
      <c r="L1072" s="91"/>
      <c r="M1072" s="91"/>
      <c r="N1072" s="42"/>
      <c r="O1072" s="42"/>
      <c r="P1072" s="42"/>
      <c r="Q1072" s="42"/>
      <c r="R1072" s="42"/>
      <c r="S1072" s="42"/>
      <c r="T1072" s="42"/>
    </row>
    <row r="1073" spans="1:20" ht="15" customHeight="1" x14ac:dyDescent="0.2">
      <c r="A1073" s="148"/>
      <c r="B1073" s="143"/>
      <c r="C1073" s="148" t="s">
        <v>1828</v>
      </c>
      <c r="D1073" s="148" t="s">
        <v>193</v>
      </c>
      <c r="E1073" s="142">
        <v>1</v>
      </c>
      <c r="F1073" s="144" t="str">
        <f>IF(AND(ISNA(VLOOKUP(D1073,A:A,1,FALSE())),ISNA(VLOOKUP(D1073,BaseType!A:A,1,FALSE())),D1073&lt;&gt;"Struct"),"N","Y")</f>
        <v>Y</v>
      </c>
      <c r="G1073" s="150"/>
      <c r="H1073" s="91"/>
      <c r="I1073" s="91"/>
      <c r="J1073" s="91"/>
      <c r="K1073" s="91"/>
      <c r="L1073" s="91"/>
      <c r="M1073" s="91"/>
      <c r="N1073" s="42"/>
      <c r="O1073" s="42"/>
      <c r="P1073" s="42"/>
      <c r="Q1073" s="42"/>
      <c r="R1073" s="42"/>
      <c r="S1073" s="42"/>
      <c r="T1073" s="42"/>
    </row>
    <row r="1074" spans="1:20" ht="15" customHeight="1" x14ac:dyDescent="0.2">
      <c r="A1074" s="148"/>
      <c r="B1074" s="143"/>
      <c r="C1074" s="148" t="s">
        <v>1829</v>
      </c>
      <c r="D1074" s="149" t="s">
        <v>225</v>
      </c>
      <c r="E1074" s="142">
        <v>1</v>
      </c>
      <c r="F1074" s="144" t="str">
        <f>IF(AND(ISNA(VLOOKUP(D1074,A:A,1,FALSE())),ISNA(VLOOKUP(D1074,BaseType!A:A,1,FALSE())),D1074&lt;&gt;"Struct"),"N","Y")</f>
        <v>Y</v>
      </c>
      <c r="G1074" s="150"/>
      <c r="H1074" s="91"/>
      <c r="I1074" s="91"/>
      <c r="J1074" s="91"/>
      <c r="K1074" s="91"/>
      <c r="L1074" s="91"/>
      <c r="M1074" s="91"/>
      <c r="N1074" s="42"/>
      <c r="O1074" s="42"/>
      <c r="P1074" s="42"/>
      <c r="Q1074" s="42"/>
      <c r="R1074" s="42"/>
      <c r="S1074" s="42"/>
      <c r="T1074" s="42"/>
    </row>
    <row r="1075" spans="1:20" ht="15" customHeight="1" x14ac:dyDescent="0.2">
      <c r="A1075" s="148"/>
      <c r="B1075" s="143"/>
      <c r="C1075" s="148" t="s">
        <v>1830</v>
      </c>
      <c r="D1075" s="149" t="s">
        <v>225</v>
      </c>
      <c r="E1075" s="142">
        <v>1</v>
      </c>
      <c r="F1075" s="144" t="str">
        <f>IF(AND(ISNA(VLOOKUP(D1075,A:A,1,FALSE())),ISNA(VLOOKUP(D1075,BaseType!A:A,1,FALSE())),D1075&lt;&gt;"Struct"),"N","Y")</f>
        <v>Y</v>
      </c>
      <c r="G1075" s="150"/>
      <c r="H1075" s="91"/>
      <c r="I1075" s="91"/>
      <c r="J1075" s="91"/>
      <c r="K1075" s="91"/>
      <c r="L1075" s="91"/>
      <c r="M1075" s="91"/>
      <c r="N1075" s="42"/>
      <c r="O1075" s="42"/>
      <c r="P1075" s="42"/>
      <c r="Q1075" s="42"/>
      <c r="R1075" s="42"/>
      <c r="S1075" s="42"/>
      <c r="T1075" s="42"/>
    </row>
    <row r="1076" spans="1:20" ht="15" customHeight="1" x14ac:dyDescent="0.2">
      <c r="A1076" s="148"/>
      <c r="B1076" s="143"/>
      <c r="C1076" s="148" t="s">
        <v>1831</v>
      </c>
      <c r="D1076" s="149" t="s">
        <v>225</v>
      </c>
      <c r="E1076" s="142">
        <v>1</v>
      </c>
      <c r="F1076" s="144" t="str">
        <f>IF(AND(ISNA(VLOOKUP(D1076,A:A,1,FALSE())),ISNA(VLOOKUP(D1076,BaseType!A:A,1,FALSE())),D1076&lt;&gt;"Struct"),"N","Y")</f>
        <v>Y</v>
      </c>
      <c r="G1076" s="150"/>
      <c r="H1076" s="91"/>
      <c r="I1076" s="91"/>
      <c r="J1076" s="91"/>
      <c r="K1076" s="91"/>
      <c r="L1076" s="91"/>
      <c r="M1076" s="91"/>
      <c r="N1076" s="42"/>
      <c r="O1076" s="42"/>
      <c r="P1076" s="42"/>
      <c r="Q1076" s="42"/>
      <c r="R1076" s="42"/>
      <c r="S1076" s="42"/>
      <c r="T1076" s="42"/>
    </row>
    <row r="1077" spans="1:20" ht="15" customHeight="1" x14ac:dyDescent="0.2">
      <c r="A1077" s="148"/>
      <c r="B1077" s="143"/>
      <c r="C1077" s="148" t="s">
        <v>1832</v>
      </c>
      <c r="D1077" s="149" t="s">
        <v>225</v>
      </c>
      <c r="E1077" s="142">
        <v>1</v>
      </c>
      <c r="F1077" s="144" t="str">
        <f>IF(AND(ISNA(VLOOKUP(D1077,A:A,1,FALSE())),ISNA(VLOOKUP(D1077,BaseType!A:A,1,FALSE())),D1077&lt;&gt;"Struct"),"N","Y")</f>
        <v>Y</v>
      </c>
      <c r="G1077" s="150"/>
      <c r="H1077" s="91"/>
      <c r="I1077" s="91"/>
      <c r="J1077" s="91"/>
      <c r="K1077" s="91"/>
      <c r="L1077" s="91"/>
      <c r="M1077" s="91"/>
      <c r="N1077" s="42"/>
      <c r="O1077" s="42"/>
      <c r="P1077" s="42"/>
      <c r="Q1077" s="42"/>
      <c r="R1077" s="42"/>
      <c r="S1077" s="42"/>
      <c r="T1077" s="42"/>
    </row>
    <row r="1078" spans="1:20" ht="15" customHeight="1" x14ac:dyDescent="0.2">
      <c r="A1078" s="148"/>
      <c r="B1078" s="143"/>
      <c r="C1078" s="148" t="s">
        <v>1833</v>
      </c>
      <c r="D1078" s="148" t="s">
        <v>193</v>
      </c>
      <c r="E1078" s="142">
        <v>1</v>
      </c>
      <c r="F1078" s="144" t="str">
        <f>IF(AND(ISNA(VLOOKUP(D1078,A:A,1,FALSE())),ISNA(VLOOKUP(D1078,BaseType!A:A,1,FALSE())),D1078&lt;&gt;"Struct"),"N","Y")</f>
        <v>Y</v>
      </c>
      <c r="G1078" s="150"/>
      <c r="H1078" s="91"/>
      <c r="I1078" s="91"/>
      <c r="J1078" s="91"/>
      <c r="K1078" s="91"/>
      <c r="L1078" s="91"/>
      <c r="M1078" s="91"/>
      <c r="N1078" s="42"/>
      <c r="O1078" s="42"/>
      <c r="P1078" s="42"/>
      <c r="Q1078" s="42"/>
      <c r="R1078" s="42"/>
      <c r="S1078" s="42"/>
      <c r="T1078" s="42"/>
    </row>
    <row r="1079" spans="1:20" ht="15" customHeight="1" x14ac:dyDescent="0.2">
      <c r="A1079" s="148"/>
      <c r="B1079" s="143"/>
      <c r="C1079" s="148" t="s">
        <v>1834</v>
      </c>
      <c r="D1079" s="149" t="s">
        <v>293</v>
      </c>
      <c r="E1079" s="142">
        <v>1</v>
      </c>
      <c r="F1079" s="144" t="str">
        <f>IF(AND(ISNA(VLOOKUP(D1079,A:A,1,FALSE())),ISNA(VLOOKUP(D1079,BaseType!A:A,1,FALSE())),D1079&lt;&gt;"Struct"),"N","Y")</f>
        <v>Y</v>
      </c>
      <c r="G1079" s="150" t="s">
        <v>1835</v>
      </c>
      <c r="H1079" s="91"/>
      <c r="I1079" s="91"/>
      <c r="J1079" s="91"/>
      <c r="K1079" s="91"/>
      <c r="L1079" s="91"/>
      <c r="M1079" s="91"/>
      <c r="N1079" s="42"/>
      <c r="O1079" s="42"/>
      <c r="P1079" s="42"/>
      <c r="Q1079" s="42"/>
      <c r="R1079" s="42"/>
      <c r="S1079" s="42"/>
      <c r="T1079" s="42"/>
    </row>
    <row r="1080" spans="1:20" ht="15" customHeight="1" x14ac:dyDescent="0.2">
      <c r="A1080" s="148"/>
      <c r="B1080" s="143"/>
      <c r="C1080" s="148" t="s">
        <v>1836</v>
      </c>
      <c r="D1080" s="149" t="s">
        <v>225</v>
      </c>
      <c r="E1080" s="142">
        <v>1</v>
      </c>
      <c r="F1080" s="144" t="str">
        <f>IF(AND(ISNA(VLOOKUP(D1080,A:A,1,FALSE())),ISNA(VLOOKUP(D1080,BaseType!A:A,1,FALSE())),D1080&lt;&gt;"Struct"),"N","Y")</f>
        <v>Y</v>
      </c>
      <c r="G1080" s="150"/>
      <c r="H1080" s="91"/>
      <c r="I1080" s="91"/>
      <c r="J1080" s="91"/>
      <c r="K1080" s="91"/>
      <c r="L1080" s="91"/>
      <c r="M1080" s="91"/>
      <c r="N1080" s="42"/>
      <c r="O1080" s="42"/>
      <c r="P1080" s="42"/>
      <c r="Q1080" s="42"/>
      <c r="R1080" s="42"/>
      <c r="S1080" s="42"/>
      <c r="T1080" s="42"/>
    </row>
    <row r="1081" spans="1:20" ht="15" customHeight="1" x14ac:dyDescent="0.2">
      <c r="A1081" s="148"/>
      <c r="B1081" s="143"/>
      <c r="C1081" s="148" t="s">
        <v>1837</v>
      </c>
      <c r="D1081" s="148" t="s">
        <v>193</v>
      </c>
      <c r="E1081" s="142">
        <v>1</v>
      </c>
      <c r="F1081" s="144" t="str">
        <f>IF(AND(ISNA(VLOOKUP(D1081,A:A,1,FALSE())),ISNA(VLOOKUP(D1081,BaseType!A:A,1,FALSE())),D1081&lt;&gt;"Struct"),"N","Y")</f>
        <v>Y</v>
      </c>
      <c r="G1081" s="150" t="s">
        <v>1838</v>
      </c>
      <c r="H1081" s="91"/>
      <c r="I1081" s="91"/>
      <c r="J1081" s="91"/>
      <c r="K1081" s="91"/>
      <c r="L1081" s="91"/>
      <c r="M1081" s="91"/>
      <c r="N1081" s="42"/>
      <c r="O1081" s="42"/>
      <c r="P1081" s="42"/>
      <c r="Q1081" s="42"/>
      <c r="R1081" s="42"/>
      <c r="S1081" s="42"/>
      <c r="T1081" s="42"/>
    </row>
    <row r="1082" spans="1:20" ht="15" customHeight="1" x14ac:dyDescent="0.2">
      <c r="A1082" s="148"/>
      <c r="B1082" s="143"/>
      <c r="C1082" s="148" t="s">
        <v>1839</v>
      </c>
      <c r="D1082" s="149" t="s">
        <v>293</v>
      </c>
      <c r="E1082" s="142">
        <v>1</v>
      </c>
      <c r="F1082" s="144" t="str">
        <f>IF(AND(ISNA(VLOOKUP(D1082,A:A,1,FALSE())),ISNA(VLOOKUP(D1082,BaseType!A:A,1,FALSE())),D1082&lt;&gt;"Struct"),"N","Y")</f>
        <v>Y</v>
      </c>
      <c r="G1082" s="150" t="s">
        <v>1840</v>
      </c>
      <c r="H1082" s="91"/>
      <c r="I1082" s="91"/>
      <c r="J1082" s="91"/>
      <c r="K1082" s="91"/>
      <c r="L1082" s="91"/>
      <c r="M1082" s="91"/>
      <c r="N1082" s="42"/>
      <c r="O1082" s="42"/>
      <c r="P1082" s="42"/>
      <c r="Q1082" s="42"/>
      <c r="R1082" s="42"/>
      <c r="S1082" s="42"/>
      <c r="T1082" s="42"/>
    </row>
    <row r="1083" spans="1:20" ht="15" customHeight="1" x14ac:dyDescent="0.2">
      <c r="A1083" s="148"/>
      <c r="B1083" s="143"/>
      <c r="C1083" s="148" t="s">
        <v>1841</v>
      </c>
      <c r="D1083" s="149" t="s">
        <v>293</v>
      </c>
      <c r="E1083" s="142">
        <v>1</v>
      </c>
      <c r="F1083" s="144" t="str">
        <f>IF(AND(ISNA(VLOOKUP(D1083,A:A,1,FALSE())),ISNA(VLOOKUP(D1083,BaseType!A:A,1,FALSE())),D1083&lt;&gt;"Struct"),"N","Y")</f>
        <v>Y</v>
      </c>
      <c r="G1083" s="150" t="s">
        <v>1840</v>
      </c>
      <c r="H1083" s="91"/>
      <c r="I1083" s="91"/>
      <c r="J1083" s="91"/>
      <c r="K1083" s="91"/>
      <c r="L1083" s="91"/>
      <c r="M1083" s="91"/>
      <c r="N1083" s="42"/>
      <c r="O1083" s="42"/>
      <c r="P1083" s="42"/>
      <c r="Q1083" s="42"/>
      <c r="R1083" s="42"/>
      <c r="S1083" s="42"/>
      <c r="T1083" s="42"/>
    </row>
    <row r="1084" spans="1:20" ht="15" customHeight="1" x14ac:dyDescent="0.2">
      <c r="A1084" s="148"/>
      <c r="B1084" s="143"/>
      <c r="C1084" s="148" t="s">
        <v>1842</v>
      </c>
      <c r="D1084" s="149" t="s">
        <v>293</v>
      </c>
      <c r="E1084" s="142">
        <v>1</v>
      </c>
      <c r="F1084" s="144" t="str">
        <f>IF(AND(ISNA(VLOOKUP(D1084,A:A,1,FALSE())),ISNA(VLOOKUP(D1084,BaseType!A:A,1,FALSE())),D1084&lt;&gt;"Struct"),"N","Y")</f>
        <v>Y</v>
      </c>
      <c r="G1084" s="150" t="s">
        <v>1840</v>
      </c>
      <c r="H1084" s="91"/>
      <c r="I1084" s="91"/>
      <c r="J1084" s="91"/>
      <c r="K1084" s="91"/>
      <c r="L1084" s="91"/>
      <c r="M1084" s="91"/>
      <c r="N1084" s="42"/>
      <c r="O1084" s="42"/>
      <c r="P1084" s="42"/>
      <c r="Q1084" s="42"/>
      <c r="R1084" s="42"/>
      <c r="S1084" s="42"/>
      <c r="T1084" s="42"/>
    </row>
    <row r="1085" spans="1:20" ht="15" customHeight="1" x14ac:dyDescent="0.2">
      <c r="A1085" s="148"/>
      <c r="B1085" s="143"/>
      <c r="C1085" s="148" t="s">
        <v>1843</v>
      </c>
      <c r="D1085" s="149" t="s">
        <v>293</v>
      </c>
      <c r="E1085" s="142">
        <v>1</v>
      </c>
      <c r="F1085" s="144" t="str">
        <f>IF(AND(ISNA(VLOOKUP(D1085,A:A,1,FALSE())),ISNA(VLOOKUP(D1085,BaseType!A:A,1,FALSE())),D1085&lt;&gt;"Struct"),"N","Y")</f>
        <v>Y</v>
      </c>
      <c r="G1085" s="150" t="s">
        <v>1840</v>
      </c>
      <c r="H1085" s="91"/>
      <c r="I1085" s="91"/>
      <c r="J1085" s="91"/>
      <c r="K1085" s="91"/>
      <c r="L1085" s="91"/>
      <c r="M1085" s="91"/>
      <c r="N1085" s="42"/>
      <c r="O1085" s="42"/>
      <c r="P1085" s="42"/>
      <c r="Q1085" s="42"/>
      <c r="R1085" s="42"/>
      <c r="S1085" s="42"/>
      <c r="T1085" s="42"/>
    </row>
    <row r="1086" spans="1:20" ht="15" customHeight="1" x14ac:dyDescent="0.2">
      <c r="A1086" s="148"/>
      <c r="B1086" s="143"/>
      <c r="C1086" s="148" t="s">
        <v>1844</v>
      </c>
      <c r="D1086" s="149" t="s">
        <v>293</v>
      </c>
      <c r="E1086" s="142">
        <v>1</v>
      </c>
      <c r="F1086" s="144" t="str">
        <f>IF(AND(ISNA(VLOOKUP(D1086,A:A,1,FALSE())),ISNA(VLOOKUP(D1086,BaseType!A:A,1,FALSE())),D1086&lt;&gt;"Struct"),"N","Y")</f>
        <v>Y</v>
      </c>
      <c r="G1086" s="150" t="s">
        <v>1840</v>
      </c>
      <c r="H1086" s="91"/>
      <c r="I1086" s="91"/>
      <c r="J1086" s="91"/>
      <c r="K1086" s="91"/>
      <c r="L1086" s="91"/>
      <c r="M1086" s="91"/>
      <c r="N1086" s="42"/>
      <c r="O1086" s="42"/>
      <c r="P1086" s="42"/>
      <c r="Q1086" s="42"/>
      <c r="R1086" s="42"/>
      <c r="S1086" s="42"/>
      <c r="T1086" s="42"/>
    </row>
    <row r="1087" spans="1:20" ht="15" customHeight="1" x14ac:dyDescent="0.2">
      <c r="A1087" s="148"/>
      <c r="B1087" s="143"/>
      <c r="C1087" s="148" t="s">
        <v>1845</v>
      </c>
      <c r="D1087" s="149" t="s">
        <v>293</v>
      </c>
      <c r="E1087" s="142">
        <v>1</v>
      </c>
      <c r="F1087" s="144" t="str">
        <f>IF(AND(ISNA(VLOOKUP(D1087,A:A,1,FALSE())),ISNA(VLOOKUP(D1087,BaseType!A:A,1,FALSE())),D1087&lt;&gt;"Struct"),"N","Y")</f>
        <v>Y</v>
      </c>
      <c r="G1087" s="150" t="s">
        <v>1840</v>
      </c>
      <c r="H1087" s="91"/>
      <c r="I1087" s="91"/>
      <c r="J1087" s="91"/>
      <c r="K1087" s="91"/>
      <c r="L1087" s="91"/>
      <c r="M1087" s="91"/>
      <c r="N1087" s="42"/>
      <c r="O1087" s="42"/>
      <c r="P1087" s="42"/>
      <c r="Q1087" s="42"/>
      <c r="R1087" s="42"/>
      <c r="S1087" s="42"/>
      <c r="T1087" s="42"/>
    </row>
    <row r="1088" spans="1:20" ht="15" customHeight="1" x14ac:dyDescent="0.2">
      <c r="A1088" s="148"/>
      <c r="B1088" s="143"/>
      <c r="C1088" s="148" t="s">
        <v>1846</v>
      </c>
      <c r="D1088" s="149" t="s">
        <v>293</v>
      </c>
      <c r="E1088" s="142">
        <v>1</v>
      </c>
      <c r="F1088" s="144" t="str">
        <f>IF(AND(ISNA(VLOOKUP(D1088,A:A,1,FALSE())),ISNA(VLOOKUP(D1088,BaseType!A:A,1,FALSE())),D1088&lt;&gt;"Struct"),"N","Y")</f>
        <v>Y</v>
      </c>
      <c r="G1088" s="150" t="s">
        <v>1840</v>
      </c>
      <c r="H1088" s="91"/>
      <c r="I1088" s="91"/>
      <c r="J1088" s="91"/>
      <c r="K1088" s="91"/>
      <c r="L1088" s="91"/>
      <c r="M1088" s="91"/>
      <c r="N1088" s="42"/>
      <c r="O1088" s="42"/>
      <c r="P1088" s="42"/>
      <c r="Q1088" s="42"/>
      <c r="R1088" s="42"/>
      <c r="S1088" s="42"/>
      <c r="T1088" s="42"/>
    </row>
    <row r="1089" spans="1:20" ht="15" customHeight="1" x14ac:dyDescent="0.2">
      <c r="A1089" s="148"/>
      <c r="B1089" s="143"/>
      <c r="C1089" s="148" t="s">
        <v>1847</v>
      </c>
      <c r="D1089" s="149" t="s">
        <v>293</v>
      </c>
      <c r="E1089" s="142">
        <v>1</v>
      </c>
      <c r="F1089" s="144" t="str">
        <f>IF(AND(ISNA(VLOOKUP(D1089,A:A,1,FALSE())),ISNA(VLOOKUP(D1089,BaseType!A:A,1,FALSE())),D1089&lt;&gt;"Struct"),"N","Y")</f>
        <v>Y</v>
      </c>
      <c r="G1089" s="150" t="s">
        <v>1840</v>
      </c>
      <c r="H1089" s="91"/>
      <c r="I1089" s="91"/>
      <c r="J1089" s="91"/>
      <c r="K1089" s="91"/>
      <c r="L1089" s="91"/>
      <c r="M1089" s="91"/>
      <c r="N1089" s="42"/>
      <c r="O1089" s="42"/>
      <c r="P1089" s="42"/>
      <c r="Q1089" s="42"/>
      <c r="R1089" s="42"/>
      <c r="S1089" s="42"/>
      <c r="T1089" s="42"/>
    </row>
    <row r="1090" spans="1:20" ht="15" customHeight="1" x14ac:dyDescent="0.2">
      <c r="A1090" s="148"/>
      <c r="B1090" s="143"/>
      <c r="C1090" s="148" t="s">
        <v>1848</v>
      </c>
      <c r="D1090" s="148" t="s">
        <v>193</v>
      </c>
      <c r="E1090" s="142">
        <v>1</v>
      </c>
      <c r="F1090" s="144" t="str">
        <f>IF(AND(ISNA(VLOOKUP(D1090,A:A,1,FALSE())),ISNA(VLOOKUP(D1090,BaseType!A:A,1,FALSE())),D1090&lt;&gt;"Struct"),"N","Y")</f>
        <v>Y</v>
      </c>
      <c r="G1090" s="150" t="s">
        <v>1849</v>
      </c>
      <c r="H1090" s="91"/>
      <c r="I1090" s="91"/>
      <c r="J1090" s="91"/>
      <c r="K1090" s="91"/>
      <c r="L1090" s="91"/>
      <c r="M1090" s="91"/>
      <c r="N1090" s="42"/>
      <c r="O1090" s="42"/>
      <c r="P1090" s="42"/>
      <c r="Q1090" s="42"/>
      <c r="R1090" s="42"/>
      <c r="S1090" s="42"/>
      <c r="T1090" s="42"/>
    </row>
    <row r="1091" spans="1:20" ht="15" customHeight="1" x14ac:dyDescent="0.2">
      <c r="A1091" s="148"/>
      <c r="B1091" s="143"/>
      <c r="C1091" s="148" t="s">
        <v>1850</v>
      </c>
      <c r="D1091" s="148" t="s">
        <v>193</v>
      </c>
      <c r="E1091" s="142">
        <v>1</v>
      </c>
      <c r="F1091" s="144" t="str">
        <f>IF(AND(ISNA(VLOOKUP(D1091,A:A,1,FALSE())),ISNA(VLOOKUP(D1091,BaseType!A:A,1,FALSE())),D1091&lt;&gt;"Struct"),"N","Y")</f>
        <v>Y</v>
      </c>
      <c r="G1091" s="150" t="s">
        <v>1849</v>
      </c>
      <c r="H1091" s="91"/>
      <c r="I1091" s="91"/>
      <c r="J1091" s="91"/>
      <c r="K1091" s="91"/>
      <c r="L1091" s="91"/>
      <c r="M1091" s="91"/>
      <c r="N1091" s="42"/>
      <c r="O1091" s="42"/>
      <c r="P1091" s="42"/>
      <c r="Q1091" s="42"/>
      <c r="R1091" s="42"/>
      <c r="S1091" s="42"/>
      <c r="T1091" s="42"/>
    </row>
    <row r="1092" spans="1:20" ht="15" customHeight="1" x14ac:dyDescent="0.2">
      <c r="A1092" s="148"/>
      <c r="B1092" s="143"/>
      <c r="C1092" s="148" t="s">
        <v>1851</v>
      </c>
      <c r="D1092" s="148" t="s">
        <v>193</v>
      </c>
      <c r="E1092" s="142">
        <v>1</v>
      </c>
      <c r="F1092" s="144" t="str">
        <f>IF(AND(ISNA(VLOOKUP(D1092,A:A,1,FALSE())),ISNA(VLOOKUP(D1092,BaseType!A:A,1,FALSE())),D1092&lt;&gt;"Struct"),"N","Y")</f>
        <v>Y</v>
      </c>
      <c r="G1092" s="150" t="s">
        <v>1849</v>
      </c>
      <c r="H1092" s="91"/>
      <c r="I1092" s="91"/>
      <c r="J1092" s="91"/>
      <c r="K1092" s="91"/>
      <c r="L1092" s="91"/>
      <c r="M1092" s="91"/>
      <c r="N1092" s="42"/>
      <c r="O1092" s="42"/>
      <c r="P1092" s="42"/>
      <c r="Q1092" s="42"/>
      <c r="R1092" s="42"/>
      <c r="S1092" s="42"/>
      <c r="T1092" s="42"/>
    </row>
    <row r="1093" spans="1:20" ht="15" customHeight="1" x14ac:dyDescent="0.2">
      <c r="A1093" s="148"/>
      <c r="B1093" s="143"/>
      <c r="C1093" s="148" t="s">
        <v>1852</v>
      </c>
      <c r="D1093" s="148" t="s">
        <v>193</v>
      </c>
      <c r="E1093" s="142">
        <v>1</v>
      </c>
      <c r="F1093" s="144" t="str">
        <f>IF(AND(ISNA(VLOOKUP(D1093,A:A,1,FALSE())),ISNA(VLOOKUP(D1093,BaseType!A:A,1,FALSE())),D1093&lt;&gt;"Struct"),"N","Y")</f>
        <v>Y</v>
      </c>
      <c r="G1093" s="150" t="s">
        <v>1849</v>
      </c>
      <c r="H1093" s="91"/>
      <c r="I1093" s="91"/>
      <c r="J1093" s="91"/>
      <c r="K1093" s="91"/>
      <c r="L1093" s="91"/>
      <c r="M1093" s="91"/>
      <c r="N1093" s="42"/>
      <c r="O1093" s="42"/>
      <c r="P1093" s="42"/>
      <c r="Q1093" s="42"/>
      <c r="R1093" s="42"/>
      <c r="S1093" s="42"/>
      <c r="T1093" s="42"/>
    </row>
    <row r="1094" spans="1:20" ht="15" customHeight="1" x14ac:dyDescent="0.2">
      <c r="A1094" s="148"/>
      <c r="B1094" s="143"/>
      <c r="C1094" s="148" t="s">
        <v>1853</v>
      </c>
      <c r="D1094" s="148" t="s">
        <v>193</v>
      </c>
      <c r="E1094" s="142">
        <v>1</v>
      </c>
      <c r="F1094" s="144" t="str">
        <f>IF(AND(ISNA(VLOOKUP(D1094,A:A,1,FALSE())),ISNA(VLOOKUP(D1094,BaseType!A:A,1,FALSE())),D1094&lt;&gt;"Struct"),"N","Y")</f>
        <v>Y</v>
      </c>
      <c r="G1094" s="150" t="s">
        <v>1849</v>
      </c>
      <c r="H1094" s="91"/>
      <c r="I1094" s="91"/>
      <c r="J1094" s="91"/>
      <c r="K1094" s="91"/>
      <c r="L1094" s="91"/>
      <c r="M1094" s="91"/>
      <c r="N1094" s="42"/>
      <c r="O1094" s="42"/>
      <c r="P1094" s="42"/>
      <c r="Q1094" s="42"/>
      <c r="R1094" s="42"/>
      <c r="S1094" s="42"/>
      <c r="T1094" s="42"/>
    </row>
    <row r="1095" spans="1:20" ht="15" customHeight="1" x14ac:dyDescent="0.2">
      <c r="A1095" s="148"/>
      <c r="B1095" s="143"/>
      <c r="C1095" s="148" t="s">
        <v>1854</v>
      </c>
      <c r="D1095" s="143" t="s">
        <v>298</v>
      </c>
      <c r="E1095" s="142">
        <v>1</v>
      </c>
      <c r="F1095" s="144" t="str">
        <f>IF(AND(ISNA(VLOOKUP(D1095,A:A,1,FALSE())),ISNA(VLOOKUP(D1095,BaseType!A:A,1,FALSE())),D1095&lt;&gt;"Struct"),"N","Y")</f>
        <v>Y</v>
      </c>
      <c r="G1095" s="150"/>
      <c r="H1095" s="91"/>
      <c r="I1095" s="91"/>
      <c r="J1095" s="91"/>
      <c r="K1095" s="91"/>
      <c r="L1095" s="91"/>
      <c r="M1095" s="91"/>
      <c r="N1095" s="42"/>
      <c r="O1095" s="42"/>
      <c r="P1095" s="42"/>
      <c r="Q1095" s="42"/>
      <c r="R1095" s="42"/>
      <c r="S1095" s="42"/>
      <c r="T1095" s="42"/>
    </row>
    <row r="1096" spans="1:20" ht="15" customHeight="1" x14ac:dyDescent="0.2">
      <c r="A1096" s="148" t="s">
        <v>1855</v>
      </c>
      <c r="B1096" s="144" t="str">
        <f>IF(ISBLANK(A1096),"",IF(AND(ISNA(VLOOKUP(A1096,Interface_Platform!E:E,1,FALSE())),ISNA(VLOOKUP(A1096,D:D,1,FALSE()))),"N","Y"))</f>
        <v>Y</v>
      </c>
      <c r="C1096" s="155"/>
      <c r="D1096" s="169" t="s">
        <v>484</v>
      </c>
      <c r="E1096" s="155"/>
      <c r="F1096" s="144" t="str">
        <f>IF(AND(ISNA(VLOOKUP(D1097,A:A,1,FALSE())),ISNA(VLOOKUP(D1097,BaseType!A:A,1,FALSE())),D1097&lt;&gt;"Struct"),"N","Y")</f>
        <v>Y</v>
      </c>
      <c r="G1096" s="150"/>
      <c r="H1096" s="91"/>
      <c r="I1096" s="91"/>
      <c r="J1096" s="91"/>
      <c r="K1096" s="91"/>
      <c r="L1096" s="91"/>
      <c r="M1096" s="91"/>
      <c r="N1096" s="42"/>
      <c r="O1096" s="42"/>
      <c r="P1096" s="42"/>
      <c r="Q1096" s="42"/>
      <c r="R1096" s="42"/>
      <c r="S1096" s="42"/>
      <c r="T1096" s="42"/>
    </row>
    <row r="1097" spans="1:20" ht="15" customHeight="1" x14ac:dyDescent="0.2">
      <c r="A1097" s="148"/>
      <c r="B1097" s="158"/>
      <c r="C1097" s="148" t="s">
        <v>1342</v>
      </c>
      <c r="D1097" s="148" t="s">
        <v>631</v>
      </c>
      <c r="E1097" s="154">
        <v>1</v>
      </c>
      <c r="F1097" s="144" t="str">
        <f>IF(AND(ISNA(VLOOKUP(D1097,A:A,1,FALSE())),ISNA(VLOOKUP(D1097,BaseType!A:A,1,FALSE())),D1097&lt;&gt;"Struct"),"N","Y")</f>
        <v>Y</v>
      </c>
      <c r="G1097" s="150"/>
      <c r="H1097" s="91"/>
      <c r="I1097" s="91"/>
      <c r="J1097" s="91"/>
      <c r="K1097" s="91"/>
      <c r="L1097" s="91"/>
      <c r="M1097" s="91"/>
      <c r="N1097" s="42"/>
      <c r="O1097" s="42"/>
      <c r="P1097" s="42"/>
      <c r="Q1097" s="42"/>
      <c r="R1097" s="42"/>
      <c r="S1097" s="42"/>
      <c r="T1097" s="42"/>
    </row>
    <row r="1098" spans="1:20" ht="15" customHeight="1" x14ac:dyDescent="0.2">
      <c r="A1098" s="148"/>
      <c r="B1098" s="158"/>
      <c r="C1098" s="148" t="s">
        <v>1856</v>
      </c>
      <c r="D1098" s="148" t="s">
        <v>1857</v>
      </c>
      <c r="E1098" s="154">
        <v>20</v>
      </c>
      <c r="F1098" s="144" t="str">
        <f>IF(AND(ISNA(VLOOKUP(D1098,A:A,1,FALSE())),ISNA(VLOOKUP(D1098,BaseType!A:A,1,FALSE())),D1098&lt;&gt;"Struct"),"N","Y")</f>
        <v>Y</v>
      </c>
      <c r="G1098" s="150"/>
      <c r="H1098" s="91"/>
      <c r="I1098" s="91"/>
      <c r="J1098" s="91"/>
      <c r="K1098" s="91"/>
      <c r="L1098" s="91"/>
      <c r="M1098" s="91"/>
      <c r="N1098" s="42"/>
      <c r="O1098" s="42"/>
      <c r="P1098" s="42"/>
      <c r="Q1098" s="42"/>
      <c r="R1098" s="42"/>
      <c r="S1098" s="42"/>
      <c r="T1098" s="42"/>
    </row>
    <row r="1099" spans="1:20" ht="15" customHeight="1" x14ac:dyDescent="0.2">
      <c r="A1099" s="148" t="s">
        <v>1857</v>
      </c>
      <c r="B1099" s="144" t="str">
        <f>IF(ISBLANK(A1099),"",IF(AND(ISNA(VLOOKUP(A1099,Interface_Platform!E:E,1,FALSE())),ISNA(VLOOKUP(A1099,D:D,1,FALSE()))),"N","Y"))</f>
        <v>Y</v>
      </c>
      <c r="C1099" s="155"/>
      <c r="D1099" s="169" t="s">
        <v>484</v>
      </c>
      <c r="E1099" s="155"/>
      <c r="F1099" s="144" t="str">
        <f>IF(AND(ISNA(VLOOKUP(D1099,A:A,1,FALSE())),ISNA(VLOOKUP(D1099,BaseType!A:A,1,FALSE())),D1099&lt;&gt;"Struct"),"N","Y")</f>
        <v>Y</v>
      </c>
      <c r="G1099" s="150" t="s">
        <v>7</v>
      </c>
      <c r="H1099" s="91"/>
      <c r="I1099" s="91"/>
      <c r="J1099" s="91"/>
      <c r="K1099" s="91"/>
      <c r="L1099" s="91"/>
      <c r="M1099" s="91"/>
      <c r="N1099" s="42"/>
      <c r="O1099" s="42"/>
      <c r="P1099" s="42"/>
      <c r="Q1099" s="42"/>
      <c r="R1099" s="42"/>
      <c r="S1099" s="42"/>
      <c r="T1099" s="42"/>
    </row>
    <row r="1100" spans="1:20" ht="15" customHeight="1" x14ac:dyDescent="0.2">
      <c r="A1100" s="148"/>
      <c r="B1100" s="158"/>
      <c r="C1100" s="148" t="s">
        <v>973</v>
      </c>
      <c r="D1100" s="148" t="s">
        <v>1249</v>
      </c>
      <c r="E1100" s="154">
        <v>1</v>
      </c>
      <c r="F1100" s="144" t="str">
        <f>IF(AND(ISNA(VLOOKUP(D1100,A:A,1,FALSE())),ISNA(VLOOKUP(D1100,BaseType!A:A,1,FALSE())),D1100&lt;&gt;"Struct"),"N","Y")</f>
        <v>Y</v>
      </c>
      <c r="G1100" s="150"/>
      <c r="H1100" s="91"/>
      <c r="I1100" s="91"/>
      <c r="J1100" s="91"/>
      <c r="K1100" s="91"/>
      <c r="L1100" s="91"/>
      <c r="M1100" s="91"/>
      <c r="N1100" s="42"/>
      <c r="O1100" s="42"/>
      <c r="P1100" s="42"/>
      <c r="Q1100" s="42"/>
      <c r="R1100" s="42"/>
      <c r="S1100" s="42"/>
      <c r="T1100" s="42"/>
    </row>
    <row r="1101" spans="1:20" ht="15" customHeight="1" x14ac:dyDescent="0.2">
      <c r="A1101" s="148"/>
      <c r="B1101" s="158"/>
      <c r="C1101" s="148" t="s">
        <v>1858</v>
      </c>
      <c r="D1101" s="148" t="s">
        <v>193</v>
      </c>
      <c r="E1101" s="154">
        <v>1</v>
      </c>
      <c r="F1101" s="144" t="str">
        <f>IF(AND(ISNA(VLOOKUP(D1101,A:A,1,FALSE())),ISNA(VLOOKUP(D1101,BaseType!A:A,1,FALSE())),D1101&lt;&gt;"Struct"),"N","Y")</f>
        <v>Y</v>
      </c>
      <c r="G1101" s="150"/>
      <c r="H1101" s="91"/>
      <c r="I1101" s="91"/>
      <c r="J1101" s="91"/>
      <c r="K1101" s="91"/>
      <c r="L1101" s="91"/>
      <c r="M1101" s="91"/>
      <c r="N1101" s="42"/>
      <c r="O1101" s="42"/>
      <c r="P1101" s="42"/>
      <c r="Q1101" s="42"/>
      <c r="R1101" s="42"/>
      <c r="S1101" s="42"/>
      <c r="T1101" s="42"/>
    </row>
    <row r="1102" spans="1:20" ht="15" customHeight="1" x14ac:dyDescent="0.2">
      <c r="A1102" s="148"/>
      <c r="B1102" s="158"/>
      <c r="C1102" s="148" t="s">
        <v>1859</v>
      </c>
      <c r="D1102" s="148" t="s">
        <v>193</v>
      </c>
      <c r="E1102" s="154">
        <v>1</v>
      </c>
      <c r="F1102" s="144" t="str">
        <f>IF(AND(ISNA(VLOOKUP(D1102,A:A,1,FALSE())),ISNA(VLOOKUP(D1102,BaseType!A:A,1,FALSE())),D1102&lt;&gt;"Struct"),"N","Y")</f>
        <v>Y</v>
      </c>
      <c r="G1102" s="150"/>
      <c r="H1102" s="91"/>
      <c r="I1102" s="91"/>
      <c r="J1102" s="91"/>
      <c r="K1102" s="91"/>
      <c r="L1102" s="91"/>
      <c r="M1102" s="91"/>
      <c r="N1102" s="42"/>
      <c r="O1102" s="42"/>
      <c r="P1102" s="42"/>
      <c r="Q1102" s="42"/>
      <c r="R1102" s="42"/>
      <c r="S1102" s="42"/>
      <c r="T1102" s="42"/>
    </row>
    <row r="1103" spans="1:20" ht="15" customHeight="1" x14ac:dyDescent="0.2">
      <c r="A1103" s="148"/>
      <c r="B1103" s="158"/>
      <c r="C1103" s="148" t="s">
        <v>1860</v>
      </c>
      <c r="D1103" s="148" t="s">
        <v>193</v>
      </c>
      <c r="E1103" s="154">
        <v>1</v>
      </c>
      <c r="F1103" s="144" t="str">
        <f>IF(AND(ISNA(VLOOKUP(D1103,A:A,1,FALSE())),ISNA(VLOOKUP(D1103,BaseType!A:A,1,FALSE())),D1103&lt;&gt;"Struct"),"N","Y")</f>
        <v>Y</v>
      </c>
      <c r="G1103" s="150"/>
      <c r="H1103" s="91"/>
      <c r="I1103" s="91"/>
      <c r="J1103" s="91"/>
      <c r="K1103" s="91"/>
      <c r="L1103" s="91"/>
      <c r="M1103" s="91"/>
      <c r="N1103" s="42"/>
      <c r="O1103" s="42"/>
      <c r="P1103" s="42"/>
      <c r="Q1103" s="42"/>
      <c r="R1103" s="42"/>
      <c r="S1103" s="42"/>
      <c r="T1103" s="42"/>
    </row>
    <row r="1104" spans="1:20" ht="97.9" customHeight="1" x14ac:dyDescent="0.2">
      <c r="A1104" s="148"/>
      <c r="B1104" s="158"/>
      <c r="C1104" s="148" t="s">
        <v>1861</v>
      </c>
      <c r="D1104" s="148" t="s">
        <v>1249</v>
      </c>
      <c r="E1104" s="154">
        <v>1</v>
      </c>
      <c r="F1104" s="144" t="str">
        <f>IF(AND(ISNA(VLOOKUP(D1104,A:A,1,FALSE())),ISNA(VLOOKUP(D1104,BaseType!A:A,1,FALSE())),D1104&lt;&gt;"Struct"),"N","Y")</f>
        <v>Y</v>
      </c>
      <c r="G1104" s="150"/>
      <c r="H1104" s="91"/>
      <c r="I1104" s="91"/>
      <c r="J1104" s="91"/>
      <c r="K1104" s="91"/>
      <c r="L1104" s="91"/>
      <c r="M1104" s="91"/>
      <c r="N1104" s="42"/>
      <c r="O1104" s="42"/>
      <c r="P1104" s="42"/>
      <c r="Q1104" s="42"/>
      <c r="R1104" s="42"/>
      <c r="S1104" s="42"/>
      <c r="T1104" s="42"/>
    </row>
    <row r="1105" spans="1:20" ht="15" customHeight="1" x14ac:dyDescent="0.2">
      <c r="A1105" s="148" t="s">
        <v>182</v>
      </c>
      <c r="B1105" s="144" t="str">
        <f>IF(ISBLANK(A1105),"",IF(AND(ISNA(VLOOKUP(A1105,Interface_Platform!E:E,1,FALSE())),ISNA(VLOOKUP(A1105,D:D,1,FALSE()))),"N","Y"))</f>
        <v>Y</v>
      </c>
      <c r="C1105" s="148"/>
      <c r="D1105" s="169" t="s">
        <v>484</v>
      </c>
      <c r="E1105" s="154"/>
      <c r="F1105" s="144" t="str">
        <f>IF(AND(ISNA(VLOOKUP(D1105,A:A,1,FALSE())),ISNA(VLOOKUP(D1105,BaseType!A:A,1,FALSE())),D1105&lt;&gt;"Struct"),"N","Y")</f>
        <v>Y</v>
      </c>
      <c r="G1105" s="150"/>
      <c r="H1105" s="91"/>
      <c r="I1105" s="91"/>
      <c r="J1105" s="91"/>
      <c r="K1105" s="91"/>
      <c r="L1105" s="91"/>
      <c r="M1105" s="91"/>
      <c r="N1105" s="42"/>
      <c r="O1105" s="42"/>
      <c r="P1105" s="42"/>
      <c r="Q1105" s="42"/>
      <c r="R1105" s="42"/>
      <c r="S1105" s="42"/>
      <c r="T1105" s="42"/>
    </row>
    <row r="1106" spans="1:20" ht="15" customHeight="1" x14ac:dyDescent="0.2">
      <c r="A1106" s="149"/>
      <c r="B1106" s="148" t="str">
        <f>IF(ISBLANK(A1106),"",IF(AND(ISNA(VLOOKUP(A1106,Interface_Platform!E:E,1,FALSE())),ISNA(VLOOKUP(A1106,D:D,1,FALSE()))),"N","Y"))</f>
        <v/>
      </c>
      <c r="C1106" s="148" t="s">
        <v>1862</v>
      </c>
      <c r="D1106" s="148" t="s">
        <v>1756</v>
      </c>
      <c r="E1106" s="154">
        <v>1</v>
      </c>
      <c r="F1106" s="144" t="str">
        <f>IF(AND(ISNA(VLOOKUP(D1106,A:A,1,FALSE())),ISNA(VLOOKUP(D1106,BaseType!A:A,1,FALSE())),D1106&lt;&gt;"Struct"),"N","Y")</f>
        <v>Y</v>
      </c>
      <c r="G1106" s="150"/>
      <c r="H1106" s="91"/>
      <c r="I1106" s="91"/>
      <c r="J1106" s="91"/>
      <c r="K1106" s="91"/>
      <c r="L1106" s="91"/>
      <c r="M1106" s="91"/>
      <c r="N1106" s="42"/>
      <c r="O1106" s="42"/>
      <c r="P1106" s="42"/>
      <c r="Q1106" s="42"/>
      <c r="R1106" s="42"/>
      <c r="S1106" s="42"/>
      <c r="T1106" s="42"/>
    </row>
    <row r="1107" spans="1:20" ht="15" customHeight="1" x14ac:dyDescent="0.2">
      <c r="A1107" s="149"/>
      <c r="B1107" s="148"/>
      <c r="C1107" s="148" t="s">
        <v>1863</v>
      </c>
      <c r="D1107" s="148" t="s">
        <v>1389</v>
      </c>
      <c r="E1107" s="154">
        <v>1</v>
      </c>
      <c r="F1107" s="144" t="str">
        <f>IF(AND(ISNA(VLOOKUP(D1107,A:A,1,FALSE())),ISNA(VLOOKUP(D1107,BaseType!A:A,1,FALSE())),D1107&lt;&gt;"Struct"),"N","Y")</f>
        <v>Y</v>
      </c>
      <c r="G1107" s="150"/>
      <c r="H1107" s="91"/>
      <c r="I1107" s="91"/>
      <c r="J1107" s="91"/>
      <c r="K1107" s="91"/>
      <c r="L1107" s="91"/>
      <c r="M1107" s="91"/>
      <c r="N1107" s="42"/>
      <c r="O1107" s="42"/>
      <c r="P1107" s="42"/>
      <c r="Q1107" s="42"/>
      <c r="R1107" s="42"/>
      <c r="S1107" s="42"/>
      <c r="T1107" s="42"/>
    </row>
    <row r="1108" spans="1:20" ht="15" customHeight="1" x14ac:dyDescent="0.2">
      <c r="A1108" s="149"/>
      <c r="B1108" s="148" t="str">
        <f>IF(ISBLANK(A1108),"",IF(AND(ISNA(VLOOKUP(A1108,Interface_Platform!E:E,1,FALSE())),ISNA(VLOOKUP(A1108,D:D,1,FALSE()))),"N","Y"))</f>
        <v/>
      </c>
      <c r="C1108" s="148" t="s">
        <v>1864</v>
      </c>
      <c r="D1108" s="148" t="s">
        <v>1769</v>
      </c>
      <c r="E1108" s="154">
        <v>20</v>
      </c>
      <c r="F1108" s="144" t="str">
        <f>IF(AND(ISNA(VLOOKUP(D1108,A:A,1,FALSE())),ISNA(VLOOKUP(D1108,BaseType!A:A,1,FALSE())),D1108&lt;&gt;"Struct"),"N","Y")</f>
        <v>Y</v>
      </c>
      <c r="G1108" s="150"/>
      <c r="H1108" s="91"/>
      <c r="I1108" s="91"/>
      <c r="J1108" s="91"/>
      <c r="K1108" s="91"/>
      <c r="L1108" s="91"/>
      <c r="M1108" s="91"/>
      <c r="N1108" s="42"/>
      <c r="O1108" s="42"/>
      <c r="P1108" s="42"/>
      <c r="Q1108" s="42"/>
      <c r="R1108" s="42"/>
      <c r="S1108" s="42"/>
      <c r="T1108" s="42"/>
    </row>
    <row r="1109" spans="1:20" ht="15" customHeight="1" x14ac:dyDescent="0.2">
      <c r="A1109" s="148"/>
      <c r="B1109" s="158"/>
      <c r="C1109" s="148" t="s">
        <v>1865</v>
      </c>
      <c r="D1109" s="148" t="s">
        <v>1855</v>
      </c>
      <c r="E1109" s="154">
        <v>1</v>
      </c>
      <c r="F1109" s="144" t="str">
        <f>IF(AND(ISNA(VLOOKUP(D1109,A:A,1,FALSE())),ISNA(VLOOKUP(D1109,BaseType!A:A,1,FALSE())),D1109&lt;&gt;"Struct"),"N","Y")</f>
        <v>Y</v>
      </c>
      <c r="G1109" s="150"/>
      <c r="H1109" s="91"/>
      <c r="I1109" s="91"/>
      <c r="J1109" s="91"/>
      <c r="K1109" s="91"/>
      <c r="L1109" s="91"/>
      <c r="M1109" s="91"/>
      <c r="N1109" s="42"/>
      <c r="O1109" s="42"/>
      <c r="P1109" s="42"/>
      <c r="Q1109" s="42"/>
      <c r="R1109" s="42"/>
      <c r="S1109" s="42"/>
      <c r="T1109" s="42"/>
    </row>
    <row r="1110" spans="1:20" ht="15" customHeight="1" x14ac:dyDescent="0.2">
      <c r="A1110" s="143" t="s">
        <v>1866</v>
      </c>
      <c r="B1110" s="143" t="str">
        <f>IF(ISBLANK(A1110),"",IF(AND(ISNA(VLOOKUP(A1110,#REF!,1,FALSE())),ISNA(VLOOKUP(A1110,D:D,1,FALSE()))),"N","Y"))</f>
        <v>Y</v>
      </c>
      <c r="C1110" s="143"/>
      <c r="D1110" s="143" t="s">
        <v>484</v>
      </c>
      <c r="E1110" s="142"/>
      <c r="F1110" s="144" t="str">
        <f>IF(AND(ISNA(VLOOKUP(D1110,A:A,1,FALSE())),ISNA(VLOOKUP(D1110,BaseType!A:A,1,FALSE())),D1110&lt;&gt;"Struct"),"N","Y")</f>
        <v>Y</v>
      </c>
      <c r="G1110" s="146"/>
      <c r="H1110" s="141"/>
      <c r="I1110" s="141"/>
      <c r="J1110" s="141"/>
      <c r="K1110" s="141"/>
      <c r="L1110" s="141"/>
      <c r="M1110" s="141"/>
      <c r="N1110" s="140"/>
      <c r="O1110" s="140"/>
      <c r="P1110" s="140"/>
      <c r="Q1110" s="140"/>
      <c r="R1110" s="140"/>
      <c r="S1110" s="140"/>
      <c r="T1110" s="140"/>
    </row>
    <row r="1111" spans="1:20" ht="15" customHeight="1" x14ac:dyDescent="0.2">
      <c r="A1111" s="141"/>
      <c r="B1111" s="141"/>
      <c r="C1111" s="143" t="s">
        <v>1867</v>
      </c>
      <c r="D1111" s="143" t="s">
        <v>193</v>
      </c>
      <c r="E1111" s="142">
        <v>10</v>
      </c>
      <c r="F1111" s="144" t="str">
        <f>IF(AND(ISNA(VLOOKUP(D1111,A:A,1,FALSE())),ISNA(VLOOKUP(D1111,BaseType!A:A,1,FALSE())),D1111&lt;&gt;"Struct"),"N","Y")</f>
        <v>Y</v>
      </c>
      <c r="G1111" s="146"/>
      <c r="H1111" s="141"/>
      <c r="I1111" s="141"/>
      <c r="J1111" s="141"/>
      <c r="K1111" s="141"/>
      <c r="L1111" s="141"/>
      <c r="M1111" s="141"/>
      <c r="N1111" s="140"/>
      <c r="O1111" s="140"/>
      <c r="P1111" s="140"/>
      <c r="Q1111" s="140"/>
      <c r="R1111" s="140"/>
      <c r="S1111" s="140"/>
      <c r="T1111" s="140"/>
    </row>
    <row r="1112" spans="1:20" ht="15" customHeight="1" x14ac:dyDescent="0.2">
      <c r="A1112" s="141"/>
      <c r="B1112" s="143" t="str">
        <f>IF(ISBLANK(A1112),"",IF(AND(ISNA(VLOOKUP(A1112,#REF!,1,FALSE())),ISNA(VLOOKUP(A1112,D:D,1,FALSE()))),"N","Y"))</f>
        <v/>
      </c>
      <c r="C1112" s="143" t="s">
        <v>1868</v>
      </c>
      <c r="D1112" s="143" t="s">
        <v>193</v>
      </c>
      <c r="E1112" s="142">
        <v>10</v>
      </c>
      <c r="F1112" s="144" t="str">
        <f>IF(AND(ISNA(VLOOKUP(D1112,A:A,1,FALSE())),ISNA(VLOOKUP(D1112,BaseType!A:A,1,FALSE())),D1112&lt;&gt;"Struct"),"N","Y")</f>
        <v>Y</v>
      </c>
      <c r="G1112" s="146"/>
      <c r="H1112" s="141"/>
      <c r="I1112" s="141"/>
      <c r="J1112" s="141"/>
      <c r="K1112" s="141"/>
      <c r="L1112" s="141"/>
      <c r="M1112" s="141"/>
      <c r="N1112" s="140"/>
      <c r="O1112" s="140"/>
      <c r="P1112" s="140"/>
      <c r="Q1112" s="140"/>
      <c r="R1112" s="140"/>
      <c r="S1112" s="140"/>
      <c r="T1112" s="140"/>
    </row>
    <row r="1113" spans="1:20" ht="15" customHeight="1" x14ac:dyDescent="0.2">
      <c r="A1113" s="141"/>
      <c r="B1113" s="143" t="str">
        <f>IF(ISBLANK(A1113),"",IF(AND(ISNA(VLOOKUP(A1113,#REF!,1,FALSE())),ISNA(VLOOKUP(A1113,D:D,1,FALSE()))),"N","Y"))</f>
        <v/>
      </c>
      <c r="C1113" s="143" t="s">
        <v>1869</v>
      </c>
      <c r="D1113" s="143" t="s">
        <v>193</v>
      </c>
      <c r="E1113" s="142">
        <v>10</v>
      </c>
      <c r="F1113" s="144" t="str">
        <f>IF(AND(ISNA(VLOOKUP(D1113,A:A,1,FALSE())),ISNA(VLOOKUP(D1113,BaseType!A:A,1,FALSE())),D1113&lt;&gt;"Struct"),"N","Y")</f>
        <v>Y</v>
      </c>
      <c r="G1113" s="146"/>
      <c r="H1113" s="141"/>
      <c r="I1113" s="141"/>
      <c r="J1113" s="141"/>
      <c r="K1113" s="141"/>
      <c r="L1113" s="141"/>
      <c r="M1113" s="141"/>
      <c r="N1113" s="140"/>
      <c r="O1113" s="140"/>
      <c r="P1113" s="140"/>
      <c r="Q1113" s="140"/>
      <c r="R1113" s="140"/>
      <c r="S1113" s="140"/>
      <c r="T1113" s="140"/>
    </row>
    <row r="1114" spans="1:20" ht="15" customHeight="1" x14ac:dyDescent="0.2">
      <c r="A1114" s="141"/>
      <c r="B1114" s="143" t="str">
        <f>IF(ISBLANK(A1114),"",IF(AND(ISNA(VLOOKUP(A1114,#REF!,1,FALSE())),ISNA(VLOOKUP(A1114,D:D,1,FALSE()))),"N","Y"))</f>
        <v/>
      </c>
      <c r="C1114" s="143" t="s">
        <v>1870</v>
      </c>
      <c r="D1114" s="143" t="s">
        <v>298</v>
      </c>
      <c r="E1114" s="142">
        <v>10</v>
      </c>
      <c r="F1114" s="144" t="str">
        <f>IF(AND(ISNA(VLOOKUP(D1114,A:A,1,FALSE())),ISNA(VLOOKUP(D1114,BaseType!A:A,1,FALSE())),D1114&lt;&gt;"Struct"),"N","Y")</f>
        <v>Y</v>
      </c>
      <c r="G1114" s="146"/>
      <c r="H1114" s="141"/>
      <c r="I1114" s="141"/>
      <c r="J1114" s="141"/>
      <c r="K1114" s="141"/>
      <c r="L1114" s="141"/>
      <c r="M1114" s="141"/>
      <c r="N1114" s="140"/>
      <c r="O1114" s="140"/>
      <c r="P1114" s="140"/>
      <c r="Q1114" s="140"/>
      <c r="R1114" s="140"/>
      <c r="S1114" s="140"/>
      <c r="T1114" s="140"/>
    </row>
    <row r="1115" spans="1:20" ht="15" customHeight="1" x14ac:dyDescent="0.2">
      <c r="A1115" s="141"/>
      <c r="B1115" s="143" t="str">
        <f>IF(ISBLANK(A1115),"",IF(AND(ISNA(VLOOKUP(A1115,#REF!,1,FALSE())),ISNA(VLOOKUP(A1115,D:D,1,FALSE()))),"N","Y"))</f>
        <v/>
      </c>
      <c r="C1115" s="143" t="s">
        <v>1871</v>
      </c>
      <c r="D1115" s="143" t="s">
        <v>225</v>
      </c>
      <c r="E1115" s="142">
        <v>10</v>
      </c>
      <c r="F1115" s="144" t="str">
        <f>IF(AND(ISNA(VLOOKUP(D1115,A:A,1,FALSE())),ISNA(VLOOKUP(D1115,BaseType!A:A,1,FALSE())),D1115&lt;&gt;"Struct"),"N","Y")</f>
        <v>Y</v>
      </c>
      <c r="G1115" s="146"/>
      <c r="H1115" s="141"/>
      <c r="I1115" s="141"/>
      <c r="J1115" s="141"/>
      <c r="K1115" s="141"/>
      <c r="L1115" s="141"/>
      <c r="M1115" s="141"/>
      <c r="N1115" s="140"/>
      <c r="O1115" s="140"/>
      <c r="P1115" s="140"/>
      <c r="Q1115" s="140"/>
      <c r="R1115" s="140"/>
      <c r="S1115" s="140"/>
      <c r="T1115" s="140"/>
    </row>
    <row r="1116" spans="1:20" ht="15" customHeight="1" x14ac:dyDescent="0.2">
      <c r="A1116" s="141"/>
      <c r="B1116" s="143" t="str">
        <f>IF(ISBLANK(A1116),"",IF(AND(ISNA(VLOOKUP(A1116,#REF!,1,FALSE())),ISNA(VLOOKUP(A1116,D:D,1,FALSE()))),"N","Y"))</f>
        <v/>
      </c>
      <c r="C1116" s="143" t="s">
        <v>1872</v>
      </c>
      <c r="D1116" s="143" t="s">
        <v>225</v>
      </c>
      <c r="E1116" s="142">
        <v>10</v>
      </c>
      <c r="F1116" s="144" t="str">
        <f>IF(AND(ISNA(VLOOKUP(D1116,A:A,1,FALSE())),ISNA(VLOOKUP(D1116,BaseType!A:A,1,FALSE())),D1116&lt;&gt;"Struct"),"N","Y")</f>
        <v>Y</v>
      </c>
      <c r="G1116" s="146"/>
      <c r="H1116" s="141"/>
      <c r="I1116" s="141"/>
      <c r="J1116" s="141"/>
      <c r="K1116" s="141"/>
      <c r="L1116" s="141"/>
      <c r="M1116" s="141"/>
      <c r="N1116" s="140"/>
      <c r="O1116" s="140"/>
      <c r="P1116" s="140"/>
      <c r="Q1116" s="140"/>
      <c r="R1116" s="140"/>
      <c r="S1116" s="140"/>
      <c r="T1116" s="140"/>
    </row>
    <row r="1117" spans="1:20" ht="15" customHeight="1" x14ac:dyDescent="0.2">
      <c r="A1117" s="141"/>
      <c r="B1117" s="143" t="str">
        <f>IF(ISBLANK(A1117),"",IF(AND(ISNA(VLOOKUP(A1117,#REF!,1,FALSE())),ISNA(VLOOKUP(A1117,D:D,1,FALSE()))),"N","Y"))</f>
        <v/>
      </c>
      <c r="C1117" s="143" t="s">
        <v>1873</v>
      </c>
      <c r="D1117" s="143" t="s">
        <v>225</v>
      </c>
      <c r="E1117" s="142">
        <v>10</v>
      </c>
      <c r="F1117" s="144" t="str">
        <f>IF(AND(ISNA(VLOOKUP(D1117,A:A,1,FALSE())),ISNA(VLOOKUP(D1117,BaseType!A:A,1,FALSE())),D1117&lt;&gt;"Struct"),"N","Y")</f>
        <v>Y</v>
      </c>
      <c r="G1117" s="146"/>
      <c r="H1117" s="141"/>
      <c r="I1117" s="141"/>
      <c r="J1117" s="141"/>
      <c r="K1117" s="141"/>
      <c r="L1117" s="141"/>
      <c r="M1117" s="141"/>
      <c r="N1117" s="140"/>
      <c r="O1117" s="140"/>
      <c r="P1117" s="140"/>
      <c r="Q1117" s="140"/>
      <c r="R1117" s="140"/>
      <c r="S1117" s="140"/>
      <c r="T1117" s="140"/>
    </row>
    <row r="1118" spans="1:20" ht="15" customHeight="1" x14ac:dyDescent="0.2">
      <c r="A1118" s="141"/>
      <c r="B1118" s="143" t="str">
        <f>IF(ISBLANK(A1118),"",IF(AND(ISNA(VLOOKUP(A1118,#REF!,1,FALSE())),ISNA(VLOOKUP(A1118,D:D,1,FALSE()))),"N","Y"))</f>
        <v/>
      </c>
      <c r="C1118" s="143" t="s">
        <v>1874</v>
      </c>
      <c r="D1118" s="143" t="s">
        <v>225</v>
      </c>
      <c r="E1118" s="142">
        <v>10</v>
      </c>
      <c r="F1118" s="144" t="str">
        <f>IF(AND(ISNA(VLOOKUP(D1118,A:A,1,FALSE())),ISNA(VLOOKUP(D1118,BaseType!A:A,1,FALSE())),D1118&lt;&gt;"Struct"),"N","Y")</f>
        <v>Y</v>
      </c>
      <c r="G1118" s="146"/>
      <c r="H1118" s="141"/>
      <c r="I1118" s="141"/>
      <c r="J1118" s="141"/>
      <c r="K1118" s="141"/>
      <c r="L1118" s="141"/>
      <c r="M1118" s="141"/>
      <c r="N1118" s="140"/>
      <c r="O1118" s="140"/>
      <c r="P1118" s="140"/>
      <c r="Q1118" s="140"/>
      <c r="R1118" s="140"/>
      <c r="S1118" s="140"/>
      <c r="T1118" s="140"/>
    </row>
    <row r="1119" spans="1:20" ht="15" customHeight="1" x14ac:dyDescent="0.2">
      <c r="A1119" s="64" t="s">
        <v>1875</v>
      </c>
      <c r="B1119" s="144" t="str">
        <f>IF(ISBLANK(A1119),"",IF(AND(ISNA(VLOOKUP(A1119,Interface_Platform!E:E,1,FALSE())),ISNA(VLOOKUP(A1119,D:D,1,FALSE()))),"N","Y"))</f>
        <v>Y</v>
      </c>
      <c r="C1119" s="48"/>
      <c r="D1119" s="169" t="s">
        <v>484</v>
      </c>
      <c r="E1119" s="154"/>
      <c r="F1119" s="144" t="str">
        <f>IF(AND(ISNA(VLOOKUP(D1119,A:A,1,FALSE())),ISNA(VLOOKUP(D1119,BaseType!A:A,1,FALSE())),D1119&lt;&gt;"Struct"),"N","Y")</f>
        <v>Y</v>
      </c>
      <c r="G1119" s="150"/>
      <c r="H1119" s="91"/>
      <c r="I1119" s="91"/>
      <c r="J1119" s="91"/>
      <c r="K1119" s="91"/>
      <c r="L1119" s="91"/>
      <c r="M1119" s="91"/>
      <c r="N1119" s="42"/>
      <c r="O1119" s="42"/>
      <c r="P1119" s="42"/>
      <c r="Q1119" s="42"/>
      <c r="R1119" s="42"/>
      <c r="S1119" s="42"/>
      <c r="T1119" s="42"/>
    </row>
    <row r="1120" spans="1:20" ht="15" customHeight="1" x14ac:dyDescent="0.2">
      <c r="A1120" s="64"/>
      <c r="B1120" s="148" t="str">
        <f>IF(ISBLANK(A1120),"",IF(AND(ISNA(VLOOKUP(A1120,Interface_Platform!E:E,1,FALSE())),ISNA(VLOOKUP(A1120,D:D,1,FALSE()))),"N","Y"))</f>
        <v/>
      </c>
      <c r="C1120" s="148" t="s">
        <v>132</v>
      </c>
      <c r="D1120" s="148" t="s">
        <v>225</v>
      </c>
      <c r="E1120" s="154">
        <v>1</v>
      </c>
      <c r="F1120" s="144" t="str">
        <f>IF(AND(ISNA(VLOOKUP(D1120,A:A,1,FALSE())),ISNA(VLOOKUP(D1120,BaseType!A:A,1,FALSE())),D1120&lt;&gt;"Struct"),"N","Y")</f>
        <v>Y</v>
      </c>
      <c r="G1120" s="150"/>
      <c r="H1120" s="91"/>
      <c r="I1120" s="91"/>
      <c r="J1120" s="91"/>
      <c r="K1120" s="91"/>
      <c r="L1120" s="91"/>
      <c r="M1120" s="91"/>
      <c r="N1120" s="42"/>
      <c r="O1120" s="42"/>
      <c r="P1120" s="42"/>
      <c r="Q1120" s="42"/>
      <c r="R1120" s="42"/>
      <c r="S1120" s="42"/>
      <c r="T1120" s="42"/>
    </row>
    <row r="1121" spans="1:20" ht="15" customHeight="1" x14ac:dyDescent="0.2">
      <c r="A1121" s="64"/>
      <c r="B1121" s="148" t="str">
        <f>IF(ISBLANK(A1121),"",IF(AND(ISNA(VLOOKUP(A1121,Interface_Platform!E:E,1,FALSE())),ISNA(VLOOKUP(A1121,D:D,1,FALSE()))),"N","Y"))</f>
        <v/>
      </c>
      <c r="C1121" s="148" t="s">
        <v>1315</v>
      </c>
      <c r="D1121" s="148" t="s">
        <v>225</v>
      </c>
      <c r="E1121" s="154">
        <v>1</v>
      </c>
      <c r="F1121" s="144" t="str">
        <f>IF(AND(ISNA(VLOOKUP(D1121,A:A,1,FALSE())),ISNA(VLOOKUP(D1121,BaseType!A:A,1,FALSE())),D1121&lt;&gt;"Struct"),"N","Y")</f>
        <v>Y</v>
      </c>
      <c r="G1121" s="150"/>
      <c r="H1121" s="91"/>
      <c r="I1121" s="91"/>
      <c r="J1121" s="91"/>
      <c r="K1121" s="91"/>
      <c r="L1121" s="91"/>
      <c r="M1121" s="91"/>
      <c r="N1121" s="42"/>
      <c r="O1121" s="42"/>
      <c r="P1121" s="42"/>
      <c r="Q1121" s="42"/>
      <c r="R1121" s="42"/>
      <c r="S1121" s="42"/>
      <c r="T1121" s="42"/>
    </row>
    <row r="1122" spans="1:20" ht="15" customHeight="1" x14ac:dyDescent="0.2">
      <c r="A1122" s="64"/>
      <c r="B1122" s="148" t="str">
        <f>IF(ISBLANK(A1122),"",IF(AND(ISNA(VLOOKUP(A1122,Interface_Platform!E:E,1,FALSE())),ISNA(VLOOKUP(A1122,D:D,1,FALSE()))),"N","Y"))</f>
        <v/>
      </c>
      <c r="C1122" s="148" t="s">
        <v>1316</v>
      </c>
      <c r="D1122" s="148" t="s">
        <v>225</v>
      </c>
      <c r="E1122" s="154">
        <v>1</v>
      </c>
      <c r="F1122" s="144" t="str">
        <f>IF(AND(ISNA(VLOOKUP(D1122,A:A,1,FALSE())),ISNA(VLOOKUP(D1122,BaseType!A:A,1,FALSE())),D1122&lt;&gt;"Struct"),"N","Y")</f>
        <v>Y</v>
      </c>
      <c r="G1122" s="150"/>
      <c r="H1122" s="91"/>
      <c r="I1122" s="91"/>
      <c r="J1122" s="91"/>
      <c r="K1122" s="91"/>
      <c r="L1122" s="91"/>
      <c r="M1122" s="91"/>
      <c r="N1122" s="42"/>
      <c r="O1122" s="42"/>
      <c r="P1122" s="42"/>
      <c r="Q1122" s="42"/>
      <c r="R1122" s="42"/>
      <c r="S1122" s="42"/>
      <c r="T1122" s="42"/>
    </row>
    <row r="1123" spans="1:20" ht="15" customHeight="1" x14ac:dyDescent="0.2">
      <c r="A1123" s="121" t="s">
        <v>1876</v>
      </c>
      <c r="B1123" s="143" t="str">
        <f>IF(ISBLANK(A1123),"",IF(AND(ISNA(VLOOKUP(A1123,Interface_Platform!E:E,1,FALSE())),ISNA(VLOOKUP(A1123,D:D,1,FALSE()))),"N","Y"))</f>
        <v>Y</v>
      </c>
      <c r="C1123" s="75"/>
      <c r="D1123" s="200" t="s">
        <v>1333</v>
      </c>
      <c r="E1123" s="142"/>
      <c r="F1123" s="144" t="str">
        <f>IF(AND(ISNA(VLOOKUP(D1123,A:A,1,FALSE())),ISNA(VLOOKUP(D1123,BaseType!A:A,1,FALSE())),D1123&lt;&gt;"Struct"),"N","Y")</f>
        <v>N</v>
      </c>
      <c r="G1123" s="146"/>
      <c r="H1123" s="141"/>
      <c r="I1123" s="141"/>
      <c r="J1123" s="141"/>
      <c r="K1123" s="141"/>
      <c r="L1123" s="141"/>
      <c r="M1123" s="141"/>
      <c r="N1123" s="140"/>
      <c r="O1123" s="140"/>
      <c r="P1123" s="140"/>
      <c r="Q1123" s="140"/>
      <c r="R1123" s="140"/>
      <c r="S1123" s="140"/>
      <c r="T1123" s="140"/>
    </row>
    <row r="1124" spans="1:20" ht="15" customHeight="1" x14ac:dyDescent="0.2">
      <c r="A1124" s="121"/>
      <c r="B1124" s="143" t="str">
        <f>IF(ISBLANK(A1124),"",IF(AND(ISNA(VLOOKUP(A1124,Interface_Platform!E:E,1,FALSE())),ISNA(VLOOKUP(A1124,D:D,1,FALSE()))),"N","Y"))</f>
        <v/>
      </c>
      <c r="C1124" s="75" t="s">
        <v>1877</v>
      </c>
      <c r="D1124" s="143">
        <v>0</v>
      </c>
      <c r="E1124" s="142"/>
      <c r="F1124" s="144" t="str">
        <f>IF(AND(ISNA(VLOOKUP(D1124,A:A,1,FALSE())),ISNA(VLOOKUP(D1124,BaseType!A:A,1,FALSE())),D1124&lt;&gt;"Struct"),"N","Y")</f>
        <v>N</v>
      </c>
      <c r="G1124" s="146"/>
      <c r="H1124" s="141"/>
      <c r="I1124" s="141"/>
      <c r="J1124" s="141"/>
      <c r="K1124" s="141"/>
      <c r="L1124" s="141"/>
      <c r="M1124" s="141"/>
      <c r="N1124" s="140"/>
      <c r="O1124" s="140"/>
      <c r="P1124" s="140"/>
      <c r="Q1124" s="140"/>
      <c r="R1124" s="140"/>
      <c r="S1124" s="140"/>
      <c r="T1124" s="140"/>
    </row>
    <row r="1125" spans="1:20" ht="15" customHeight="1" x14ac:dyDescent="0.2">
      <c r="A1125" s="121"/>
      <c r="B1125" s="143" t="str">
        <f>IF(ISBLANK(A1125),"",IF(AND(ISNA(VLOOKUP(A1125,Interface_Platform!E:E,1,FALSE())),ISNA(VLOOKUP(A1125,D:D,1,FALSE()))),"N","Y"))</f>
        <v/>
      </c>
      <c r="C1125" s="75" t="s">
        <v>1878</v>
      </c>
      <c r="D1125" s="143">
        <v>1</v>
      </c>
      <c r="E1125" s="142"/>
      <c r="F1125" s="144" t="str">
        <f>IF(AND(ISNA(VLOOKUP(D1125,A:A,1,FALSE())),ISNA(VLOOKUP(D1125,BaseType!A:A,1,FALSE())),D1125&lt;&gt;"Struct"),"N","Y")</f>
        <v>N</v>
      </c>
      <c r="G1125" s="146"/>
      <c r="H1125" s="141"/>
      <c r="I1125" s="141"/>
      <c r="J1125" s="141"/>
      <c r="K1125" s="141"/>
      <c r="L1125" s="141"/>
      <c r="M1125" s="141"/>
      <c r="N1125" s="140"/>
      <c r="O1125" s="140"/>
      <c r="P1125" s="140"/>
      <c r="Q1125" s="140"/>
      <c r="R1125" s="140"/>
      <c r="S1125" s="140"/>
      <c r="T1125" s="140"/>
    </row>
    <row r="1126" spans="1:20" ht="15" customHeight="1" x14ac:dyDescent="0.2">
      <c r="A1126" s="121"/>
      <c r="B1126" s="143" t="str">
        <f>IF(ISBLANK(A1126),"",IF(AND(ISNA(VLOOKUP(A1126,Interface_Platform!E:E,1,FALSE())),ISNA(VLOOKUP(A1126,D:D,1,FALSE()))),"N","Y"))</f>
        <v/>
      </c>
      <c r="C1126" s="75" t="s">
        <v>1879</v>
      </c>
      <c r="D1126" s="143">
        <v>2</v>
      </c>
      <c r="E1126" s="142"/>
      <c r="F1126" s="144" t="str">
        <f>IF(AND(ISNA(VLOOKUP(D1126,A:A,1,FALSE())),ISNA(VLOOKUP(D1126,BaseType!A:A,1,FALSE())),D1126&lt;&gt;"Struct"),"N","Y")</f>
        <v>N</v>
      </c>
      <c r="G1126" s="146"/>
      <c r="H1126" s="141"/>
      <c r="I1126" s="141"/>
      <c r="J1126" s="141"/>
      <c r="K1126" s="141"/>
      <c r="L1126" s="141"/>
      <c r="M1126" s="141"/>
      <c r="N1126" s="140"/>
      <c r="O1126" s="140"/>
      <c r="P1126" s="140"/>
      <c r="Q1126" s="140"/>
      <c r="R1126" s="140"/>
      <c r="S1126" s="140"/>
      <c r="T1126" s="140"/>
    </row>
    <row r="1127" spans="1:20" ht="15" customHeight="1" x14ac:dyDescent="0.2">
      <c r="A1127" s="121"/>
      <c r="B1127" s="143"/>
      <c r="C1127" s="48" t="s">
        <v>1880</v>
      </c>
      <c r="D1127" s="143">
        <v>3</v>
      </c>
      <c r="E1127" s="142"/>
      <c r="F1127" s="144" t="str">
        <f>IF(AND(ISNA(VLOOKUP(D1127,A:A,1,FALSE())),ISNA(VLOOKUP(D1127,BaseType!A:A,1,FALSE())),D1127&lt;&gt;"Struct"),"N","Y")</f>
        <v>N</v>
      </c>
      <c r="G1127" s="147"/>
      <c r="H1127" s="141"/>
      <c r="I1127" s="141"/>
      <c r="J1127" s="141"/>
      <c r="K1127" s="141"/>
      <c r="L1127" s="141"/>
      <c r="M1127" s="141"/>
      <c r="N1127" s="140"/>
      <c r="O1127" s="140"/>
      <c r="P1127" s="140"/>
      <c r="Q1127" s="140"/>
      <c r="R1127" s="140"/>
      <c r="S1127" s="140"/>
      <c r="T1127" s="140"/>
    </row>
    <row r="1128" spans="1:20" ht="15" customHeight="1" x14ac:dyDescent="0.2">
      <c r="A1128" s="121"/>
      <c r="B1128" s="143"/>
      <c r="C1128" s="75" t="s">
        <v>1881</v>
      </c>
      <c r="D1128" s="143">
        <v>4</v>
      </c>
      <c r="E1128" s="142"/>
      <c r="F1128" s="144" t="str">
        <f>IF(AND(ISNA(VLOOKUP(D1128,A:A,1,FALSE())),ISNA(VLOOKUP(D1128,BaseType!A:A,1,FALSE())),D1128&lt;&gt;"Struct"),"N","Y")</f>
        <v>N</v>
      </c>
      <c r="G1128" s="147"/>
      <c r="H1128" s="141"/>
      <c r="I1128" s="141"/>
      <c r="J1128" s="141"/>
      <c r="K1128" s="141"/>
      <c r="L1128" s="141"/>
      <c r="M1128" s="141"/>
      <c r="N1128" s="140"/>
      <c r="O1128" s="140"/>
      <c r="P1128" s="140"/>
      <c r="Q1128" s="140"/>
      <c r="R1128" s="140"/>
      <c r="S1128" s="140"/>
      <c r="T1128" s="140"/>
    </row>
    <row r="1129" spans="1:20" ht="15" customHeight="1" x14ac:dyDescent="0.2">
      <c r="A1129" s="121"/>
      <c r="B1129" s="143"/>
      <c r="C1129" s="75" t="s">
        <v>1882</v>
      </c>
      <c r="D1129" s="143">
        <v>5</v>
      </c>
      <c r="E1129" s="142"/>
      <c r="F1129" s="144" t="str">
        <f>IF(AND(ISNA(VLOOKUP(D1129,A:A,1,FALSE())),ISNA(VLOOKUP(D1129,BaseType!A:A,1,FALSE())),D1129&lt;&gt;"Struct"),"N","Y")</f>
        <v>N</v>
      </c>
      <c r="G1129" s="147"/>
      <c r="H1129" s="141"/>
      <c r="I1129" s="141"/>
      <c r="J1129" s="141"/>
      <c r="K1129" s="141"/>
      <c r="L1129" s="141"/>
      <c r="M1129" s="141"/>
      <c r="N1129" s="140"/>
      <c r="O1129" s="140"/>
      <c r="P1129" s="140"/>
      <c r="Q1129" s="140"/>
      <c r="R1129" s="140"/>
      <c r="S1129" s="140"/>
      <c r="T1129" s="140"/>
    </row>
    <row r="1130" spans="1:20" ht="15" customHeight="1" x14ac:dyDescent="0.2">
      <c r="A1130" s="121"/>
      <c r="B1130" s="143" t="str">
        <f>IF(ISBLANK(A1130),"",IF(AND(ISNA(VLOOKUP(A1130,Interface_Platform!E:E,1,FALSE())),ISNA(VLOOKUP(A1130,D:D,1,FALSE()))),"N","Y"))</f>
        <v/>
      </c>
      <c r="C1130" s="75" t="s">
        <v>1883</v>
      </c>
      <c r="D1130" s="143">
        <v>6</v>
      </c>
      <c r="E1130" s="142"/>
      <c r="F1130" s="144" t="str">
        <f>IF(AND(ISNA(VLOOKUP(D1130,A:A,1,FALSE())),ISNA(VLOOKUP(D1130,BaseType!A:A,1,FALSE())),D1130&lt;&gt;"Struct"),"N","Y")</f>
        <v>N</v>
      </c>
      <c r="G1130" s="146"/>
      <c r="H1130" s="141"/>
      <c r="I1130" s="141"/>
      <c r="J1130" s="141"/>
      <c r="K1130" s="141"/>
      <c r="L1130" s="141"/>
      <c r="M1130" s="141"/>
      <c r="N1130" s="140"/>
      <c r="O1130" s="140"/>
      <c r="P1130" s="140"/>
      <c r="Q1130" s="140"/>
      <c r="R1130" s="140"/>
      <c r="S1130" s="140"/>
      <c r="T1130" s="140"/>
    </row>
    <row r="1131" spans="1:20" ht="15" customHeight="1" x14ac:dyDescent="0.2">
      <c r="A1131" s="121"/>
      <c r="B1131" s="143" t="str">
        <f>IF(ISBLANK(A1131),"",IF(AND(ISNA(VLOOKUP(A1131,Interface_Platform!E:E,1,FALSE())),ISNA(VLOOKUP(A1131,D:D,1,FALSE()))),"N","Y"))</f>
        <v/>
      </c>
      <c r="C1131" s="75" t="s">
        <v>1884</v>
      </c>
      <c r="D1131" s="143">
        <v>7</v>
      </c>
      <c r="E1131" s="142"/>
      <c r="F1131" s="144" t="str">
        <f>IF(AND(ISNA(VLOOKUP(D1131,A:A,1,FALSE())),ISNA(VLOOKUP(D1131,BaseType!A:A,1,FALSE())),D1131&lt;&gt;"Struct"),"N","Y")</f>
        <v>N</v>
      </c>
      <c r="G1131" s="147"/>
      <c r="H1131" s="141"/>
      <c r="I1131" s="141"/>
      <c r="J1131" s="141"/>
      <c r="K1131" s="141"/>
      <c r="L1131" s="141"/>
      <c r="M1131" s="141"/>
      <c r="N1131" s="140"/>
      <c r="O1131" s="140"/>
      <c r="P1131" s="140"/>
      <c r="Q1131" s="140"/>
      <c r="R1131" s="140"/>
      <c r="S1131" s="140"/>
      <c r="T1131" s="140"/>
    </row>
    <row r="1132" spans="1:20" ht="15" customHeight="1" x14ac:dyDescent="0.2">
      <c r="A1132" s="121"/>
      <c r="B1132" s="143"/>
      <c r="C1132" s="91" t="s">
        <v>1885</v>
      </c>
      <c r="D1132" s="143">
        <v>8</v>
      </c>
      <c r="E1132" s="142"/>
      <c r="F1132" s="144" t="str">
        <f>IF(AND(ISNA(VLOOKUP(D1132,A:A,1,FALSE())),ISNA(VLOOKUP(D1132,BaseType!A:A,1,FALSE())),D1132&lt;&gt;"Struct"),"N","Y")</f>
        <v>N</v>
      </c>
      <c r="G1132" s="147"/>
      <c r="H1132" s="141"/>
      <c r="I1132" s="141"/>
      <c r="J1132" s="141"/>
      <c r="K1132" s="141"/>
      <c r="L1132" s="141"/>
      <c r="M1132" s="141"/>
      <c r="N1132" s="140"/>
      <c r="O1132" s="140"/>
      <c r="P1132" s="140"/>
      <c r="Q1132" s="140"/>
      <c r="R1132" s="140"/>
      <c r="S1132" s="140"/>
      <c r="T1132" s="140"/>
    </row>
    <row r="1133" spans="1:20" ht="15" customHeight="1" x14ac:dyDescent="0.2">
      <c r="A1133" s="121"/>
      <c r="B1133" s="143"/>
      <c r="C1133" s="75" t="s">
        <v>1886</v>
      </c>
      <c r="D1133" s="143">
        <v>9</v>
      </c>
      <c r="E1133" s="142"/>
      <c r="F1133" s="144" t="str">
        <f>IF(AND(ISNA(VLOOKUP(D1133,A:A,1,FALSE())),ISNA(VLOOKUP(D1133,BaseType!A:A,1,FALSE())),D1133&lt;&gt;"Struct"),"N","Y")</f>
        <v>N</v>
      </c>
      <c r="G1133" s="147"/>
      <c r="H1133" s="141"/>
      <c r="I1133" s="141"/>
      <c r="J1133" s="141"/>
      <c r="K1133" s="141"/>
      <c r="L1133" s="141"/>
      <c r="M1133" s="141"/>
      <c r="N1133" s="140"/>
      <c r="O1133" s="140"/>
      <c r="P1133" s="140"/>
      <c r="Q1133" s="140"/>
      <c r="R1133" s="140"/>
      <c r="S1133" s="140"/>
      <c r="T1133" s="140"/>
    </row>
    <row r="1134" spans="1:20" ht="15" customHeight="1" x14ac:dyDescent="0.2">
      <c r="A1134" s="121"/>
      <c r="B1134" s="143" t="str">
        <f>IF(ISBLANK(A1134),"",IF(AND(ISNA(VLOOKUP(A1134,Interface_Platform!E:E,1,FALSE())),ISNA(VLOOKUP(A1134,D:D,1,FALSE()))),"N","Y"))</f>
        <v/>
      </c>
      <c r="C1134" s="75" t="s">
        <v>1887</v>
      </c>
      <c r="D1134" s="143">
        <v>10</v>
      </c>
      <c r="E1134" s="142"/>
      <c r="F1134" s="144" t="str">
        <f>IF(AND(ISNA(VLOOKUP(D1134,A:A,1,FALSE())),ISNA(VLOOKUP(D1134,BaseType!A:A,1,FALSE())),D1134&lt;&gt;"Struct"),"N","Y")</f>
        <v>N</v>
      </c>
      <c r="G1134" s="146"/>
      <c r="H1134" s="141"/>
      <c r="I1134" s="141"/>
      <c r="J1134" s="141"/>
      <c r="K1134" s="141"/>
      <c r="L1134" s="141"/>
      <c r="M1134" s="141"/>
      <c r="N1134" s="140"/>
      <c r="O1134" s="140"/>
      <c r="P1134" s="140"/>
      <c r="Q1134" s="140"/>
      <c r="R1134" s="140"/>
      <c r="S1134" s="140"/>
      <c r="T1134" s="140"/>
    </row>
    <row r="1135" spans="1:20" ht="15" customHeight="1" x14ac:dyDescent="0.2">
      <c r="A1135" s="121"/>
      <c r="B1135" s="143" t="str">
        <f>IF(ISBLANK(A1135),"",IF(AND(ISNA(VLOOKUP(A1135,Interface_Platform!E:E,1,FALSE())),ISNA(VLOOKUP(A1135,D:D,1,FALSE()))),"N","Y"))</f>
        <v/>
      </c>
      <c r="C1135" s="75" t="s">
        <v>1888</v>
      </c>
      <c r="D1135" s="143">
        <v>11</v>
      </c>
      <c r="E1135" s="142"/>
      <c r="F1135" s="144" t="str">
        <f>IF(AND(ISNA(VLOOKUP(D1135,A:A,1,FALSE())),ISNA(VLOOKUP(D1135,BaseType!A:A,1,FALSE())),D1135&lt;&gt;"Struct"),"N","Y")</f>
        <v>N</v>
      </c>
      <c r="G1135" s="146"/>
      <c r="H1135" s="141"/>
      <c r="I1135" s="141"/>
      <c r="J1135" s="141"/>
      <c r="K1135" s="141"/>
      <c r="L1135" s="141"/>
      <c r="M1135" s="141"/>
      <c r="N1135" s="140"/>
      <c r="O1135" s="140"/>
      <c r="P1135" s="140"/>
      <c r="Q1135" s="140"/>
      <c r="R1135" s="140"/>
      <c r="S1135" s="140"/>
      <c r="T1135" s="140"/>
    </row>
    <row r="1136" spans="1:20" ht="15" customHeight="1" x14ac:dyDescent="0.2">
      <c r="A1136" s="64" t="s">
        <v>1889</v>
      </c>
      <c r="B1136" s="143" t="str">
        <f>IF(ISBLANK(A1136),"",IF(AND(ISNA(VLOOKUP(A1136,Interface_Platform!E:E,1,FALSE())),ISNA(VLOOKUP(A1136,D:D,1,FALSE()))),"N","Y"))</f>
        <v>Y</v>
      </c>
      <c r="C1136" s="75"/>
      <c r="D1136" s="169" t="s">
        <v>1333</v>
      </c>
      <c r="E1136" s="142"/>
      <c r="F1136" s="144" t="str">
        <f>IF(AND(ISNA(VLOOKUP(D1136,A:A,1,FALSE())),ISNA(VLOOKUP(D1136,BaseType!A:A,1,FALSE())),D1136&lt;&gt;"Struct"),"N","Y")</f>
        <v>N</v>
      </c>
      <c r="G1136" s="146"/>
      <c r="H1136" s="141"/>
      <c r="I1136" s="141"/>
      <c r="J1136" s="141"/>
      <c r="K1136" s="141"/>
      <c r="L1136" s="141"/>
      <c r="M1136" s="141"/>
      <c r="N1136" s="140"/>
      <c r="O1136" s="140"/>
      <c r="P1136" s="140"/>
      <c r="Q1136" s="140"/>
      <c r="R1136" s="140"/>
      <c r="S1136" s="140"/>
      <c r="T1136" s="140"/>
    </row>
    <row r="1137" spans="1:20" ht="15" customHeight="1" x14ac:dyDescent="0.2">
      <c r="A1137" s="121"/>
      <c r="B1137" s="143" t="str">
        <f>IF(ISBLANK(A1137),"",IF(AND(ISNA(VLOOKUP(A1137,Interface_Platform!E:E,1,FALSE())),ISNA(VLOOKUP(A1137,D:D,1,FALSE()))),"N","Y"))</f>
        <v/>
      </c>
      <c r="C1137" s="75" t="s">
        <v>1890</v>
      </c>
      <c r="D1137" s="143">
        <v>0</v>
      </c>
      <c r="E1137" s="142"/>
      <c r="F1137" s="144" t="str">
        <f>IF(AND(ISNA(VLOOKUP(D1137,A:A,1,FALSE())),ISNA(VLOOKUP(D1137,BaseType!A:A,1,FALSE())),D1137&lt;&gt;"Struct"),"N","Y")</f>
        <v>N</v>
      </c>
      <c r="G1137" s="146"/>
      <c r="H1137" s="141"/>
      <c r="I1137" s="141"/>
      <c r="J1137" s="141"/>
      <c r="K1137" s="141"/>
      <c r="L1137" s="141"/>
      <c r="M1137" s="141"/>
      <c r="N1137" s="140"/>
      <c r="O1137" s="140"/>
      <c r="P1137" s="140"/>
      <c r="Q1137" s="140"/>
      <c r="R1137" s="140"/>
      <c r="S1137" s="140"/>
      <c r="T1137" s="140"/>
    </row>
    <row r="1138" spans="1:20" ht="15" customHeight="1" x14ac:dyDescent="0.2">
      <c r="A1138" s="121"/>
      <c r="B1138" s="143" t="str">
        <f>IF(ISBLANK(A1138),"",IF(AND(ISNA(VLOOKUP(A1138,Interface_Platform!E:E,1,FALSE())),ISNA(VLOOKUP(A1138,D:D,1,FALSE()))),"N","Y"))</f>
        <v/>
      </c>
      <c r="C1138" s="75" t="s">
        <v>1891</v>
      </c>
      <c r="D1138" s="143">
        <v>1</v>
      </c>
      <c r="E1138" s="142"/>
      <c r="F1138" s="144" t="str">
        <f>IF(AND(ISNA(VLOOKUP(D1138,A:A,1,FALSE())),ISNA(VLOOKUP(D1138,BaseType!A:A,1,FALSE())),D1138&lt;&gt;"Struct"),"N","Y")</f>
        <v>N</v>
      </c>
      <c r="G1138" s="146"/>
      <c r="H1138" s="141"/>
      <c r="I1138" s="141"/>
      <c r="J1138" s="141"/>
      <c r="K1138" s="141"/>
      <c r="L1138" s="141"/>
      <c r="M1138" s="141"/>
      <c r="N1138" s="140"/>
      <c r="O1138" s="140"/>
      <c r="P1138" s="140"/>
      <c r="Q1138" s="140"/>
      <c r="R1138" s="140"/>
      <c r="S1138" s="140"/>
      <c r="T1138" s="140"/>
    </row>
    <row r="1139" spans="1:20" ht="15" customHeight="1" x14ac:dyDescent="0.2">
      <c r="A1139" s="121"/>
      <c r="B1139" s="143" t="str">
        <f>IF(ISBLANK(A1139),"",IF(AND(ISNA(VLOOKUP(A1139,Interface_Platform!E:E,1,FALSE())),ISNA(VLOOKUP(A1139,D:D,1,FALSE()))),"N","Y"))</f>
        <v/>
      </c>
      <c r="C1139" s="75" t="s">
        <v>1892</v>
      </c>
      <c r="D1139" s="143">
        <v>2</v>
      </c>
      <c r="E1139" s="142"/>
      <c r="F1139" s="144" t="str">
        <f>IF(AND(ISNA(VLOOKUP(D1139,A:A,1,FALSE())),ISNA(VLOOKUP(D1139,BaseType!A:A,1,FALSE())),D1139&lt;&gt;"Struct"),"N","Y")</f>
        <v>N</v>
      </c>
      <c r="G1139" s="146"/>
      <c r="H1139" s="141"/>
      <c r="I1139" s="141"/>
      <c r="J1139" s="141"/>
      <c r="K1139" s="141"/>
      <c r="L1139" s="141"/>
      <c r="M1139" s="141"/>
      <c r="N1139" s="140"/>
      <c r="O1139" s="140"/>
      <c r="P1139" s="140"/>
      <c r="Q1139" s="140"/>
      <c r="R1139" s="140"/>
      <c r="S1139" s="140"/>
      <c r="T1139" s="140"/>
    </row>
    <row r="1140" spans="1:20" ht="15" customHeight="1" x14ac:dyDescent="0.2">
      <c r="A1140" s="121"/>
      <c r="B1140" s="143" t="str">
        <f>IF(ISBLANK(A1140),"",IF(AND(ISNA(VLOOKUP(A1140,Interface_Platform!E:E,1,FALSE())),ISNA(VLOOKUP(A1140,D:D,1,FALSE()))),"N","Y"))</f>
        <v/>
      </c>
      <c r="C1140" s="75" t="s">
        <v>1893</v>
      </c>
      <c r="D1140" s="143">
        <v>3</v>
      </c>
      <c r="E1140" s="142"/>
      <c r="F1140" s="144" t="str">
        <f>IF(AND(ISNA(VLOOKUP(D1140,A:A,1,FALSE())),ISNA(VLOOKUP(D1140,BaseType!A:A,1,FALSE())),D1140&lt;&gt;"Struct"),"N","Y")</f>
        <v>N</v>
      </c>
      <c r="G1140" s="146"/>
      <c r="H1140" s="141"/>
      <c r="I1140" s="141"/>
      <c r="J1140" s="141"/>
      <c r="K1140" s="141"/>
      <c r="L1140" s="141"/>
      <c r="M1140" s="141"/>
      <c r="N1140" s="140"/>
      <c r="O1140" s="140"/>
      <c r="P1140" s="140"/>
      <c r="Q1140" s="140"/>
      <c r="R1140" s="140"/>
      <c r="S1140" s="140"/>
      <c r="T1140" s="140"/>
    </row>
    <row r="1141" spans="1:20" ht="15" customHeight="1" x14ac:dyDescent="0.2">
      <c r="A1141" s="121"/>
      <c r="B1141" s="143" t="str">
        <f>IF(ISBLANK(A1141),"",IF(AND(ISNA(VLOOKUP(A1141,Interface_Platform!E:E,1,FALSE())),ISNA(VLOOKUP(A1141,D:D,1,FALSE()))),"N","Y"))</f>
        <v/>
      </c>
      <c r="C1141" s="75" t="s">
        <v>1894</v>
      </c>
      <c r="D1141" s="143">
        <v>4</v>
      </c>
      <c r="E1141" s="142"/>
      <c r="F1141" s="144" t="str">
        <f>IF(AND(ISNA(VLOOKUP(D1141,A:A,1,FALSE())),ISNA(VLOOKUP(D1141,BaseType!A:A,1,FALSE())),D1141&lt;&gt;"Struct"),"N","Y")</f>
        <v>N</v>
      </c>
      <c r="G1141" s="146"/>
      <c r="H1141" s="141"/>
      <c r="I1141" s="141"/>
      <c r="J1141" s="141"/>
      <c r="K1141" s="141"/>
      <c r="L1141" s="141"/>
      <c r="M1141" s="141"/>
      <c r="N1141" s="140"/>
      <c r="O1141" s="140"/>
      <c r="P1141" s="140"/>
      <c r="Q1141" s="140"/>
      <c r="R1141" s="140"/>
      <c r="S1141" s="140"/>
      <c r="T1141" s="140"/>
    </row>
    <row r="1142" spans="1:20" ht="15" customHeight="1" x14ac:dyDescent="0.2">
      <c r="A1142" s="121" t="s">
        <v>1895</v>
      </c>
      <c r="B1142" s="143" t="str">
        <f>IF(ISBLANK(A1142),"",IF(AND(ISNA(VLOOKUP(A1142,Interface_Platform!E:E,1,FALSE())),ISNA(VLOOKUP(A1142,D:D,1,FALSE()))),"N","Y"))</f>
        <v>Y</v>
      </c>
      <c r="C1142" s="75"/>
      <c r="D1142" s="169" t="s">
        <v>1333</v>
      </c>
      <c r="E1142" s="142"/>
      <c r="F1142" s="144" t="str">
        <f>IF(AND(ISNA(VLOOKUP(D1142,A:A,1,FALSE())),ISNA(VLOOKUP(D1142,BaseType!A:A,1,FALSE())),D1142&lt;&gt;"Struct"),"N","Y")</f>
        <v>N</v>
      </c>
      <c r="G1142" s="146"/>
      <c r="H1142" s="141"/>
      <c r="I1142" s="141"/>
      <c r="J1142" s="141"/>
      <c r="K1142" s="141"/>
      <c r="L1142" s="141"/>
      <c r="M1142" s="141"/>
      <c r="N1142" s="140"/>
      <c r="O1142" s="140"/>
      <c r="P1142" s="140"/>
      <c r="Q1142" s="140"/>
      <c r="R1142" s="140"/>
      <c r="S1142" s="140"/>
      <c r="T1142" s="140"/>
    </row>
    <row r="1143" spans="1:20" ht="15" customHeight="1" x14ac:dyDescent="0.2">
      <c r="A1143" s="121"/>
      <c r="B1143" s="143" t="str">
        <f>IF(ISBLANK(A1143),"",IF(AND(ISNA(VLOOKUP(A1143,Interface_Platform!E:E,1,FALSE())),ISNA(VLOOKUP(A1143,D:D,1,FALSE()))),"N","Y"))</f>
        <v/>
      </c>
      <c r="C1143" s="75" t="s">
        <v>1896</v>
      </c>
      <c r="D1143" s="143">
        <v>0</v>
      </c>
      <c r="E1143" s="142"/>
      <c r="F1143" s="144" t="str">
        <f>IF(AND(ISNA(VLOOKUP(D1143,A:A,1,FALSE())),ISNA(VLOOKUP(D1143,BaseType!A:A,1,FALSE())),D1143&lt;&gt;"Struct"),"N","Y")</f>
        <v>N</v>
      </c>
      <c r="G1143" s="146"/>
      <c r="H1143" s="141"/>
      <c r="I1143" s="141"/>
      <c r="J1143" s="141"/>
      <c r="K1143" s="141"/>
      <c r="L1143" s="141"/>
      <c r="M1143" s="141"/>
      <c r="N1143" s="140"/>
      <c r="O1143" s="140"/>
      <c r="P1143" s="140"/>
      <c r="Q1143" s="140"/>
      <c r="R1143" s="140"/>
      <c r="S1143" s="140"/>
      <c r="T1143" s="140"/>
    </row>
    <row r="1144" spans="1:20" ht="15" customHeight="1" x14ac:dyDescent="0.2">
      <c r="A1144" s="121"/>
      <c r="B1144" s="143" t="str">
        <f>IF(ISBLANK(A1144),"",IF(AND(ISNA(VLOOKUP(A1144,Interface_Platform!E:E,1,FALSE())),ISNA(VLOOKUP(A1144,D:D,1,FALSE()))),"N","Y"))</f>
        <v/>
      </c>
      <c r="C1144" s="75" t="s">
        <v>1897</v>
      </c>
      <c r="D1144" s="143">
        <v>1</v>
      </c>
      <c r="E1144" s="142"/>
      <c r="F1144" s="144" t="str">
        <f>IF(AND(ISNA(VLOOKUP(D1144,A:A,1,FALSE())),ISNA(VLOOKUP(D1144,BaseType!A:A,1,FALSE())),D1144&lt;&gt;"Struct"),"N","Y")</f>
        <v>N</v>
      </c>
      <c r="G1144" s="146"/>
      <c r="H1144" s="141"/>
      <c r="I1144" s="141"/>
      <c r="J1144" s="141"/>
      <c r="K1144" s="141"/>
      <c r="L1144" s="141"/>
      <c r="M1144" s="141"/>
      <c r="N1144" s="140"/>
      <c r="O1144" s="140"/>
      <c r="P1144" s="140"/>
      <c r="Q1144" s="140"/>
      <c r="R1144" s="140"/>
      <c r="S1144" s="140"/>
      <c r="T1144" s="140"/>
    </row>
    <row r="1145" spans="1:20" ht="15" customHeight="1" x14ac:dyDescent="0.2">
      <c r="A1145" s="121"/>
      <c r="B1145" s="143" t="str">
        <f>IF(ISBLANK(A1145),"",IF(AND(ISNA(VLOOKUP(A1145,Interface_Platform!E:E,1,FALSE())),ISNA(VLOOKUP(A1145,D:D,1,FALSE()))),"N","Y"))</f>
        <v/>
      </c>
      <c r="C1145" s="75" t="s">
        <v>1898</v>
      </c>
      <c r="D1145" s="143">
        <v>2</v>
      </c>
      <c r="E1145" s="142"/>
      <c r="F1145" s="144" t="str">
        <f>IF(AND(ISNA(VLOOKUP(D1145,A:A,1,FALSE())),ISNA(VLOOKUP(D1145,BaseType!A:A,1,FALSE())),D1145&lt;&gt;"Struct"),"N","Y")</f>
        <v>N</v>
      </c>
      <c r="G1145" s="146"/>
      <c r="H1145" s="141"/>
      <c r="I1145" s="141"/>
      <c r="J1145" s="141"/>
      <c r="K1145" s="141"/>
      <c r="L1145" s="141"/>
      <c r="M1145" s="141"/>
      <c r="N1145" s="140"/>
      <c r="O1145" s="140"/>
      <c r="P1145" s="140"/>
      <c r="Q1145" s="140"/>
      <c r="R1145" s="140"/>
      <c r="S1145" s="140"/>
      <c r="T1145" s="140"/>
    </row>
    <row r="1146" spans="1:20" ht="15" customHeight="1" x14ac:dyDescent="0.2">
      <c r="A1146" s="121"/>
      <c r="B1146" s="143" t="str">
        <f>IF(ISBLANK(A1146),"",IF(AND(ISNA(VLOOKUP(A1146,Interface_Platform!E:E,1,FALSE())),ISNA(VLOOKUP(A1146,D:D,1,FALSE()))),"N","Y"))</f>
        <v/>
      </c>
      <c r="C1146" s="75" t="s">
        <v>1899</v>
      </c>
      <c r="D1146" s="143">
        <v>3</v>
      </c>
      <c r="E1146" s="142"/>
      <c r="F1146" s="144" t="str">
        <f>IF(AND(ISNA(VLOOKUP(D1146,A:A,1,FALSE())),ISNA(VLOOKUP(D1146,BaseType!A:A,1,FALSE())),D1146&lt;&gt;"Struct"),"N","Y")</f>
        <v>N</v>
      </c>
      <c r="G1146" s="146"/>
      <c r="H1146" s="141"/>
      <c r="I1146" s="141"/>
      <c r="J1146" s="141"/>
      <c r="K1146" s="141"/>
      <c r="L1146" s="141"/>
      <c r="M1146" s="141"/>
      <c r="N1146" s="140"/>
      <c r="O1146" s="140"/>
      <c r="P1146" s="140"/>
      <c r="Q1146" s="140"/>
      <c r="R1146" s="140"/>
      <c r="S1146" s="140"/>
      <c r="T1146" s="140"/>
    </row>
    <row r="1147" spans="1:20" ht="15" customHeight="1" x14ac:dyDescent="0.2">
      <c r="A1147" s="143" t="s">
        <v>1900</v>
      </c>
      <c r="B1147" s="198" t="str">
        <f>IF(ISBLANK(A1147),"",IF(AND(ISNA(VLOOKUP(A1147,#REF!,1,FALSE())),ISNA(VLOOKUP(A1147,D:D,1,FALSE()))),"N","Y"))</f>
        <v>Y</v>
      </c>
      <c r="C1147" s="75"/>
      <c r="D1147" s="143" t="s">
        <v>484</v>
      </c>
      <c r="E1147" s="40"/>
      <c r="F1147" s="144" t="str">
        <f>IF(AND(ISNA(VLOOKUP(D1147,A:A,1,FALSE())),ISNA(VLOOKUP(D1147,BaseType!A:A,1,FALSE())),D1147&lt;&gt;"Struct"),"N","Y")</f>
        <v>Y</v>
      </c>
      <c r="G1147" s="146"/>
      <c r="H1147" s="141"/>
      <c r="I1147" s="141"/>
      <c r="J1147" s="141"/>
      <c r="K1147" s="141"/>
      <c r="L1147" s="141"/>
      <c r="M1147" s="141"/>
      <c r="N1147" s="140"/>
      <c r="O1147" s="140"/>
      <c r="P1147" s="140"/>
      <c r="Q1147" s="140"/>
      <c r="R1147" s="140"/>
      <c r="S1147" s="140"/>
      <c r="T1147" s="140"/>
    </row>
    <row r="1148" spans="1:20" ht="15" customHeight="1" x14ac:dyDescent="0.2">
      <c r="A1148" s="141"/>
      <c r="B1148" s="141"/>
      <c r="C1148" s="143" t="s">
        <v>1901</v>
      </c>
      <c r="D1148" s="143" t="s">
        <v>298</v>
      </c>
      <c r="E1148" s="142">
        <v>1</v>
      </c>
      <c r="F1148" s="144" t="str">
        <f>IF(AND(ISNA(VLOOKUP(D1148,A:A,1,FALSE())),ISNA(VLOOKUP(D1148,BaseType!A:A,1,FALSE())),D1148&lt;&gt;"Struct"),"N","Y")</f>
        <v>Y</v>
      </c>
      <c r="G1148" s="146" t="s">
        <v>1902</v>
      </c>
      <c r="H1148" s="141"/>
      <c r="I1148" s="141"/>
      <c r="J1148" s="141"/>
      <c r="K1148" s="141"/>
      <c r="L1148" s="141"/>
      <c r="M1148" s="141"/>
      <c r="N1148" s="140"/>
      <c r="O1148" s="140"/>
      <c r="P1148" s="140"/>
      <c r="Q1148" s="140"/>
      <c r="R1148" s="140"/>
      <c r="S1148" s="140"/>
      <c r="T1148" s="140"/>
    </row>
    <row r="1149" spans="1:20" ht="15" customHeight="1" x14ac:dyDescent="0.2">
      <c r="A1149" s="141"/>
      <c r="B1149" s="141"/>
      <c r="C1149" s="143" t="s">
        <v>1745</v>
      </c>
      <c r="D1149" s="143" t="s">
        <v>631</v>
      </c>
      <c r="E1149" s="142">
        <v>1</v>
      </c>
      <c r="F1149" s="144" t="str">
        <f>IF(AND(ISNA(VLOOKUP(D1149,A:A,1,FALSE())),ISNA(VLOOKUP(D1149,BaseType!A:A,1,FALSE())),D1149&lt;&gt;"Struct"),"N","Y")</f>
        <v>Y</v>
      </c>
      <c r="G1149" s="146" t="s">
        <v>1903</v>
      </c>
      <c r="H1149" s="141"/>
      <c r="I1149" s="141"/>
      <c r="J1149" s="141"/>
      <c r="K1149" s="141"/>
      <c r="L1149" s="141"/>
      <c r="M1149" s="141"/>
      <c r="N1149" s="140"/>
      <c r="O1149" s="140"/>
      <c r="P1149" s="140"/>
      <c r="Q1149" s="140"/>
      <c r="R1149" s="140"/>
      <c r="S1149" s="140"/>
      <c r="T1149" s="140"/>
    </row>
    <row r="1150" spans="1:20" ht="15" customHeight="1" x14ac:dyDescent="0.2">
      <c r="A1150" s="141"/>
      <c r="B1150" s="141"/>
      <c r="C1150" s="143" t="s">
        <v>1904</v>
      </c>
      <c r="D1150" s="143" t="s">
        <v>225</v>
      </c>
      <c r="E1150" s="142">
        <v>1</v>
      </c>
      <c r="F1150" s="144" t="str">
        <f>IF(AND(ISNA(VLOOKUP(D1150,A:A,1,FALSE())),ISNA(VLOOKUP(D1150,BaseType!A:A,1,FALSE())),D1150&lt;&gt;"Struct"),"N","Y")</f>
        <v>Y</v>
      </c>
      <c r="G1150" s="146" t="s">
        <v>1905</v>
      </c>
      <c r="H1150" s="141"/>
      <c r="I1150" s="141"/>
      <c r="J1150" s="141"/>
      <c r="K1150" s="141"/>
      <c r="L1150" s="141"/>
      <c r="M1150" s="141"/>
      <c r="N1150" s="140"/>
      <c r="O1150" s="140"/>
      <c r="P1150" s="140"/>
      <c r="Q1150" s="140"/>
      <c r="R1150" s="140"/>
      <c r="S1150" s="140"/>
      <c r="T1150" s="140"/>
    </row>
    <row r="1151" spans="1:20" ht="15" customHeight="1" x14ac:dyDescent="0.2">
      <c r="A1151" s="141"/>
      <c r="B1151" s="141"/>
      <c r="C1151" s="143" t="s">
        <v>1906</v>
      </c>
      <c r="D1151" s="143" t="s">
        <v>1876</v>
      </c>
      <c r="E1151" s="142">
        <v>1</v>
      </c>
      <c r="F1151" s="144" t="str">
        <f>IF(AND(ISNA(VLOOKUP(D1151,A:A,1,FALSE())),ISNA(VLOOKUP(D1151,BaseType!A:A,1,FALSE())),D1151&lt;&gt;"Struct"),"N","Y")</f>
        <v>Y</v>
      </c>
      <c r="G1151" s="184" t="s">
        <v>1907</v>
      </c>
      <c r="H1151" s="141"/>
      <c r="I1151" s="141"/>
      <c r="J1151" s="141"/>
      <c r="K1151" s="141"/>
      <c r="L1151" s="141"/>
      <c r="M1151" s="141"/>
      <c r="N1151" s="140"/>
      <c r="O1151" s="140"/>
      <c r="P1151" s="140"/>
      <c r="Q1151" s="140"/>
      <c r="R1151" s="140"/>
      <c r="S1151" s="140"/>
      <c r="T1151" s="140"/>
    </row>
    <row r="1152" spans="1:20" ht="15" customHeight="1" x14ac:dyDescent="0.2">
      <c r="A1152" s="141"/>
      <c r="B1152" s="141"/>
      <c r="C1152" s="143" t="s">
        <v>1908</v>
      </c>
      <c r="D1152" s="143" t="s">
        <v>225</v>
      </c>
      <c r="E1152" s="142">
        <v>1</v>
      </c>
      <c r="F1152" s="144" t="str">
        <f>IF(AND(ISNA(VLOOKUP(D1152,A:A,1,FALSE())),ISNA(VLOOKUP(D1152,BaseType!A:A,1,FALSE())),D1152&lt;&gt;"Struct"),"N","Y")</f>
        <v>Y</v>
      </c>
      <c r="G1152" s="146" t="s">
        <v>1909</v>
      </c>
      <c r="H1152" s="141"/>
      <c r="I1152" s="141"/>
      <c r="J1152" s="141"/>
      <c r="K1152" s="141"/>
      <c r="L1152" s="141"/>
      <c r="M1152" s="141"/>
      <c r="N1152" s="140"/>
      <c r="O1152" s="140"/>
      <c r="P1152" s="140"/>
      <c r="Q1152" s="140"/>
      <c r="R1152" s="140"/>
      <c r="S1152" s="140"/>
      <c r="T1152" s="140"/>
    </row>
    <row r="1153" spans="1:20" ht="15" customHeight="1" x14ac:dyDescent="0.2">
      <c r="A1153" s="141"/>
      <c r="B1153" s="141"/>
      <c r="C1153" s="143" t="s">
        <v>1910</v>
      </c>
      <c r="D1153" s="143" t="s">
        <v>1875</v>
      </c>
      <c r="E1153" s="142">
        <v>1</v>
      </c>
      <c r="F1153" s="144" t="str">
        <f>IF(AND(ISNA(VLOOKUP(D1153,A:A,1,FALSE())),ISNA(VLOOKUP(D1153,BaseType!A:A,1,FALSE())),D1153&lt;&gt;"Struct"),"N","Y")</f>
        <v>Y</v>
      </c>
      <c r="G1153" s="146" t="s">
        <v>1911</v>
      </c>
      <c r="H1153" s="141"/>
      <c r="I1153" s="141"/>
      <c r="J1153" s="141"/>
      <c r="K1153" s="141"/>
      <c r="L1153" s="141"/>
      <c r="M1153" s="141"/>
      <c r="N1153" s="140"/>
      <c r="O1153" s="140"/>
      <c r="P1153" s="140"/>
      <c r="Q1153" s="140"/>
      <c r="R1153" s="140"/>
      <c r="S1153" s="140"/>
      <c r="T1153" s="140"/>
    </row>
    <row r="1154" spans="1:20" ht="15" customHeight="1" x14ac:dyDescent="0.2">
      <c r="A1154" s="141"/>
      <c r="B1154" s="141"/>
      <c r="C1154" s="143" t="s">
        <v>1912</v>
      </c>
      <c r="D1154" s="148" t="s">
        <v>1875</v>
      </c>
      <c r="E1154" s="142">
        <v>1</v>
      </c>
      <c r="F1154" s="144" t="str">
        <f>IF(AND(ISNA(VLOOKUP(D1154,A:A,1,FALSE())),ISNA(VLOOKUP(D1154,BaseType!A:A,1,FALSE())),D1154&lt;&gt;"Struct"),"N","Y")</f>
        <v>Y</v>
      </c>
      <c r="G1154" s="146" t="s">
        <v>1913</v>
      </c>
      <c r="H1154" s="141"/>
      <c r="I1154" s="141"/>
      <c r="J1154" s="141"/>
      <c r="K1154" s="141"/>
      <c r="L1154" s="141"/>
      <c r="M1154" s="141"/>
      <c r="N1154" s="140"/>
      <c r="O1154" s="140"/>
      <c r="P1154" s="140"/>
      <c r="Q1154" s="140"/>
      <c r="R1154" s="140"/>
      <c r="S1154" s="140"/>
      <c r="T1154" s="140"/>
    </row>
    <row r="1155" spans="1:20" ht="15" customHeight="1" x14ac:dyDescent="0.2">
      <c r="A1155" s="141"/>
      <c r="B1155" s="141"/>
      <c r="C1155" s="143" t="s">
        <v>1914</v>
      </c>
      <c r="D1155" s="143" t="s">
        <v>1875</v>
      </c>
      <c r="E1155" s="142">
        <v>1</v>
      </c>
      <c r="F1155" s="144" t="str">
        <f>IF(AND(ISNA(VLOOKUP(D1155,A:A,1,FALSE())),ISNA(VLOOKUP(D1155,BaseType!A:A,1,FALSE())),D1155&lt;&gt;"Struct"),"N","Y")</f>
        <v>Y</v>
      </c>
      <c r="G1155" s="146" t="s">
        <v>1915</v>
      </c>
      <c r="H1155" s="141"/>
      <c r="I1155" s="141"/>
      <c r="J1155" s="141"/>
      <c r="K1155" s="141"/>
      <c r="L1155" s="141"/>
      <c r="M1155" s="141"/>
      <c r="N1155" s="140"/>
      <c r="O1155" s="140"/>
      <c r="P1155" s="140"/>
      <c r="Q1155" s="140"/>
      <c r="R1155" s="140"/>
      <c r="S1155" s="140"/>
      <c r="T1155" s="140"/>
    </row>
    <row r="1156" spans="1:20" ht="15" customHeight="1" x14ac:dyDescent="0.2">
      <c r="A1156" s="141"/>
      <c r="B1156" s="141"/>
      <c r="C1156" s="143" t="s">
        <v>1916</v>
      </c>
      <c r="D1156" s="143" t="s">
        <v>1875</v>
      </c>
      <c r="E1156" s="142">
        <v>1</v>
      </c>
      <c r="F1156" s="144" t="str">
        <f>IF(AND(ISNA(VLOOKUP(D1156,A:A,1,FALSE())),ISNA(VLOOKUP(D1156,BaseType!A:A,1,FALSE())),D1156&lt;&gt;"Struct"),"N","Y")</f>
        <v>Y</v>
      </c>
      <c r="G1156" s="146" t="s">
        <v>1917</v>
      </c>
      <c r="H1156" s="141"/>
      <c r="I1156" s="141"/>
      <c r="J1156" s="141"/>
      <c r="K1156" s="141"/>
      <c r="L1156" s="141"/>
      <c r="M1156" s="141"/>
      <c r="N1156" s="140"/>
      <c r="O1156" s="140"/>
      <c r="P1156" s="140"/>
      <c r="Q1156" s="140"/>
      <c r="R1156" s="140"/>
      <c r="S1156" s="140"/>
      <c r="T1156" s="140"/>
    </row>
    <row r="1157" spans="1:20" ht="15" customHeight="1" x14ac:dyDescent="0.2">
      <c r="A1157" s="141"/>
      <c r="B1157" s="141"/>
      <c r="C1157" s="143" t="s">
        <v>1918</v>
      </c>
      <c r="D1157" s="143" t="s">
        <v>1875</v>
      </c>
      <c r="E1157" s="142">
        <v>1</v>
      </c>
      <c r="F1157" s="144" t="str">
        <f>IF(AND(ISNA(VLOOKUP(D1157,A:A,1,FALSE())),ISNA(VLOOKUP(D1157,BaseType!A:A,1,FALSE())),D1157&lt;&gt;"Struct"),"N","Y")</f>
        <v>Y</v>
      </c>
      <c r="G1157" s="146" t="s">
        <v>1919</v>
      </c>
      <c r="H1157" s="141"/>
      <c r="I1157" s="141"/>
      <c r="J1157" s="141"/>
      <c r="K1157" s="141"/>
      <c r="L1157" s="141"/>
      <c r="M1157" s="141"/>
      <c r="N1157" s="140"/>
      <c r="O1157" s="140"/>
      <c r="P1157" s="140"/>
      <c r="Q1157" s="140"/>
      <c r="R1157" s="140"/>
      <c r="S1157" s="140"/>
      <c r="T1157" s="140"/>
    </row>
    <row r="1158" spans="1:20" ht="15" customHeight="1" x14ac:dyDescent="0.2">
      <c r="A1158" s="141"/>
      <c r="B1158" s="141"/>
      <c r="C1158" s="143" t="s">
        <v>1920</v>
      </c>
      <c r="D1158" s="143" t="s">
        <v>1875</v>
      </c>
      <c r="E1158" s="142">
        <v>1</v>
      </c>
      <c r="F1158" s="144" t="str">
        <f>IF(AND(ISNA(VLOOKUP(D1158,A:A,1,FALSE())),ISNA(VLOOKUP(D1158,BaseType!A:A,1,FALSE())),D1158&lt;&gt;"Struct"),"N","Y")</f>
        <v>Y</v>
      </c>
      <c r="G1158" s="146" t="s">
        <v>1921</v>
      </c>
      <c r="H1158" s="141"/>
      <c r="I1158" s="141"/>
      <c r="J1158" s="141"/>
      <c r="K1158" s="141"/>
      <c r="L1158" s="141"/>
      <c r="M1158" s="141"/>
      <c r="N1158" s="140"/>
      <c r="O1158" s="140"/>
      <c r="P1158" s="140"/>
      <c r="Q1158" s="140"/>
      <c r="R1158" s="140"/>
      <c r="S1158" s="140"/>
      <c r="T1158" s="140"/>
    </row>
    <row r="1159" spans="1:20" ht="15" customHeight="1" x14ac:dyDescent="0.2">
      <c r="A1159" s="141"/>
      <c r="B1159" s="141"/>
      <c r="C1159" s="143" t="s">
        <v>1922</v>
      </c>
      <c r="D1159" s="143" t="s">
        <v>1875</v>
      </c>
      <c r="E1159" s="142">
        <v>1</v>
      </c>
      <c r="F1159" s="144" t="str">
        <f>IF(AND(ISNA(VLOOKUP(D1159,A:A,1,FALSE())),ISNA(VLOOKUP(D1159,BaseType!A:A,1,FALSE())),D1159&lt;&gt;"Struct"),"N","Y")</f>
        <v>Y</v>
      </c>
      <c r="G1159" s="146" t="s">
        <v>1923</v>
      </c>
      <c r="H1159" s="141"/>
      <c r="I1159" s="141"/>
      <c r="J1159" s="141"/>
      <c r="K1159" s="141"/>
      <c r="L1159" s="141"/>
      <c r="M1159" s="141"/>
      <c r="N1159" s="140"/>
      <c r="O1159" s="140"/>
      <c r="P1159" s="140"/>
      <c r="Q1159" s="140"/>
      <c r="R1159" s="140"/>
      <c r="S1159" s="140"/>
      <c r="T1159" s="140"/>
    </row>
    <row r="1160" spans="1:20" ht="15" customHeight="1" x14ac:dyDescent="0.2">
      <c r="A1160" s="141"/>
      <c r="B1160" s="141"/>
      <c r="C1160" s="143" t="s">
        <v>1924</v>
      </c>
      <c r="D1160" s="143" t="s">
        <v>1875</v>
      </c>
      <c r="E1160" s="142">
        <v>1</v>
      </c>
      <c r="F1160" s="144" t="str">
        <f>IF(AND(ISNA(VLOOKUP(D1160,A:A,1,FALSE())),ISNA(VLOOKUP(D1160,BaseType!A:A,1,FALSE())),D1160&lt;&gt;"Struct"),"N","Y")</f>
        <v>Y</v>
      </c>
      <c r="G1160" s="146" t="s">
        <v>1925</v>
      </c>
      <c r="H1160" s="141"/>
      <c r="I1160" s="141"/>
      <c r="J1160" s="141"/>
      <c r="K1160" s="141"/>
      <c r="L1160" s="141"/>
      <c r="M1160" s="141"/>
      <c r="N1160" s="140"/>
      <c r="O1160" s="140"/>
      <c r="P1160" s="140"/>
      <c r="Q1160" s="140"/>
      <c r="R1160" s="140"/>
      <c r="S1160" s="140"/>
      <c r="T1160" s="140"/>
    </row>
    <row r="1161" spans="1:20" ht="15" customHeight="1" x14ac:dyDescent="0.2">
      <c r="A1161" s="141"/>
      <c r="B1161" s="141"/>
      <c r="C1161" s="143" t="s">
        <v>1926</v>
      </c>
      <c r="D1161" s="143" t="s">
        <v>1875</v>
      </c>
      <c r="E1161" s="142">
        <v>1</v>
      </c>
      <c r="F1161" s="144" t="str">
        <f>IF(AND(ISNA(VLOOKUP(D1161,A:A,1,FALSE())),ISNA(VLOOKUP(D1161,BaseType!A:A,1,FALSE())),D1161&lt;&gt;"Struct"),"N","Y")</f>
        <v>Y</v>
      </c>
      <c r="G1161" s="146" t="s">
        <v>1043</v>
      </c>
      <c r="H1161" s="141"/>
      <c r="I1161" s="141"/>
      <c r="J1161" s="141"/>
      <c r="K1161" s="141"/>
      <c r="L1161" s="141"/>
      <c r="M1161" s="141"/>
      <c r="N1161" s="140"/>
      <c r="O1161" s="140"/>
      <c r="P1161" s="140"/>
      <c r="Q1161" s="140"/>
      <c r="R1161" s="140"/>
      <c r="S1161" s="140"/>
      <c r="T1161" s="140"/>
    </row>
    <row r="1162" spans="1:20" ht="15" customHeight="1" x14ac:dyDescent="0.2">
      <c r="A1162" s="141"/>
      <c r="B1162" s="141"/>
      <c r="C1162" s="143" t="s">
        <v>1927</v>
      </c>
      <c r="D1162" s="143" t="s">
        <v>1875</v>
      </c>
      <c r="E1162" s="142">
        <v>1</v>
      </c>
      <c r="F1162" s="144" t="str">
        <f>IF(AND(ISNA(VLOOKUP(D1162,A:A,1,FALSE())),ISNA(VLOOKUP(D1162,BaseType!A:A,1,FALSE())),D1162&lt;&gt;"Struct"),"N","Y")</f>
        <v>Y</v>
      </c>
      <c r="G1162" s="146" t="s">
        <v>1046</v>
      </c>
      <c r="H1162" s="141"/>
      <c r="I1162" s="141"/>
      <c r="J1162" s="141"/>
      <c r="K1162" s="141"/>
      <c r="L1162" s="141"/>
      <c r="M1162" s="141"/>
      <c r="N1162" s="140"/>
      <c r="O1162" s="140"/>
      <c r="P1162" s="140"/>
      <c r="Q1162" s="140"/>
      <c r="R1162" s="140"/>
      <c r="S1162" s="140"/>
      <c r="T1162" s="140"/>
    </row>
    <row r="1163" spans="1:20" ht="15" customHeight="1" x14ac:dyDescent="0.2">
      <c r="A1163" s="141"/>
      <c r="B1163" s="141"/>
      <c r="C1163" s="143" t="s">
        <v>1928</v>
      </c>
      <c r="D1163" s="143" t="s">
        <v>1875</v>
      </c>
      <c r="E1163" s="142">
        <v>1</v>
      </c>
      <c r="F1163" s="144" t="str">
        <f>IF(AND(ISNA(VLOOKUP(D1163,A:A,1,FALSE())),ISNA(VLOOKUP(D1163,BaseType!A:A,1,FALSE())),D1163&lt;&gt;"Struct"),"N","Y")</f>
        <v>Y</v>
      </c>
      <c r="G1163" s="146" t="s">
        <v>1049</v>
      </c>
      <c r="H1163" s="141"/>
      <c r="I1163" s="141"/>
      <c r="J1163" s="141"/>
      <c r="K1163" s="141"/>
      <c r="L1163" s="141"/>
      <c r="M1163" s="141"/>
      <c r="N1163" s="140"/>
      <c r="O1163" s="140"/>
      <c r="P1163" s="140"/>
      <c r="Q1163" s="140"/>
      <c r="R1163" s="140"/>
      <c r="S1163" s="140"/>
      <c r="T1163" s="140"/>
    </row>
    <row r="1164" spans="1:20" ht="15" customHeight="1" x14ac:dyDescent="0.2">
      <c r="A1164" s="141"/>
      <c r="B1164" s="141"/>
      <c r="C1164" s="143" t="s">
        <v>1929</v>
      </c>
      <c r="D1164" s="143" t="s">
        <v>1875</v>
      </c>
      <c r="E1164" s="142">
        <v>1</v>
      </c>
      <c r="F1164" s="144" t="str">
        <f>IF(AND(ISNA(VLOOKUP(D1164,A:A,1,FALSE())),ISNA(VLOOKUP(D1164,BaseType!A:A,1,FALSE())),D1164&lt;&gt;"Struct"),"N","Y")</f>
        <v>Y</v>
      </c>
      <c r="G1164" s="146" t="s">
        <v>1052</v>
      </c>
      <c r="H1164" s="141"/>
      <c r="I1164" s="141"/>
      <c r="J1164" s="141"/>
      <c r="K1164" s="141"/>
      <c r="L1164" s="141"/>
      <c r="M1164" s="141"/>
      <c r="N1164" s="140"/>
      <c r="O1164" s="140"/>
      <c r="P1164" s="140"/>
      <c r="Q1164" s="140"/>
      <c r="R1164" s="140"/>
      <c r="S1164" s="140"/>
      <c r="T1164" s="140"/>
    </row>
    <row r="1165" spans="1:20" ht="15" customHeight="1" x14ac:dyDescent="0.2">
      <c r="A1165" s="141"/>
      <c r="B1165" s="141"/>
      <c r="C1165" s="143" t="s">
        <v>1930</v>
      </c>
      <c r="D1165" s="143" t="s">
        <v>225</v>
      </c>
      <c r="E1165" s="142">
        <v>1</v>
      </c>
      <c r="F1165" s="144" t="str">
        <f>IF(AND(ISNA(VLOOKUP(D1165,A:A,1,FALSE())),ISNA(VLOOKUP(D1165,BaseType!A:A,1,FALSE())),D1165&lt;&gt;"Struct"),"N","Y")</f>
        <v>Y</v>
      </c>
      <c r="G1165" s="146" t="s">
        <v>1931</v>
      </c>
      <c r="H1165" s="141"/>
      <c r="I1165" s="141"/>
      <c r="J1165" s="141"/>
      <c r="K1165" s="141"/>
      <c r="L1165" s="141"/>
      <c r="M1165" s="141"/>
      <c r="N1165" s="140"/>
      <c r="O1165" s="140"/>
      <c r="P1165" s="140"/>
      <c r="Q1165" s="140"/>
      <c r="R1165" s="140"/>
      <c r="S1165" s="140"/>
      <c r="T1165" s="140"/>
    </row>
    <row r="1166" spans="1:20" ht="15" customHeight="1" x14ac:dyDescent="0.2">
      <c r="A1166" s="141"/>
      <c r="B1166" s="141"/>
      <c r="C1166" s="143" t="s">
        <v>1932</v>
      </c>
      <c r="D1166" s="143" t="s">
        <v>225</v>
      </c>
      <c r="E1166" s="142">
        <v>1</v>
      </c>
      <c r="F1166" s="144" t="str">
        <f>IF(AND(ISNA(VLOOKUP(D1166,A:A,1,FALSE())),ISNA(VLOOKUP(D1166,BaseType!A:A,1,FALSE())),D1166&lt;&gt;"Struct"),"N","Y")</f>
        <v>Y</v>
      </c>
      <c r="G1166" s="146" t="s">
        <v>1933</v>
      </c>
      <c r="H1166" s="141"/>
      <c r="I1166" s="141"/>
      <c r="J1166" s="141"/>
      <c r="K1166" s="141"/>
      <c r="L1166" s="141"/>
      <c r="M1166" s="141"/>
      <c r="N1166" s="140"/>
      <c r="O1166" s="140"/>
      <c r="P1166" s="140"/>
      <c r="Q1166" s="140"/>
      <c r="R1166" s="140"/>
      <c r="S1166" s="140"/>
      <c r="T1166" s="140"/>
    </row>
    <row r="1167" spans="1:20" ht="15" customHeight="1" x14ac:dyDescent="0.2">
      <c r="A1167" s="141"/>
      <c r="B1167" s="141"/>
      <c r="C1167" s="143" t="s">
        <v>1934</v>
      </c>
      <c r="D1167" s="148" t="s">
        <v>1889</v>
      </c>
      <c r="E1167" s="142">
        <v>1</v>
      </c>
      <c r="F1167" s="144" t="str">
        <f>IF(AND(ISNA(VLOOKUP(D1167,A:A,1,FALSE())),ISNA(VLOOKUP(D1167,BaseType!A:A,1,FALSE())),D1167&lt;&gt;"Struct"),"N","Y")</f>
        <v>Y</v>
      </c>
      <c r="G1167" s="146" t="s">
        <v>1935</v>
      </c>
      <c r="H1167" s="141"/>
      <c r="I1167" s="141"/>
      <c r="J1167" s="141"/>
      <c r="K1167" s="141"/>
      <c r="L1167" s="141"/>
      <c r="M1167" s="141"/>
      <c r="N1167" s="140"/>
      <c r="O1167" s="140"/>
      <c r="P1167" s="140"/>
      <c r="Q1167" s="140"/>
      <c r="R1167" s="140"/>
      <c r="S1167" s="140"/>
      <c r="T1167" s="140"/>
    </row>
    <row r="1168" spans="1:20" ht="15" customHeight="1" x14ac:dyDescent="0.2">
      <c r="A1168" s="141"/>
      <c r="B1168" s="141"/>
      <c r="C1168" s="143" t="s">
        <v>1936</v>
      </c>
      <c r="D1168" s="148" t="s">
        <v>193</v>
      </c>
      <c r="E1168" s="142">
        <v>1</v>
      </c>
      <c r="F1168" s="144" t="str">
        <f>IF(AND(ISNA(VLOOKUP(D1168,A:A,1,FALSE())),ISNA(VLOOKUP(D1168,BaseType!A:A,1,FALSE())),D1168&lt;&gt;"Struct"),"N","Y")</f>
        <v>Y</v>
      </c>
      <c r="G1168" s="146" t="s">
        <v>1937</v>
      </c>
      <c r="H1168" s="141"/>
      <c r="I1168" s="141"/>
      <c r="J1168" s="141"/>
      <c r="K1168" s="141"/>
      <c r="L1168" s="141"/>
      <c r="M1168" s="141"/>
      <c r="N1168" s="140"/>
      <c r="O1168" s="140"/>
      <c r="P1168" s="140"/>
      <c r="Q1168" s="140"/>
      <c r="R1168" s="140"/>
      <c r="S1168" s="140"/>
      <c r="T1168" s="140"/>
    </row>
    <row r="1169" spans="1:20" ht="15" customHeight="1" x14ac:dyDescent="0.2">
      <c r="A1169" s="141"/>
      <c r="B1169" s="141"/>
      <c r="C1169" s="143" t="s">
        <v>1938</v>
      </c>
      <c r="D1169" s="148" t="s">
        <v>1895</v>
      </c>
      <c r="E1169" s="142">
        <v>1</v>
      </c>
      <c r="F1169" s="144" t="str">
        <f>IF(AND(ISNA(VLOOKUP(D1169,A:A,1,FALSE())),ISNA(VLOOKUP(D1169,BaseType!A:A,1,FALSE())),D1169&lt;&gt;"Struct"),"N","Y")</f>
        <v>Y</v>
      </c>
      <c r="G1169" s="146" t="s">
        <v>1939</v>
      </c>
      <c r="H1169" s="141"/>
      <c r="I1169" s="141"/>
      <c r="J1169" s="141"/>
      <c r="K1169" s="141"/>
      <c r="L1169" s="141"/>
      <c r="M1169" s="141"/>
      <c r="N1169" s="140"/>
      <c r="O1169" s="140"/>
      <c r="P1169" s="140"/>
      <c r="Q1169" s="140"/>
      <c r="R1169" s="140"/>
      <c r="S1169" s="140"/>
      <c r="T1169" s="140"/>
    </row>
    <row r="1170" spans="1:20" ht="15" customHeight="1" x14ac:dyDescent="0.2">
      <c r="A1170" s="141"/>
      <c r="B1170" s="141"/>
      <c r="C1170" s="143" t="s">
        <v>1940</v>
      </c>
      <c r="D1170" s="143" t="s">
        <v>298</v>
      </c>
      <c r="E1170" s="142">
        <v>1</v>
      </c>
      <c r="F1170" s="144" t="str">
        <f>IF(AND(ISNA(VLOOKUP(D1170,A:A,1,FALSE())),ISNA(VLOOKUP(D1170,BaseType!A:A,1,FALSE())),D1170&lt;&gt;"Struct"),"N","Y")</f>
        <v>Y</v>
      </c>
      <c r="G1170" s="146" t="s">
        <v>1941</v>
      </c>
      <c r="H1170" s="141"/>
      <c r="I1170" s="141"/>
      <c r="J1170" s="141"/>
      <c r="K1170" s="141"/>
      <c r="L1170" s="141"/>
      <c r="M1170" s="141"/>
      <c r="N1170" s="140"/>
      <c r="O1170" s="140"/>
      <c r="P1170" s="140"/>
      <c r="Q1170" s="140"/>
      <c r="R1170" s="140"/>
      <c r="S1170" s="140"/>
      <c r="T1170" s="140"/>
    </row>
    <row r="1171" spans="1:20" ht="15" customHeight="1" x14ac:dyDescent="0.2">
      <c r="A1171" s="121"/>
      <c r="B1171" s="143"/>
      <c r="C1171" s="75" t="s">
        <v>1942</v>
      </c>
      <c r="D1171" s="148" t="s">
        <v>193</v>
      </c>
      <c r="E1171" s="142">
        <v>1</v>
      </c>
      <c r="F1171" s="144" t="str">
        <f>IF(AND(ISNA(VLOOKUP(D1171,A:A,1,FALSE())),ISNA(VLOOKUP(D1171,BaseType!A:A,1,FALSE())),D1171&lt;&gt;"Struct"),"N","Y")</f>
        <v>Y</v>
      </c>
      <c r="G1171" s="146" t="s">
        <v>1943</v>
      </c>
      <c r="H1171" s="141"/>
      <c r="I1171" s="141"/>
      <c r="J1171" s="141"/>
      <c r="K1171" s="141"/>
      <c r="L1171" s="141"/>
      <c r="M1171" s="141"/>
      <c r="N1171" s="140"/>
      <c r="O1171" s="140"/>
      <c r="P1171" s="140"/>
      <c r="Q1171" s="140"/>
      <c r="R1171" s="140"/>
      <c r="S1171" s="140"/>
      <c r="T1171" s="140"/>
    </row>
    <row r="1172" spans="1:20" ht="15" customHeight="1" x14ac:dyDescent="0.2">
      <c r="A1172" s="121"/>
      <c r="B1172" s="143"/>
      <c r="C1172" s="75" t="s">
        <v>1944</v>
      </c>
      <c r="D1172" s="148" t="s">
        <v>293</v>
      </c>
      <c r="E1172" s="142">
        <v>1</v>
      </c>
      <c r="F1172" s="144" t="str">
        <f>IF(AND(ISNA(VLOOKUP(D1172,A:A,1,FALSE())),ISNA(VLOOKUP(D1172,BaseType!A:A,1,FALSE())),D1172&lt;&gt;"Struct"),"N","Y")</f>
        <v>Y</v>
      </c>
      <c r="G1172" s="146" t="s">
        <v>1945</v>
      </c>
      <c r="H1172" s="141"/>
      <c r="I1172" s="141"/>
      <c r="J1172" s="141"/>
      <c r="K1172" s="141"/>
      <c r="L1172" s="141"/>
      <c r="M1172" s="141"/>
      <c r="N1172" s="140"/>
      <c r="O1172" s="140"/>
      <c r="P1172" s="140"/>
      <c r="Q1172" s="140"/>
      <c r="R1172" s="140"/>
      <c r="S1172" s="140"/>
      <c r="T1172" s="140"/>
    </row>
    <row r="1173" spans="1:20" ht="15" customHeight="1" x14ac:dyDescent="0.2">
      <c r="A1173" s="121"/>
      <c r="B1173" s="143"/>
      <c r="C1173" s="75" t="s">
        <v>1946</v>
      </c>
      <c r="D1173" s="143" t="s">
        <v>298</v>
      </c>
      <c r="E1173" s="142">
        <v>1</v>
      </c>
      <c r="F1173" s="144" t="str">
        <f>IF(AND(ISNA(VLOOKUP(D1173,A:A,1,FALSE())),ISNA(VLOOKUP(D1173,BaseType!A:A,1,FALSE())),D1173&lt;&gt;"Struct"),"N","Y")</f>
        <v>Y</v>
      </c>
      <c r="G1173" s="146" t="s">
        <v>1947</v>
      </c>
      <c r="H1173" s="141"/>
      <c r="I1173" s="141"/>
      <c r="J1173" s="141"/>
      <c r="K1173" s="141"/>
      <c r="L1173" s="141"/>
      <c r="M1173" s="141"/>
      <c r="N1173" s="140"/>
      <c r="O1173" s="140"/>
      <c r="P1173" s="140"/>
      <c r="Q1173" s="140"/>
      <c r="R1173" s="140"/>
      <c r="S1173" s="140"/>
      <c r="T1173" s="140"/>
    </row>
    <row r="1174" spans="1:20" ht="15" customHeight="1" x14ac:dyDescent="0.2">
      <c r="A1174" s="121"/>
      <c r="B1174" s="143"/>
      <c r="C1174" s="75" t="s">
        <v>1948</v>
      </c>
      <c r="D1174" s="143" t="s">
        <v>225</v>
      </c>
      <c r="E1174" s="142">
        <v>1</v>
      </c>
      <c r="F1174" s="144" t="str">
        <f>IF(AND(ISNA(VLOOKUP(D1174,A:A,1,FALSE())),ISNA(VLOOKUP(D1174,BaseType!A:A,1,FALSE())),D1174&lt;&gt;"Struct"),"N","Y")</f>
        <v>Y</v>
      </c>
      <c r="G1174" s="146" t="s">
        <v>1949</v>
      </c>
      <c r="H1174" s="141"/>
      <c r="I1174" s="141"/>
      <c r="J1174" s="141"/>
      <c r="K1174" s="141"/>
      <c r="L1174" s="141"/>
      <c r="M1174" s="141"/>
      <c r="N1174" s="140"/>
      <c r="O1174" s="140"/>
      <c r="P1174" s="140"/>
      <c r="Q1174" s="140"/>
      <c r="R1174" s="140"/>
      <c r="S1174" s="140"/>
      <c r="T1174" s="140"/>
    </row>
    <row r="1175" spans="1:20" ht="15" customHeight="1" x14ac:dyDescent="0.2">
      <c r="A1175" s="121"/>
      <c r="B1175" s="143"/>
      <c r="C1175" s="75" t="s">
        <v>1950</v>
      </c>
      <c r="D1175" s="143" t="s">
        <v>225</v>
      </c>
      <c r="E1175" s="142">
        <v>1</v>
      </c>
      <c r="F1175" s="144" t="str">
        <f>IF(AND(ISNA(VLOOKUP(D1175,A:A,1,FALSE())),ISNA(VLOOKUP(D1175,BaseType!A:A,1,FALSE())),D1175&lt;&gt;"Struct"),"N","Y")</f>
        <v>Y</v>
      </c>
      <c r="G1175" s="146" t="s">
        <v>1951</v>
      </c>
      <c r="H1175" s="141"/>
      <c r="I1175" s="141"/>
      <c r="J1175" s="141"/>
      <c r="K1175" s="141"/>
      <c r="L1175" s="141"/>
      <c r="M1175" s="141"/>
      <c r="N1175" s="140"/>
      <c r="O1175" s="140"/>
      <c r="P1175" s="140"/>
      <c r="Q1175" s="140"/>
      <c r="R1175" s="140"/>
      <c r="S1175" s="140"/>
      <c r="T1175" s="140"/>
    </row>
    <row r="1176" spans="1:20" ht="15" customHeight="1" x14ac:dyDescent="0.2">
      <c r="A1176" s="121"/>
      <c r="B1176" s="143"/>
      <c r="C1176" s="75" t="s">
        <v>1952</v>
      </c>
      <c r="D1176" s="143" t="s">
        <v>293</v>
      </c>
      <c r="E1176" s="142">
        <v>1</v>
      </c>
      <c r="F1176" s="144" t="str">
        <f>IF(AND(ISNA(VLOOKUP(D1176,A:A,1,FALSE())),ISNA(VLOOKUP(D1176,BaseType!A:A,1,FALSE())),D1176&lt;&gt;"Struct"),"N","Y")</f>
        <v>Y</v>
      </c>
      <c r="G1176" s="146" t="s">
        <v>1953</v>
      </c>
      <c r="H1176" s="141"/>
      <c r="I1176" s="141"/>
      <c r="J1176" s="141"/>
      <c r="K1176" s="141"/>
      <c r="L1176" s="141"/>
      <c r="M1176" s="141"/>
      <c r="N1176" s="140"/>
      <c r="O1176" s="140"/>
      <c r="P1176" s="140"/>
      <c r="Q1176" s="140"/>
      <c r="R1176" s="140"/>
      <c r="S1176" s="140"/>
      <c r="T1176" s="140"/>
    </row>
    <row r="1177" spans="1:20" ht="15" customHeight="1" x14ac:dyDescent="0.2">
      <c r="A1177" s="121"/>
      <c r="B1177" s="143"/>
      <c r="C1177" s="75" t="s">
        <v>1954</v>
      </c>
      <c r="D1177" s="143" t="s">
        <v>225</v>
      </c>
      <c r="E1177" s="142">
        <v>1</v>
      </c>
      <c r="F1177" s="144" t="str">
        <f>IF(AND(ISNA(VLOOKUP(D1177,A:A,1,FALSE())),ISNA(VLOOKUP(D1177,BaseType!A:A,1,FALSE())),D1177&lt;&gt;"Struct"),"N","Y")</f>
        <v>Y</v>
      </c>
      <c r="G1177" s="146" t="s">
        <v>1955</v>
      </c>
      <c r="H1177" s="141"/>
      <c r="I1177" s="141"/>
      <c r="J1177" s="141"/>
      <c r="K1177" s="141"/>
      <c r="L1177" s="141"/>
      <c r="M1177" s="141"/>
      <c r="N1177" s="140"/>
      <c r="O1177" s="140"/>
      <c r="P1177" s="140"/>
      <c r="Q1177" s="140"/>
      <c r="R1177" s="140"/>
      <c r="S1177" s="140"/>
      <c r="T1177" s="140"/>
    </row>
    <row r="1178" spans="1:20" ht="15" customHeight="1" x14ac:dyDescent="0.2">
      <c r="A1178" s="121"/>
      <c r="B1178" s="143"/>
      <c r="C1178" s="75" t="s">
        <v>1956</v>
      </c>
      <c r="D1178" s="143" t="s">
        <v>225</v>
      </c>
      <c r="E1178" s="142">
        <v>1</v>
      </c>
      <c r="F1178" s="144" t="str">
        <f>IF(AND(ISNA(VLOOKUP(D1178,A:A,1,FALSE())),ISNA(VLOOKUP(D1178,BaseType!A:A,1,FALSE())),D1178&lt;&gt;"Struct"),"N","Y")</f>
        <v>Y</v>
      </c>
      <c r="G1178" s="146" t="s">
        <v>1957</v>
      </c>
      <c r="H1178" s="141"/>
      <c r="I1178" s="141"/>
      <c r="J1178" s="141"/>
      <c r="K1178" s="141"/>
      <c r="L1178" s="141"/>
      <c r="M1178" s="141"/>
      <c r="N1178" s="140"/>
      <c r="O1178" s="140"/>
      <c r="P1178" s="140"/>
      <c r="Q1178" s="140"/>
      <c r="R1178" s="140"/>
      <c r="S1178" s="140"/>
      <c r="T1178" s="140"/>
    </row>
    <row r="1179" spans="1:20" ht="15" customHeight="1" x14ac:dyDescent="0.2">
      <c r="A1179" s="121"/>
      <c r="B1179" s="143"/>
      <c r="C1179" s="75" t="s">
        <v>1958</v>
      </c>
      <c r="D1179" s="143" t="s">
        <v>193</v>
      </c>
      <c r="E1179" s="142">
        <v>1</v>
      </c>
      <c r="F1179" s="144" t="str">
        <f>IF(AND(ISNA(VLOOKUP(D1179,A:A,1,FALSE())),ISNA(VLOOKUP(D1179,BaseType!A:A,1,FALSE())),D1179&lt;&gt;"Struct"),"N","Y")</f>
        <v>Y</v>
      </c>
      <c r="G1179" s="146" t="s">
        <v>1959</v>
      </c>
      <c r="H1179" s="141"/>
      <c r="I1179" s="141"/>
      <c r="J1179" s="141"/>
      <c r="K1179" s="141"/>
      <c r="L1179" s="141"/>
      <c r="M1179" s="141"/>
      <c r="N1179" s="140"/>
      <c r="O1179" s="140"/>
      <c r="P1179" s="140"/>
      <c r="Q1179" s="140"/>
      <c r="R1179" s="140"/>
      <c r="S1179" s="140"/>
      <c r="T1179" s="140"/>
    </row>
    <row r="1180" spans="1:20" ht="15" customHeight="1" x14ac:dyDescent="0.2">
      <c r="A1180" s="121"/>
      <c r="B1180" s="143"/>
      <c r="C1180" s="75" t="s">
        <v>1861</v>
      </c>
      <c r="D1180" s="143" t="s">
        <v>1249</v>
      </c>
      <c r="E1180" s="142">
        <v>1</v>
      </c>
      <c r="F1180" s="144" t="s">
        <v>388</v>
      </c>
      <c r="G1180" s="146" t="s">
        <v>6</v>
      </c>
      <c r="H1180" s="141"/>
      <c r="I1180" s="141"/>
      <c r="J1180" s="141"/>
      <c r="K1180" s="141"/>
      <c r="L1180" s="141"/>
      <c r="M1180" s="141"/>
      <c r="N1180" s="140"/>
      <c r="O1180" s="140"/>
      <c r="P1180" s="140"/>
      <c r="Q1180" s="140"/>
      <c r="R1180" s="140"/>
      <c r="S1180" s="140"/>
      <c r="T1180" s="140"/>
    </row>
    <row r="1181" spans="1:20" ht="15" customHeight="1" x14ac:dyDescent="0.2">
      <c r="A1181" s="121"/>
      <c r="B1181" s="143"/>
      <c r="C1181" s="75" t="s">
        <v>1858</v>
      </c>
      <c r="D1181" s="143" t="s">
        <v>193</v>
      </c>
      <c r="E1181" s="142">
        <v>1</v>
      </c>
      <c r="F1181" s="144" t="s">
        <v>388</v>
      </c>
      <c r="G1181" s="146" t="s">
        <v>8</v>
      </c>
      <c r="H1181" s="141"/>
      <c r="I1181" s="141"/>
      <c r="J1181" s="141"/>
      <c r="K1181" s="141"/>
      <c r="L1181" s="141"/>
      <c r="M1181" s="141"/>
      <c r="N1181" s="140"/>
      <c r="O1181" s="140"/>
      <c r="P1181" s="140"/>
      <c r="Q1181" s="140"/>
      <c r="R1181" s="140"/>
      <c r="S1181" s="140"/>
      <c r="T1181" s="140"/>
    </row>
    <row r="1182" spans="1:20" ht="15" customHeight="1" x14ac:dyDescent="0.2">
      <c r="A1182" s="121" t="s">
        <v>1960</v>
      </c>
      <c r="B1182" s="143" t="str">
        <f>IF(ISBLANK(A1182),"",IF(AND(ISNA(VLOOKUP(A1182,Interface_Platform!E:E,1,FALSE())),ISNA(VLOOKUP(A1182,D:D,1,FALSE()))),"N","Y"))</f>
        <v>Y</v>
      </c>
      <c r="C1182" s="75"/>
      <c r="D1182" s="143" t="s">
        <v>484</v>
      </c>
      <c r="E1182" s="142"/>
      <c r="F1182" s="144" t="str">
        <f>IF(AND(ISNA(VLOOKUP(D1182,A:A,1,FALSE())),ISNA(VLOOKUP(D1182,BaseType!A:A,1,FALSE())),D1182&lt;&gt;"Struct"),"N","Y")</f>
        <v>Y</v>
      </c>
      <c r="G1182" s="146"/>
      <c r="H1182" s="141"/>
      <c r="I1182" s="141"/>
      <c r="J1182" s="141"/>
      <c r="K1182" s="141"/>
      <c r="L1182" s="141"/>
      <c r="M1182" s="141"/>
      <c r="N1182" s="140"/>
      <c r="O1182" s="140"/>
      <c r="P1182" s="140"/>
      <c r="Q1182" s="140"/>
      <c r="R1182" s="140"/>
      <c r="S1182" s="140"/>
      <c r="T1182" s="140"/>
    </row>
    <row r="1183" spans="1:20" ht="15" customHeight="1" x14ac:dyDescent="0.2">
      <c r="A1183" s="121"/>
      <c r="B1183" s="143" t="str">
        <f>IF(ISBLANK(A1183),"",IF(AND(ISNA(VLOOKUP(A1183,Interface_Platform!E:E,1,FALSE())),ISNA(VLOOKUP(A1183,D:D,1,FALSE()))),"N","Y"))</f>
        <v/>
      </c>
      <c r="C1183" s="75" t="s">
        <v>1342</v>
      </c>
      <c r="D1183" s="143" t="s">
        <v>631</v>
      </c>
      <c r="E1183" s="142">
        <v>1</v>
      </c>
      <c r="F1183" s="144" t="str">
        <f>IF(AND(ISNA(VLOOKUP(D1183,A:A,1,FALSE())),ISNA(VLOOKUP(D1183,BaseType!A:A,1,FALSE())),D1183&lt;&gt;"Struct"),"N","Y")</f>
        <v>Y</v>
      </c>
      <c r="G1183" s="146" t="s">
        <v>1961</v>
      </c>
      <c r="H1183" s="141"/>
      <c r="I1183" s="141"/>
      <c r="J1183" s="141"/>
      <c r="K1183" s="141"/>
      <c r="L1183" s="141"/>
      <c r="M1183" s="141"/>
      <c r="N1183" s="140"/>
      <c r="O1183" s="140"/>
      <c r="P1183" s="140"/>
      <c r="Q1183" s="140"/>
      <c r="R1183" s="140"/>
      <c r="S1183" s="140"/>
      <c r="T1183" s="140"/>
    </row>
    <row r="1184" spans="1:20" ht="15" customHeight="1" x14ac:dyDescent="0.2">
      <c r="A1184" s="121"/>
      <c r="B1184" s="143" t="str">
        <f>IF(ISBLANK(A1184),"",IF(AND(ISNA(VLOOKUP(A1184,Interface_Platform!E:E,1,FALSE())),ISNA(VLOOKUP(A1184,D:D,1,FALSE()))),"N","Y"))</f>
        <v/>
      </c>
      <c r="C1184" s="75" t="s">
        <v>1962</v>
      </c>
      <c r="D1184" s="143" t="s">
        <v>298</v>
      </c>
      <c r="E1184" s="142">
        <v>1</v>
      </c>
      <c r="F1184" s="144" t="str">
        <f>IF(AND(ISNA(VLOOKUP(D1184,A:A,1,FALSE())),ISNA(VLOOKUP(D1184,BaseType!A:A,1,FALSE())),D1184&lt;&gt;"Struct"),"N","Y")</f>
        <v>Y</v>
      </c>
      <c r="G1184" s="146" t="s">
        <v>1963</v>
      </c>
      <c r="H1184" s="141"/>
      <c r="I1184" s="141"/>
      <c r="J1184" s="141"/>
      <c r="K1184" s="141"/>
      <c r="L1184" s="141"/>
      <c r="M1184" s="141"/>
      <c r="N1184" s="140"/>
      <c r="O1184" s="140"/>
      <c r="P1184" s="140"/>
      <c r="Q1184" s="140"/>
      <c r="R1184" s="140"/>
      <c r="S1184" s="140"/>
      <c r="T1184" s="140"/>
    </row>
    <row r="1185" spans="1:20" ht="15" customHeight="1" x14ac:dyDescent="0.2">
      <c r="A1185" s="121"/>
      <c r="B1185" s="143" t="str">
        <f>IF(ISBLANK(A1185),"",IF(AND(ISNA(VLOOKUP(A1185,Interface_Platform!E:E,1,FALSE())),ISNA(VLOOKUP(A1185,D:D,1,FALSE()))),"N","Y"))</f>
        <v/>
      </c>
      <c r="C1185" s="75" t="s">
        <v>1964</v>
      </c>
      <c r="D1185" s="143" t="s">
        <v>298</v>
      </c>
      <c r="E1185" s="142">
        <v>1</v>
      </c>
      <c r="F1185" s="144" t="str">
        <f>IF(AND(ISNA(VLOOKUP(D1185,A:A,1,FALSE())),ISNA(VLOOKUP(D1185,BaseType!A:A,1,FALSE())),D1185&lt;&gt;"Struct"),"N","Y")</f>
        <v>Y</v>
      </c>
      <c r="G1185" s="146" t="s">
        <v>1965</v>
      </c>
      <c r="H1185" s="141"/>
      <c r="I1185" s="141"/>
      <c r="J1185" s="141"/>
      <c r="K1185" s="141"/>
      <c r="L1185" s="141"/>
      <c r="M1185" s="141"/>
      <c r="N1185" s="140"/>
      <c r="O1185" s="140"/>
      <c r="P1185" s="140"/>
      <c r="Q1185" s="140"/>
      <c r="R1185" s="140"/>
      <c r="S1185" s="140"/>
      <c r="T1185" s="140"/>
    </row>
    <row r="1186" spans="1:20" ht="15" customHeight="1" x14ac:dyDescent="0.2">
      <c r="A1186" s="121" t="s">
        <v>390</v>
      </c>
      <c r="B1186" s="143" t="str">
        <f>IF(ISBLANK(A1186),"",IF(AND(ISNA(VLOOKUP(A1186,Interface_Platform!E:E,1,FALSE())),ISNA(VLOOKUP(A1186,D:D,1,FALSE()))),"N","Y"))</f>
        <v>Y</v>
      </c>
      <c r="C1186" s="75"/>
      <c r="D1186" s="143" t="s">
        <v>484</v>
      </c>
      <c r="E1186" s="142"/>
      <c r="F1186" s="144" t="str">
        <f>IF(AND(ISNA(VLOOKUP(D1186,A:A,1,FALSE())),ISNA(VLOOKUP(D1186,BaseType!A:A,1,FALSE())),D1186&lt;&gt;"Struct"),"N","Y")</f>
        <v>Y</v>
      </c>
      <c r="G1186" s="146"/>
      <c r="H1186" s="141"/>
      <c r="I1186" s="141"/>
      <c r="J1186" s="141"/>
      <c r="K1186" s="141"/>
      <c r="L1186" s="141"/>
      <c r="M1186" s="141"/>
      <c r="N1186" s="140"/>
      <c r="O1186" s="140"/>
      <c r="P1186" s="140"/>
      <c r="Q1186" s="140"/>
      <c r="R1186" s="140"/>
      <c r="S1186" s="140"/>
      <c r="T1186" s="140"/>
    </row>
    <row r="1187" spans="1:20" ht="15" customHeight="1" x14ac:dyDescent="0.2">
      <c r="A1187" s="121"/>
      <c r="B1187" s="143" t="str">
        <f>IF(ISBLANK(A1187),"",IF(AND(ISNA(VLOOKUP(A1187,Interface_Platform!E:E,1,FALSE())),ISNA(VLOOKUP(A1187,D:D,1,FALSE()))),"N","Y"))</f>
        <v/>
      </c>
      <c r="C1187" s="75" t="s">
        <v>1966</v>
      </c>
      <c r="D1187" s="143" t="s">
        <v>1960</v>
      </c>
      <c r="E1187" s="142">
        <v>1</v>
      </c>
      <c r="F1187" s="144" t="str">
        <f>IF(AND(ISNA(VLOOKUP(D1187,A:A,1,FALSE())),ISNA(VLOOKUP(D1187,BaseType!A:A,1,FALSE())),D1187&lt;&gt;"Struct"),"N","Y")</f>
        <v>Y</v>
      </c>
      <c r="G1187" s="146" t="s">
        <v>1967</v>
      </c>
      <c r="H1187" s="141"/>
      <c r="I1187" s="141"/>
      <c r="J1187" s="141"/>
      <c r="K1187" s="141"/>
      <c r="L1187" s="141"/>
      <c r="M1187" s="141"/>
      <c r="N1187" s="140"/>
      <c r="O1187" s="140"/>
      <c r="P1187" s="140"/>
      <c r="Q1187" s="140"/>
      <c r="R1187" s="140"/>
      <c r="S1187" s="140"/>
      <c r="T1187" s="140"/>
    </row>
    <row r="1188" spans="1:20" ht="15" customHeight="1" x14ac:dyDescent="0.2">
      <c r="A1188" s="121"/>
      <c r="B1188" s="143" t="str">
        <f>IF(ISBLANK(A1188),"",IF(AND(ISNA(VLOOKUP(A1188,Interface_Platform!E:E,1,FALSE())),ISNA(VLOOKUP(A1188,D:D,1,FALSE()))),"N","Y"))</f>
        <v/>
      </c>
      <c r="C1188" s="75" t="s">
        <v>1968</v>
      </c>
      <c r="D1188" s="143" t="s">
        <v>1900</v>
      </c>
      <c r="E1188" s="142">
        <v>64</v>
      </c>
      <c r="F1188" s="144" t="str">
        <f>IF(AND(ISNA(VLOOKUP(D1188,A:A,1,FALSE())),ISNA(VLOOKUP(D1188,BaseType!A:A,1,FALSE())),D1188&lt;&gt;"Struct"),"N","Y")</f>
        <v>Y</v>
      </c>
      <c r="G1188" s="146" t="s">
        <v>1969</v>
      </c>
      <c r="H1188" s="141"/>
      <c r="I1188" s="141"/>
      <c r="J1188" s="141"/>
      <c r="K1188" s="141"/>
      <c r="L1188" s="141"/>
      <c r="M1188" s="141"/>
      <c r="N1188" s="140"/>
      <c r="O1188" s="140"/>
      <c r="P1188" s="140"/>
      <c r="Q1188" s="140"/>
      <c r="R1188" s="140"/>
      <c r="S1188" s="140"/>
      <c r="T1188" s="140"/>
    </row>
    <row r="1189" spans="1:20" ht="15" customHeight="1" x14ac:dyDescent="0.2">
      <c r="A1189" s="121" t="s">
        <v>392</v>
      </c>
      <c r="B1189" s="143" t="str">
        <f>IF(ISBLANK(A1189),"",IF(AND(ISNA(VLOOKUP(A1189,Interface_Platform!E:E,1,FALSE())),ISNA(VLOOKUP(A1189,D:D,1,FALSE()))),"Y","Y"))</f>
        <v>Y</v>
      </c>
      <c r="C1189" s="75"/>
      <c r="D1189" s="143" t="s">
        <v>484</v>
      </c>
      <c r="E1189" s="142"/>
      <c r="F1189" s="144"/>
      <c r="G1189" s="146"/>
      <c r="H1189" s="141"/>
      <c r="I1189" s="141"/>
      <c r="J1189" s="141"/>
      <c r="K1189" s="141"/>
      <c r="L1189" s="141"/>
      <c r="M1189" s="141"/>
      <c r="N1189" s="140"/>
      <c r="O1189" s="140"/>
      <c r="P1189" s="140"/>
      <c r="Q1189" s="140"/>
      <c r="R1189" s="140"/>
      <c r="S1189" s="140"/>
      <c r="T1189" s="140"/>
    </row>
    <row r="1190" spans="1:20" ht="15" customHeight="1" x14ac:dyDescent="0.2">
      <c r="A1190" s="121"/>
      <c r="B1190" s="143"/>
      <c r="C1190" s="75" t="s">
        <v>1342</v>
      </c>
      <c r="D1190" s="143" t="s">
        <v>631</v>
      </c>
      <c r="E1190" s="142">
        <v>1</v>
      </c>
      <c r="F1190" s="144" t="str">
        <f>IF(AND(ISNA(VLOOKUP(D1190,A:A,1,FALSE())),ISNA(VLOOKUP(D1190,BaseType!A:A,1,FALSE())),D1190&lt;&gt;"Struct"),"N","Y")</f>
        <v>Y</v>
      </c>
      <c r="G1190" s="146" t="s">
        <v>1970</v>
      </c>
      <c r="H1190" s="141"/>
      <c r="I1190" s="141"/>
      <c r="J1190" s="141"/>
      <c r="K1190" s="141"/>
      <c r="L1190" s="141"/>
      <c r="M1190" s="141"/>
      <c r="N1190" s="140"/>
      <c r="O1190" s="140"/>
      <c r="P1190" s="140"/>
      <c r="Q1190" s="140"/>
      <c r="R1190" s="140"/>
      <c r="S1190" s="140"/>
      <c r="T1190" s="140"/>
    </row>
    <row r="1191" spans="1:20" ht="15" customHeight="1" x14ac:dyDescent="0.2">
      <c r="A1191" s="121"/>
      <c r="B1191" s="143"/>
      <c r="C1191" s="75" t="s">
        <v>1971</v>
      </c>
      <c r="D1191" s="143" t="s">
        <v>193</v>
      </c>
      <c r="E1191" s="142">
        <v>1</v>
      </c>
      <c r="F1191" s="144" t="str">
        <f>IF(AND(ISNA(VLOOKUP(D1191,A:A,1,FALSE())),ISNA(VLOOKUP(D1191,BaseType!A:A,1,FALSE())),D1191&lt;&gt;"Struct"),"N","Y")</f>
        <v>Y</v>
      </c>
      <c r="G1191" s="146"/>
      <c r="H1191" s="141"/>
      <c r="I1191" s="141"/>
      <c r="J1191" s="141"/>
      <c r="K1191" s="141"/>
      <c r="L1191" s="141"/>
      <c r="M1191" s="141"/>
      <c r="N1191" s="140"/>
      <c r="O1191" s="140"/>
      <c r="P1191" s="140"/>
      <c r="Q1191" s="140"/>
      <c r="R1191" s="140"/>
      <c r="S1191" s="140"/>
      <c r="T1191" s="140"/>
    </row>
    <row r="1192" spans="1:20" ht="15" customHeight="1" x14ac:dyDescent="0.2">
      <c r="A1192" s="121"/>
      <c r="B1192" s="143"/>
      <c r="C1192" s="75" t="s">
        <v>1972</v>
      </c>
      <c r="D1192" s="143" t="s">
        <v>193</v>
      </c>
      <c r="E1192" s="142">
        <v>1</v>
      </c>
      <c r="F1192" s="144" t="str">
        <f>IF(AND(ISNA(VLOOKUP(D1192,A:A,1,FALSE())),ISNA(VLOOKUP(D1192,BaseType!A:A,1,FALSE())),D1192&lt;&gt;"Struct"),"N","Y")</f>
        <v>Y</v>
      </c>
      <c r="G1192" s="146"/>
      <c r="H1192" s="141"/>
      <c r="I1192" s="141"/>
      <c r="J1192" s="141"/>
      <c r="K1192" s="141"/>
      <c r="L1192" s="141"/>
      <c r="M1192" s="141"/>
      <c r="N1192" s="140"/>
      <c r="O1192" s="140"/>
      <c r="P1192" s="140"/>
      <c r="Q1192" s="140"/>
      <c r="R1192" s="140"/>
      <c r="S1192" s="140"/>
      <c r="T1192" s="140"/>
    </row>
    <row r="1193" spans="1:20" ht="15" customHeight="1" x14ac:dyDescent="0.2">
      <c r="A1193" s="121"/>
      <c r="B1193" s="143"/>
      <c r="C1193" s="75" t="s">
        <v>1973</v>
      </c>
      <c r="D1193" s="143" t="s">
        <v>193</v>
      </c>
      <c r="E1193" s="142">
        <v>1</v>
      </c>
      <c r="F1193" s="144" t="str">
        <f>IF(AND(ISNA(VLOOKUP(D1193,A:A,1,FALSE())),ISNA(VLOOKUP(D1193,BaseType!A:A,1,FALSE())),D1193&lt;&gt;"Struct"),"N","Y")</f>
        <v>Y</v>
      </c>
      <c r="G1193" s="146"/>
      <c r="H1193" s="141"/>
      <c r="I1193" s="141"/>
      <c r="J1193" s="141"/>
      <c r="K1193" s="141"/>
      <c r="L1193" s="141"/>
      <c r="M1193" s="141"/>
      <c r="N1193" s="140"/>
      <c r="O1193" s="140"/>
      <c r="P1193" s="140"/>
      <c r="Q1193" s="140"/>
      <c r="R1193" s="140"/>
      <c r="S1193" s="140"/>
      <c r="T1193" s="140"/>
    </row>
    <row r="1194" spans="1:20" ht="15" customHeight="1" x14ac:dyDescent="0.2">
      <c r="A1194" s="121"/>
      <c r="B1194" s="143"/>
      <c r="C1194" s="75" t="s">
        <v>1974</v>
      </c>
      <c r="D1194" s="143" t="s">
        <v>193</v>
      </c>
      <c r="E1194" s="142">
        <v>1</v>
      </c>
      <c r="F1194" s="144" t="str">
        <f>IF(AND(ISNA(VLOOKUP(D1194,A:A,1,FALSE())),ISNA(VLOOKUP(D1194,BaseType!A:A,1,FALSE())),D1194&lt;&gt;"Struct"),"N","Y")</f>
        <v>Y</v>
      </c>
      <c r="G1194" s="146"/>
      <c r="H1194" s="141"/>
      <c r="I1194" s="141"/>
      <c r="J1194" s="141"/>
      <c r="K1194" s="141"/>
      <c r="L1194" s="141"/>
      <c r="M1194" s="141"/>
      <c r="N1194" s="140"/>
      <c r="O1194" s="140"/>
      <c r="P1194" s="140"/>
      <c r="Q1194" s="140"/>
      <c r="R1194" s="140"/>
      <c r="S1194" s="140"/>
      <c r="T1194" s="140"/>
    </row>
    <row r="1195" spans="1:20" ht="15" customHeight="1" x14ac:dyDescent="0.2">
      <c r="A1195" s="121"/>
      <c r="B1195" s="143"/>
      <c r="C1195" s="75" t="s">
        <v>1975</v>
      </c>
      <c r="D1195" s="143" t="s">
        <v>193</v>
      </c>
      <c r="E1195" s="142">
        <v>1</v>
      </c>
      <c r="F1195" s="144" t="str">
        <f>IF(AND(ISNA(VLOOKUP(D1195,A:A,1,FALSE())),ISNA(VLOOKUP(D1195,BaseType!A:A,1,FALSE())),D1195&lt;&gt;"Struct"),"N","Y")</f>
        <v>Y</v>
      </c>
      <c r="G1195" s="146"/>
      <c r="H1195" s="141"/>
      <c r="I1195" s="141"/>
      <c r="J1195" s="141"/>
      <c r="K1195" s="141"/>
      <c r="L1195" s="141"/>
      <c r="M1195" s="141"/>
      <c r="N1195" s="140"/>
      <c r="O1195" s="140"/>
      <c r="P1195" s="140"/>
      <c r="Q1195" s="140"/>
      <c r="R1195" s="140"/>
      <c r="S1195" s="140"/>
      <c r="T1195" s="140"/>
    </row>
    <row r="1196" spans="1:20" ht="15" customHeight="1" x14ac:dyDescent="0.2">
      <c r="A1196" s="121"/>
      <c r="B1196" s="143"/>
      <c r="C1196" s="75" t="s">
        <v>1976</v>
      </c>
      <c r="D1196" s="143" t="s">
        <v>193</v>
      </c>
      <c r="E1196" s="142">
        <v>1</v>
      </c>
      <c r="F1196" s="144" t="str">
        <f>IF(AND(ISNA(VLOOKUP(D1196,A:A,1,FALSE())),ISNA(VLOOKUP(D1196,BaseType!A:A,1,FALSE())),D1196&lt;&gt;"Struct"),"N","Y")</f>
        <v>Y</v>
      </c>
      <c r="G1196" s="146"/>
      <c r="H1196" s="141"/>
      <c r="I1196" s="141"/>
      <c r="J1196" s="141"/>
      <c r="K1196" s="141"/>
      <c r="L1196" s="141"/>
      <c r="M1196" s="141"/>
      <c r="N1196" s="140"/>
      <c r="O1196" s="140"/>
      <c r="P1196" s="140"/>
      <c r="Q1196" s="140"/>
      <c r="R1196" s="140"/>
      <c r="S1196" s="140"/>
      <c r="T1196" s="140"/>
    </row>
    <row r="1197" spans="1:20" ht="15" customHeight="1" x14ac:dyDescent="0.2">
      <c r="A1197" s="121"/>
      <c r="B1197" s="143"/>
      <c r="C1197" s="75" t="s">
        <v>1977</v>
      </c>
      <c r="D1197" s="143" t="s">
        <v>193</v>
      </c>
      <c r="E1197" s="142">
        <v>1</v>
      </c>
      <c r="F1197" s="144" t="str">
        <f>IF(AND(ISNA(VLOOKUP(D1197,A:A,1,FALSE())),ISNA(VLOOKUP(D1197,BaseType!A:A,1,FALSE())),D1197&lt;&gt;"Struct"),"N","Y")</f>
        <v>Y</v>
      </c>
      <c r="G1197" s="146"/>
      <c r="H1197" s="141"/>
      <c r="I1197" s="141"/>
      <c r="J1197" s="141"/>
      <c r="K1197" s="141"/>
      <c r="L1197" s="141"/>
      <c r="M1197" s="141"/>
      <c r="N1197" s="140"/>
      <c r="O1197" s="140"/>
      <c r="P1197" s="140"/>
      <c r="Q1197" s="140"/>
      <c r="R1197" s="140"/>
      <c r="S1197" s="140"/>
      <c r="T1197" s="140"/>
    </row>
    <row r="1198" spans="1:20" ht="15" customHeight="1" x14ac:dyDescent="0.2">
      <c r="A1198" s="121"/>
      <c r="B1198" s="143"/>
      <c r="C1198" s="75" t="s">
        <v>1978</v>
      </c>
      <c r="D1198" s="143" t="s">
        <v>193</v>
      </c>
      <c r="E1198" s="142">
        <v>1</v>
      </c>
      <c r="F1198" s="144" t="str">
        <f>IF(AND(ISNA(VLOOKUP(D1198,A:A,1,FALSE())),ISNA(VLOOKUP(D1198,BaseType!A:A,1,FALSE())),D1198&lt;&gt;"Struct"),"N","Y")</f>
        <v>Y</v>
      </c>
      <c r="G1198" s="146"/>
      <c r="H1198" s="141"/>
      <c r="I1198" s="141"/>
      <c r="J1198" s="141"/>
      <c r="K1198" s="141"/>
      <c r="L1198" s="141"/>
      <c r="M1198" s="141"/>
      <c r="N1198" s="140"/>
      <c r="O1198" s="140"/>
      <c r="P1198" s="140"/>
      <c r="Q1198" s="140"/>
      <c r="R1198" s="140"/>
      <c r="S1198" s="140"/>
      <c r="T1198" s="140"/>
    </row>
    <row r="1199" spans="1:20" ht="15" customHeight="1" x14ac:dyDescent="0.2">
      <c r="A1199" s="121" t="s">
        <v>394</v>
      </c>
      <c r="B1199" s="143" t="str">
        <f>IF(ISBLANK(A1199),"",IF(AND(ISNA(VLOOKUP(A1199,Interface_Platform!E:E,1,FALSE())),ISNA(VLOOKUP(A1199,D:D,1,FALSE()))),"Y","Y"))</f>
        <v>Y</v>
      </c>
      <c r="C1199" s="75"/>
      <c r="D1199" s="143" t="s">
        <v>484</v>
      </c>
      <c r="E1199" s="142"/>
      <c r="F1199" s="144"/>
      <c r="G1199" s="146"/>
      <c r="H1199" s="141"/>
      <c r="I1199" s="141"/>
      <c r="J1199" s="141"/>
      <c r="K1199" s="141"/>
      <c r="L1199" s="141"/>
      <c r="M1199" s="141"/>
      <c r="N1199" s="140"/>
      <c r="O1199" s="140"/>
      <c r="P1199" s="140"/>
      <c r="Q1199" s="140"/>
      <c r="R1199" s="140"/>
      <c r="S1199" s="140"/>
      <c r="T1199" s="140"/>
    </row>
    <row r="1200" spans="1:20" ht="15" customHeight="1" x14ac:dyDescent="0.2">
      <c r="A1200" s="121"/>
      <c r="B1200" s="143"/>
      <c r="C1200" s="75" t="s">
        <v>1342</v>
      </c>
      <c r="D1200" s="143" t="s">
        <v>631</v>
      </c>
      <c r="E1200" s="142">
        <v>1</v>
      </c>
      <c r="F1200" s="144" t="str">
        <f>IF(AND(ISNA(VLOOKUP(D1200,A:A,1,FALSE())),ISNA(VLOOKUP(D1200,BaseType!A:A,1,FALSE())),D1200&lt;&gt;"Struct"),"N","Y")</f>
        <v>Y</v>
      </c>
      <c r="G1200" s="146" t="s">
        <v>1961</v>
      </c>
      <c r="H1200" s="141"/>
      <c r="I1200" s="141"/>
      <c r="J1200" s="141"/>
      <c r="K1200" s="141"/>
      <c r="L1200" s="141"/>
      <c r="M1200" s="141"/>
      <c r="N1200" s="140"/>
      <c r="O1200" s="140"/>
      <c r="P1200" s="140"/>
      <c r="Q1200" s="140"/>
      <c r="R1200" s="140"/>
      <c r="S1200" s="140"/>
      <c r="T1200" s="140"/>
    </row>
    <row r="1201" spans="1:20" ht="15" customHeight="1" x14ac:dyDescent="0.2">
      <c r="A1201" s="121"/>
      <c r="B1201" s="143"/>
      <c r="C1201" s="75" t="s">
        <v>1979</v>
      </c>
      <c r="D1201" s="143" t="s">
        <v>193</v>
      </c>
      <c r="E1201" s="142">
        <v>1</v>
      </c>
      <c r="F1201" s="144" t="str">
        <f>IF(AND(ISNA(VLOOKUP(D1201,A:A,1,FALSE())),ISNA(VLOOKUP(D1201,BaseType!A:A,1,FALSE())),D1201&lt;&gt;"Struct"),"N","Y")</f>
        <v>Y</v>
      </c>
      <c r="G1201" s="146"/>
      <c r="H1201" s="141"/>
      <c r="I1201" s="141"/>
      <c r="J1201" s="141"/>
      <c r="K1201" s="141"/>
      <c r="L1201" s="141"/>
      <c r="M1201" s="141"/>
      <c r="N1201" s="140"/>
      <c r="O1201" s="140"/>
      <c r="P1201" s="140"/>
      <c r="Q1201" s="140"/>
      <c r="R1201" s="140"/>
      <c r="S1201" s="140"/>
      <c r="T1201" s="140"/>
    </row>
    <row r="1202" spans="1:20" ht="15" customHeight="1" x14ac:dyDescent="0.2">
      <c r="A1202" s="121" t="s">
        <v>211</v>
      </c>
      <c r="B1202" s="143" t="str">
        <f>IF(ISBLANK(A1202),"",IF(AND(ISNA(VLOOKUP(A1202,Interface_Platform!E:E,1,FALSE())),ISNA(VLOOKUP(A1202,D:D,1,FALSE()))),"N","Y"))</f>
        <v>Y</v>
      </c>
      <c r="C1202" s="48"/>
      <c r="D1202" s="169" t="s">
        <v>484</v>
      </c>
      <c r="E1202" s="142"/>
      <c r="F1202" s="144" t="str">
        <f>IF(AND(ISNA(VLOOKUP(D1202,A:A,1,FALSE())),ISNA(VLOOKUP(D1202,BaseType!A:A,1,FALSE())),D1202&lt;&gt;"Struct"),"N","Y")</f>
        <v>Y</v>
      </c>
      <c r="G1202" s="146"/>
      <c r="H1202" s="141"/>
      <c r="I1202" s="141"/>
      <c r="J1202" s="141"/>
      <c r="K1202" s="141"/>
      <c r="L1202" s="141"/>
      <c r="M1202" s="141"/>
      <c r="N1202" s="140"/>
      <c r="O1202" s="140"/>
      <c r="P1202" s="140"/>
      <c r="Q1202" s="140"/>
      <c r="R1202" s="140"/>
      <c r="S1202" s="140"/>
      <c r="T1202" s="140"/>
    </row>
    <row r="1203" spans="1:20" ht="15" customHeight="1" x14ac:dyDescent="0.2">
      <c r="A1203" s="121"/>
      <c r="B1203" s="143" t="str">
        <f>IF(ISBLANK(A1203),"",IF(AND(ISNA(VLOOKUP(A1203,Interface_Platform!E:E,1,FALSE())),ISNA(VLOOKUP(A1203,D:D,1,FALSE()))),"N","Y"))</f>
        <v/>
      </c>
      <c r="C1203" s="48" t="s">
        <v>1980</v>
      </c>
      <c r="D1203" s="148" t="s">
        <v>225</v>
      </c>
      <c r="E1203" s="142">
        <v>1</v>
      </c>
      <c r="F1203" s="144" t="str">
        <f>IF(AND(ISNA(VLOOKUP(D1203,A:A,1,FALSE())),ISNA(VLOOKUP(D1203,BaseType!A:A,1,FALSE())),D1203&lt;&gt;"Struct"),"N","Y")</f>
        <v>Y</v>
      </c>
      <c r="G1203" s="150"/>
      <c r="H1203" s="141"/>
      <c r="I1203" s="141"/>
      <c r="J1203" s="141"/>
      <c r="K1203" s="141"/>
      <c r="L1203" s="141"/>
      <c r="M1203" s="141"/>
      <c r="N1203" s="140"/>
      <c r="O1203" s="140"/>
      <c r="P1203" s="140"/>
      <c r="Q1203" s="140"/>
      <c r="R1203" s="140"/>
      <c r="S1203" s="140"/>
      <c r="T1203" s="140"/>
    </row>
    <row r="1204" spans="1:20" ht="15" customHeight="1" x14ac:dyDescent="0.2">
      <c r="A1204" s="121"/>
      <c r="B1204" s="143" t="str">
        <f>IF(ISBLANK(A1204),"",IF(AND(ISNA(VLOOKUP(A1204,Interface_Platform!E:E,1,FALSE())),ISNA(VLOOKUP(A1204,D:D,1,FALSE()))),"N","Y"))</f>
        <v/>
      </c>
      <c r="C1204" s="48" t="s">
        <v>1981</v>
      </c>
      <c r="D1204" s="148" t="s">
        <v>193</v>
      </c>
      <c r="E1204" s="142">
        <v>1</v>
      </c>
      <c r="F1204" s="144" t="str">
        <f>IF(AND(ISNA(VLOOKUP(D1204,A:A,1,FALSE())),ISNA(VLOOKUP(D1204,BaseType!A:A,1,FALSE())),D1204&lt;&gt;"Struct"),"N","Y")</f>
        <v>Y</v>
      </c>
      <c r="G1204" s="150" t="s">
        <v>1982</v>
      </c>
      <c r="H1204" s="141"/>
      <c r="I1204" s="141"/>
      <c r="J1204" s="141"/>
      <c r="K1204" s="141"/>
      <c r="L1204" s="141"/>
      <c r="M1204" s="141"/>
      <c r="N1204" s="140"/>
      <c r="O1204" s="140"/>
      <c r="P1204" s="140"/>
      <c r="Q1204" s="140"/>
      <c r="R1204" s="140"/>
      <c r="S1204" s="140"/>
      <c r="T1204" s="140"/>
    </row>
    <row r="1205" spans="1:20" ht="15" customHeight="1" x14ac:dyDescent="0.2">
      <c r="A1205" s="121"/>
      <c r="B1205" s="143" t="str">
        <f>IF(ISBLANK(A1205),"",IF(AND(ISNA(VLOOKUP(A1205,Interface_Platform!E:E,1,FALSE())),ISNA(VLOOKUP(A1205,D:D,1,FALSE()))),"N","Y"))</f>
        <v/>
      </c>
      <c r="C1205" s="48" t="s">
        <v>1983</v>
      </c>
      <c r="D1205" s="148" t="s">
        <v>193</v>
      </c>
      <c r="E1205" s="142">
        <v>1</v>
      </c>
      <c r="F1205" s="144" t="str">
        <f>IF(AND(ISNA(VLOOKUP(D1205,A:A,1,FALSE())),ISNA(VLOOKUP(D1205,BaseType!A:A,1,FALSE())),D1205&lt;&gt;"Struct"),"N","Y")</f>
        <v>Y</v>
      </c>
      <c r="G1205" s="150" t="s">
        <v>1984</v>
      </c>
      <c r="H1205" s="141"/>
      <c r="I1205" s="141"/>
      <c r="J1205" s="141"/>
      <c r="K1205" s="141"/>
      <c r="L1205" s="141"/>
      <c r="M1205" s="141"/>
      <c r="N1205" s="140"/>
      <c r="O1205" s="140"/>
      <c r="P1205" s="140"/>
      <c r="Q1205" s="140"/>
      <c r="R1205" s="140"/>
      <c r="S1205" s="140"/>
      <c r="T1205" s="140"/>
    </row>
    <row r="1206" spans="1:20" ht="15" customHeight="1" x14ac:dyDescent="0.2">
      <c r="A1206" s="121"/>
      <c r="B1206" s="143"/>
      <c r="C1206" s="48" t="s">
        <v>1985</v>
      </c>
      <c r="D1206" s="148" t="s">
        <v>193</v>
      </c>
      <c r="E1206" s="142">
        <v>1</v>
      </c>
      <c r="F1206" s="144" t="str">
        <f>IF(AND(ISNA(VLOOKUP(D1206,A:A,1,FALSE())),ISNA(VLOOKUP(D1206,BaseType!A:A,1,FALSE())),D1206&lt;&gt;"Struct"),"N","Y")</f>
        <v>Y</v>
      </c>
      <c r="G1206" s="150" t="s">
        <v>1982</v>
      </c>
      <c r="H1206" s="141"/>
      <c r="I1206" s="141"/>
      <c r="J1206" s="141"/>
      <c r="K1206" s="141"/>
      <c r="L1206" s="141"/>
      <c r="M1206" s="141"/>
      <c r="N1206" s="140"/>
      <c r="O1206" s="140"/>
      <c r="P1206" s="140"/>
      <c r="Q1206" s="140"/>
      <c r="R1206" s="140"/>
      <c r="S1206" s="140"/>
      <c r="T1206" s="140"/>
    </row>
    <row r="1207" spans="1:20" ht="15" customHeight="1" x14ac:dyDescent="0.2">
      <c r="A1207" s="121"/>
      <c r="B1207" s="143" t="str">
        <f>IF(ISBLANK(A1207),"",IF(AND(ISNA(VLOOKUP(A1207,Interface_Platform!E:E,1,FALSE())),ISNA(VLOOKUP(A1207,D:D,1,FALSE()))),"N","Y"))</f>
        <v/>
      </c>
      <c r="C1207" s="48" t="s">
        <v>1986</v>
      </c>
      <c r="D1207" s="148" t="s">
        <v>193</v>
      </c>
      <c r="E1207" s="142">
        <v>1</v>
      </c>
      <c r="F1207" s="144" t="str">
        <f>IF(AND(ISNA(VLOOKUP(D1207,A:A,1,FALSE())),ISNA(VLOOKUP(D1207,BaseType!A:A,1,FALSE())),D1207&lt;&gt;"Struct"),"N","Y")</f>
        <v>Y</v>
      </c>
      <c r="G1207" s="150" t="s">
        <v>1982</v>
      </c>
      <c r="H1207" s="141"/>
      <c r="I1207" s="141"/>
      <c r="J1207" s="141"/>
      <c r="K1207" s="141"/>
      <c r="L1207" s="141"/>
      <c r="M1207" s="141"/>
      <c r="N1207" s="140"/>
      <c r="O1207" s="140"/>
      <c r="P1207" s="140"/>
      <c r="Q1207" s="140"/>
      <c r="R1207" s="140"/>
      <c r="S1207" s="140"/>
      <c r="T1207" s="140"/>
    </row>
    <row r="1208" spans="1:20" ht="15" customHeight="1" x14ac:dyDescent="0.2">
      <c r="A1208" s="121"/>
      <c r="B1208" s="143" t="str">
        <f>IF(ISBLANK(A1208),"",IF(AND(ISNA(VLOOKUP(A1208,Interface_Platform!E:E,1,FALSE())),ISNA(VLOOKUP(A1208,D:D,1,FALSE()))),"N","Y"))</f>
        <v/>
      </c>
      <c r="C1208" s="48" t="s">
        <v>1987</v>
      </c>
      <c r="D1208" s="148" t="s">
        <v>193</v>
      </c>
      <c r="E1208" s="142">
        <v>1</v>
      </c>
      <c r="F1208" s="144" t="str">
        <f>IF(AND(ISNA(VLOOKUP(D1208,A:A,1,FALSE())),ISNA(VLOOKUP(D1208,BaseType!A:A,1,FALSE())),D1208&lt;&gt;"Struct"),"N","Y")</f>
        <v>Y</v>
      </c>
      <c r="G1208" s="150" t="s">
        <v>1988</v>
      </c>
      <c r="H1208" s="141"/>
      <c r="I1208" s="141"/>
      <c r="J1208" s="141"/>
      <c r="K1208" s="141"/>
      <c r="L1208" s="141"/>
      <c r="M1208" s="141"/>
      <c r="N1208" s="140"/>
      <c r="O1208" s="140"/>
      <c r="P1208" s="140"/>
      <c r="Q1208" s="140"/>
      <c r="R1208" s="140"/>
      <c r="S1208" s="140"/>
      <c r="T1208" s="140"/>
    </row>
    <row r="1209" spans="1:20" ht="15" customHeight="1" x14ac:dyDescent="0.2">
      <c r="A1209" s="121"/>
      <c r="B1209" s="143" t="str">
        <f>IF(ISBLANK(A1209),"",IF(AND(ISNA(VLOOKUP(A1209,Interface_Platform!E:E,1,FALSE())),ISNA(VLOOKUP(A1209,D:D,1,FALSE()))),"N","Y"))</f>
        <v/>
      </c>
      <c r="C1209" s="48" t="s">
        <v>1989</v>
      </c>
      <c r="D1209" s="148" t="s">
        <v>193</v>
      </c>
      <c r="E1209" s="142">
        <v>1</v>
      </c>
      <c r="F1209" s="144" t="str">
        <f>IF(AND(ISNA(VLOOKUP(D1209,A:A,1,FALSE())),ISNA(VLOOKUP(D1209,BaseType!A:A,1,FALSE())),D1209&lt;&gt;"Struct"),"N","Y")</f>
        <v>Y</v>
      </c>
      <c r="G1209" s="150" t="s">
        <v>1982</v>
      </c>
      <c r="H1209" s="141"/>
      <c r="I1209" s="141"/>
      <c r="J1209" s="141"/>
      <c r="K1209" s="141"/>
      <c r="L1209" s="141"/>
      <c r="M1209" s="141"/>
      <c r="N1209" s="140"/>
      <c r="O1209" s="140"/>
      <c r="P1209" s="140"/>
      <c r="Q1209" s="140"/>
      <c r="R1209" s="140"/>
      <c r="S1209" s="140"/>
      <c r="T1209" s="140"/>
    </row>
    <row r="1210" spans="1:20" ht="15" customHeight="1" x14ac:dyDescent="0.2">
      <c r="A1210" s="121"/>
      <c r="B1210" s="143" t="str">
        <f>IF(ISBLANK(A1210),"",IF(AND(ISNA(VLOOKUP(A1210,Interface_Platform!E:E,1,FALSE())),ISNA(VLOOKUP(A1210,D:D,1,FALSE()))),"N","Y"))</f>
        <v/>
      </c>
      <c r="C1210" s="48" t="s">
        <v>1990</v>
      </c>
      <c r="D1210" s="148" t="s">
        <v>193</v>
      </c>
      <c r="E1210" s="142">
        <v>1</v>
      </c>
      <c r="F1210" s="144" t="str">
        <f>IF(AND(ISNA(VLOOKUP(D1210,A:A,1,FALSE())),ISNA(VLOOKUP(D1210,BaseType!A:A,1,FALSE())),D1210&lt;&gt;"Struct"),"N","Y")</f>
        <v>Y</v>
      </c>
      <c r="G1210" s="150" t="s">
        <v>1988</v>
      </c>
      <c r="H1210" s="141"/>
      <c r="I1210" s="141"/>
      <c r="J1210" s="141"/>
      <c r="K1210" s="141"/>
      <c r="L1210" s="141"/>
      <c r="M1210" s="141"/>
      <c r="N1210" s="140"/>
      <c r="O1210" s="140"/>
      <c r="P1210" s="140"/>
      <c r="Q1210" s="140"/>
      <c r="R1210" s="140"/>
      <c r="S1210" s="140"/>
      <c r="T1210" s="140"/>
    </row>
    <row r="1211" spans="1:20" ht="15" customHeight="1" x14ac:dyDescent="0.2">
      <c r="A1211" s="121"/>
      <c r="B1211" s="143" t="str">
        <f>IF(ISBLANK(A1211),"",IF(AND(ISNA(VLOOKUP(A1211,Interface_Platform!E:E,1,FALSE())),ISNA(VLOOKUP(A1211,D:D,1,FALSE()))),"N","Y"))</f>
        <v/>
      </c>
      <c r="C1211" s="48" t="s">
        <v>1991</v>
      </c>
      <c r="D1211" s="148" t="s">
        <v>193</v>
      </c>
      <c r="E1211" s="142">
        <v>1</v>
      </c>
      <c r="F1211" s="144" t="str">
        <f>IF(AND(ISNA(VLOOKUP(D1211,A:A,1,FALSE())),ISNA(VLOOKUP(D1211,BaseType!A:A,1,FALSE())),D1211&lt;&gt;"Struct"),"N","Y")</f>
        <v>Y</v>
      </c>
      <c r="G1211" s="147" t="s">
        <v>1982</v>
      </c>
      <c r="H1211" s="141"/>
      <c r="I1211" s="141"/>
      <c r="J1211" s="141"/>
      <c r="K1211" s="141"/>
      <c r="L1211" s="141"/>
      <c r="M1211" s="141"/>
      <c r="N1211" s="140"/>
      <c r="O1211" s="140"/>
      <c r="P1211" s="140"/>
      <c r="Q1211" s="140"/>
      <c r="R1211" s="140"/>
      <c r="S1211" s="140"/>
      <c r="T1211" s="140"/>
    </row>
    <row r="1212" spans="1:20" ht="15" customHeight="1" x14ac:dyDescent="0.2">
      <c r="A1212" s="121"/>
      <c r="B1212" s="143" t="str">
        <f>IF(ISBLANK(A1212),"",IF(AND(ISNA(VLOOKUP(A1212,Interface_Platform!E:E,1,FALSE())),ISNA(VLOOKUP(A1212,D:D,1,FALSE()))),"N","Y"))</f>
        <v/>
      </c>
      <c r="C1212" s="48" t="s">
        <v>1992</v>
      </c>
      <c r="D1212" s="148" t="s">
        <v>193</v>
      </c>
      <c r="E1212" s="142">
        <v>1</v>
      </c>
      <c r="F1212" s="144" t="str">
        <f>IF(AND(ISNA(VLOOKUP(D1212,A:A,1,FALSE())),ISNA(VLOOKUP(D1212,BaseType!A:A,1,FALSE())),D1212&lt;&gt;"Struct"),"N","Y")</f>
        <v>Y</v>
      </c>
      <c r="G1212" s="150" t="s">
        <v>1993</v>
      </c>
      <c r="H1212" s="141"/>
      <c r="I1212" s="141"/>
      <c r="J1212" s="141"/>
      <c r="K1212" s="141"/>
      <c r="L1212" s="141"/>
      <c r="M1212" s="141"/>
      <c r="N1212" s="140"/>
      <c r="O1212" s="140"/>
      <c r="P1212" s="140"/>
      <c r="Q1212" s="140"/>
      <c r="R1212" s="140"/>
      <c r="S1212" s="140"/>
      <c r="T1212" s="140"/>
    </row>
    <row r="1213" spans="1:20" ht="15" customHeight="1" x14ac:dyDescent="0.2">
      <c r="A1213" s="121"/>
      <c r="B1213" s="143" t="str">
        <f>IF(ISBLANK(A1213),"",IF(AND(ISNA(VLOOKUP(A1213,Interface_Platform!E:E,1,FALSE())),ISNA(VLOOKUP(A1213,D:D,1,FALSE()))),"N","Y"))</f>
        <v/>
      </c>
      <c r="C1213" s="48" t="s">
        <v>1994</v>
      </c>
      <c r="D1213" s="148" t="s">
        <v>193</v>
      </c>
      <c r="E1213" s="142">
        <v>1</v>
      </c>
      <c r="F1213" s="144" t="str">
        <f>IF(AND(ISNA(VLOOKUP(D1213,A:A,1,FALSE())),ISNA(VLOOKUP(D1213,BaseType!A:A,1,FALSE())),D1213&lt;&gt;"Struct"),"N","Y")</f>
        <v>Y</v>
      </c>
      <c r="G1213" s="150" t="s">
        <v>1993</v>
      </c>
      <c r="H1213" s="141"/>
      <c r="I1213" s="141"/>
      <c r="J1213" s="141"/>
      <c r="K1213" s="141"/>
      <c r="L1213" s="141"/>
      <c r="M1213" s="141"/>
      <c r="N1213" s="140"/>
      <c r="O1213" s="140"/>
      <c r="P1213" s="140"/>
      <c r="Q1213" s="140"/>
      <c r="R1213" s="140"/>
      <c r="S1213" s="140"/>
      <c r="T1213" s="140"/>
    </row>
    <row r="1214" spans="1:20" ht="15" customHeight="1" x14ac:dyDescent="0.2">
      <c r="A1214" s="121"/>
      <c r="B1214" s="143" t="str">
        <f>IF(ISBLANK(A1214),"",IF(AND(ISNA(VLOOKUP(A1214,Interface_Platform!E:E,1,FALSE())),ISNA(VLOOKUP(A1214,D:D,1,FALSE()))),"N","Y"))</f>
        <v/>
      </c>
      <c r="C1214" s="48" t="s">
        <v>1995</v>
      </c>
      <c r="D1214" s="148" t="s">
        <v>193</v>
      </c>
      <c r="E1214" s="142">
        <v>1</v>
      </c>
      <c r="F1214" s="144" t="str">
        <f>IF(AND(ISNA(VLOOKUP(D1214,A:A,1,FALSE())),ISNA(VLOOKUP(D1214,BaseType!A:A,1,FALSE())),D1214&lt;&gt;"Struct"),"N","Y")</f>
        <v>Y</v>
      </c>
      <c r="G1214" s="150" t="s">
        <v>1993</v>
      </c>
      <c r="H1214" s="141"/>
      <c r="I1214" s="141"/>
      <c r="J1214" s="141"/>
      <c r="K1214" s="141"/>
      <c r="L1214" s="141"/>
      <c r="M1214" s="141"/>
      <c r="N1214" s="140"/>
      <c r="O1214" s="140"/>
      <c r="P1214" s="140"/>
      <c r="Q1214" s="140"/>
      <c r="R1214" s="140"/>
      <c r="S1214" s="140"/>
      <c r="T1214" s="140"/>
    </row>
    <row r="1215" spans="1:20" ht="15" customHeight="1" x14ac:dyDescent="0.2">
      <c r="A1215" s="121"/>
      <c r="B1215" s="143" t="str">
        <f>IF(ISBLANK(A1215),"",IF(AND(ISNA(VLOOKUP(A1215,Interface_Platform!E:E,1,FALSE())),ISNA(VLOOKUP(A1215,D:D,1,FALSE()))),"N","Y"))</f>
        <v/>
      </c>
      <c r="C1215" s="48" t="s">
        <v>1996</v>
      </c>
      <c r="D1215" s="148" t="s">
        <v>193</v>
      </c>
      <c r="E1215" s="142">
        <v>1</v>
      </c>
      <c r="F1215" s="144" t="str">
        <f>IF(AND(ISNA(VLOOKUP(D1215,A:A,1,FALSE())),ISNA(VLOOKUP(D1215,BaseType!A:A,1,FALSE())),D1215&lt;&gt;"Struct"),"N","Y")</f>
        <v>Y</v>
      </c>
      <c r="G1215" s="150" t="s">
        <v>1997</v>
      </c>
      <c r="H1215" s="141"/>
      <c r="I1215" s="141"/>
      <c r="J1215" s="141"/>
      <c r="K1215" s="141"/>
      <c r="L1215" s="141"/>
      <c r="M1215" s="141"/>
      <c r="N1215" s="140"/>
      <c r="O1215" s="140"/>
      <c r="P1215" s="140"/>
      <c r="Q1215" s="140"/>
      <c r="R1215" s="140"/>
      <c r="S1215" s="140"/>
      <c r="T1215" s="140"/>
    </row>
    <row r="1216" spans="1:20" ht="15" customHeight="1" x14ac:dyDescent="0.2">
      <c r="A1216" s="121"/>
      <c r="B1216" s="143" t="str">
        <f>IF(ISBLANK(A1216),"",IF(AND(ISNA(VLOOKUP(A1216,Interface_Platform!E:E,1,FALSE())),ISNA(VLOOKUP(A1216,D:D,1,FALSE()))),"N","Y"))</f>
        <v/>
      </c>
      <c r="C1216" s="48" t="s">
        <v>1998</v>
      </c>
      <c r="D1216" s="148" t="s">
        <v>193</v>
      </c>
      <c r="E1216" s="142">
        <v>1</v>
      </c>
      <c r="F1216" s="144" t="str">
        <f>IF(AND(ISNA(VLOOKUP(D1216,A:A,1,FALSE())),ISNA(VLOOKUP(D1216,BaseType!A:A,1,FALSE())),D1216&lt;&gt;"Struct"),"N","Y")</f>
        <v>Y</v>
      </c>
      <c r="G1216" s="150" t="s">
        <v>1999</v>
      </c>
      <c r="H1216" s="141"/>
      <c r="I1216" s="141"/>
      <c r="J1216" s="141"/>
      <c r="K1216" s="141"/>
      <c r="L1216" s="141"/>
      <c r="M1216" s="141"/>
      <c r="N1216" s="140"/>
      <c r="O1216" s="140"/>
      <c r="P1216" s="140"/>
      <c r="Q1216" s="140"/>
      <c r="R1216" s="140"/>
      <c r="S1216" s="140"/>
      <c r="T1216" s="140"/>
    </row>
    <row r="1217" spans="1:20" ht="15" customHeight="1" x14ac:dyDescent="0.2">
      <c r="A1217" s="121"/>
      <c r="B1217" s="143" t="str">
        <f>IF(ISBLANK(A1217),"",IF(AND(ISNA(VLOOKUP(A1217,Interface_Platform!E:E,1,FALSE())),ISNA(VLOOKUP(A1217,D:D,1,FALSE()))),"N","Y"))</f>
        <v/>
      </c>
      <c r="C1217" s="48" t="s">
        <v>2000</v>
      </c>
      <c r="D1217" s="148" t="s">
        <v>193</v>
      </c>
      <c r="E1217" s="142">
        <v>1</v>
      </c>
      <c r="F1217" s="144" t="str">
        <f>IF(AND(ISNA(VLOOKUP(D1217,A:A,1,FALSE())),ISNA(VLOOKUP(D1217,BaseType!A:A,1,FALSE())),D1217&lt;&gt;"Struct"),"N","Y")</f>
        <v>Y</v>
      </c>
      <c r="G1217" s="150" t="s">
        <v>2001</v>
      </c>
      <c r="H1217" s="141"/>
      <c r="I1217" s="141"/>
      <c r="J1217" s="141"/>
      <c r="K1217" s="141"/>
      <c r="L1217" s="141"/>
      <c r="M1217" s="141"/>
      <c r="N1217" s="140"/>
      <c r="O1217" s="140"/>
      <c r="P1217" s="140"/>
      <c r="Q1217" s="140"/>
      <c r="R1217" s="140"/>
      <c r="S1217" s="140"/>
      <c r="T1217" s="140"/>
    </row>
    <row r="1218" spans="1:20" ht="15" customHeight="1" x14ac:dyDescent="0.2">
      <c r="A1218" s="121" t="s">
        <v>213</v>
      </c>
      <c r="B1218" s="143" t="str">
        <f>IF(ISBLANK(A1218),"",IF(AND(ISNA(VLOOKUP(A1218,Interface_Platform!E:E,1,FALSE())),ISNA(VLOOKUP(A1218,D:D,1,FALSE()))),"N","Y"))</f>
        <v>Y</v>
      </c>
      <c r="C1218" s="48"/>
      <c r="D1218" s="169" t="s">
        <v>484</v>
      </c>
      <c r="E1218" s="142"/>
      <c r="F1218" s="144" t="str">
        <f>IF(AND(ISNA(VLOOKUP(D1218,A:A,1,FALSE())),ISNA(VLOOKUP(D1218,BaseType!A:A,1,FALSE())),D1218&lt;&gt;"Struct"),"N","Y")</f>
        <v>Y</v>
      </c>
      <c r="G1218" s="146"/>
      <c r="H1218" s="141"/>
      <c r="I1218" s="141"/>
      <c r="J1218" s="141"/>
      <c r="K1218" s="141"/>
      <c r="L1218" s="141"/>
      <c r="M1218" s="141"/>
      <c r="N1218" s="140"/>
      <c r="O1218" s="140"/>
      <c r="P1218" s="140"/>
      <c r="Q1218" s="140"/>
      <c r="R1218" s="140"/>
      <c r="S1218" s="140"/>
      <c r="T1218" s="140"/>
    </row>
    <row r="1219" spans="1:20" ht="15" customHeight="1" x14ac:dyDescent="0.2">
      <c r="A1219" s="48"/>
      <c r="B1219" s="143"/>
      <c r="C1219" s="48" t="s">
        <v>2002</v>
      </c>
      <c r="D1219" s="48" t="s">
        <v>193</v>
      </c>
      <c r="E1219" s="154">
        <v>1</v>
      </c>
      <c r="F1219" s="144" t="str">
        <f>IF(AND(ISNA(VLOOKUP(D1219,A:A,1,FALSE())),ISNA(VLOOKUP(D1219,BaseType!A:A,1,FALSE())),D1219&lt;&gt;"Struct"),"N","Y")</f>
        <v>Y</v>
      </c>
      <c r="G1219" s="150" t="s">
        <v>2003</v>
      </c>
      <c r="H1219" s="141"/>
      <c r="I1219" s="141"/>
      <c r="J1219" s="141"/>
      <c r="K1219" s="141"/>
      <c r="L1219" s="141"/>
      <c r="M1219" s="141"/>
      <c r="N1219" s="54"/>
      <c r="O1219" s="54"/>
      <c r="P1219" s="54"/>
      <c r="Q1219" s="54"/>
      <c r="R1219" s="54"/>
      <c r="S1219" s="54"/>
      <c r="T1219" s="54"/>
    </row>
    <row r="1220" spans="1:20" ht="15" customHeight="1" x14ac:dyDescent="0.2">
      <c r="A1220" s="48"/>
      <c r="B1220" s="143"/>
      <c r="C1220" s="48" t="s">
        <v>2004</v>
      </c>
      <c r="D1220" s="48" t="s">
        <v>298</v>
      </c>
      <c r="E1220" s="154">
        <v>1</v>
      </c>
      <c r="F1220" s="144" t="str">
        <f>IF(AND(ISNA(VLOOKUP(D1220,A:A,1,FALSE())),ISNA(VLOOKUP(D1220,BaseType!A:A,1,FALSE())),D1220&lt;&gt;"Struct"),"N","Y")</f>
        <v>Y</v>
      </c>
      <c r="G1220" s="150"/>
      <c r="H1220" s="141"/>
      <c r="I1220" s="141"/>
      <c r="J1220" s="141"/>
      <c r="K1220" s="141"/>
      <c r="L1220" s="141"/>
      <c r="M1220" s="141"/>
      <c r="N1220" s="54"/>
      <c r="O1220" s="54"/>
      <c r="P1220" s="54"/>
      <c r="Q1220" s="54"/>
      <c r="R1220" s="54"/>
      <c r="S1220" s="54"/>
      <c r="T1220" s="54"/>
    </row>
    <row r="1221" spans="1:20" ht="15" customHeight="1" x14ac:dyDescent="0.2">
      <c r="A1221" s="48"/>
      <c r="B1221" s="143"/>
      <c r="C1221" s="48" t="s">
        <v>2005</v>
      </c>
      <c r="D1221" s="48" t="s">
        <v>193</v>
      </c>
      <c r="E1221" s="154">
        <v>1</v>
      </c>
      <c r="F1221" s="144" t="str">
        <f>IF(AND(ISNA(VLOOKUP(D1221,A:A,1,FALSE())),ISNA(VLOOKUP(D1221,BaseType!A:A,1,FALSE())),D1221&lt;&gt;"Struct"),"N","Y")</f>
        <v>Y</v>
      </c>
      <c r="G1221" s="150"/>
      <c r="H1221" s="141"/>
      <c r="I1221" s="141"/>
      <c r="J1221" s="141"/>
      <c r="K1221" s="141"/>
      <c r="L1221" s="141"/>
      <c r="M1221" s="141"/>
      <c r="N1221" s="54"/>
      <c r="O1221" s="54"/>
      <c r="P1221" s="54"/>
      <c r="Q1221" s="54"/>
      <c r="R1221" s="54"/>
      <c r="S1221" s="54"/>
      <c r="T1221" s="54"/>
    </row>
    <row r="1222" spans="1:20" ht="15" customHeight="1" x14ac:dyDescent="0.2">
      <c r="A1222" s="48"/>
      <c r="B1222" s="143"/>
      <c r="C1222" s="48" t="s">
        <v>2006</v>
      </c>
      <c r="D1222" s="48" t="s">
        <v>193</v>
      </c>
      <c r="E1222" s="154">
        <v>1</v>
      </c>
      <c r="F1222" s="144" t="str">
        <f>IF(AND(ISNA(VLOOKUP(D1222,A:A,1,FALSE())),ISNA(VLOOKUP(D1222,BaseType!A:A,1,FALSE())),D1222&lt;&gt;"Struct"),"N","Y")</f>
        <v>Y</v>
      </c>
      <c r="G1222" s="150" t="s">
        <v>2003</v>
      </c>
      <c r="H1222" s="141"/>
      <c r="I1222" s="141"/>
      <c r="J1222" s="141"/>
      <c r="K1222" s="141"/>
      <c r="L1222" s="141"/>
      <c r="M1222" s="141"/>
      <c r="N1222" s="54"/>
      <c r="O1222" s="54"/>
      <c r="P1222" s="54"/>
      <c r="Q1222" s="54"/>
      <c r="R1222" s="54"/>
      <c r="S1222" s="54"/>
      <c r="T1222" s="54"/>
    </row>
    <row r="1223" spans="1:20" ht="15" customHeight="1" x14ac:dyDescent="0.2">
      <c r="A1223" s="48"/>
      <c r="B1223" s="143"/>
      <c r="C1223" s="48" t="s">
        <v>1946</v>
      </c>
      <c r="D1223" s="48" t="s">
        <v>298</v>
      </c>
      <c r="E1223" s="154">
        <v>1</v>
      </c>
      <c r="F1223" s="144" t="str">
        <f>IF(AND(ISNA(VLOOKUP(D1223,A:A,1,FALSE())),ISNA(VLOOKUP(D1223,BaseType!A:A,1,FALSE())),D1223&lt;&gt;"Struct"),"N","Y")</f>
        <v>Y</v>
      </c>
      <c r="G1223" s="150"/>
      <c r="H1223" s="141"/>
      <c r="I1223" s="141"/>
      <c r="J1223" s="141"/>
      <c r="K1223" s="141"/>
      <c r="L1223" s="141"/>
      <c r="M1223" s="141"/>
      <c r="N1223" s="54"/>
      <c r="O1223" s="54"/>
      <c r="P1223" s="54"/>
      <c r="Q1223" s="54"/>
      <c r="R1223" s="54"/>
      <c r="S1223" s="54"/>
      <c r="T1223" s="54"/>
    </row>
    <row r="1224" spans="1:20" ht="15" customHeight="1" x14ac:dyDescent="0.2">
      <c r="A1224" s="48"/>
      <c r="B1224" s="143"/>
      <c r="C1224" s="48" t="s">
        <v>2007</v>
      </c>
      <c r="D1224" s="48" t="s">
        <v>225</v>
      </c>
      <c r="E1224" s="154">
        <v>1</v>
      </c>
      <c r="F1224" s="144" t="str">
        <f>IF(AND(ISNA(VLOOKUP(D1224,A:A,1,FALSE())),ISNA(VLOOKUP(D1224,BaseType!A:A,1,FALSE())),D1224&lt;&gt;"Struct"),"N","Y")</f>
        <v>Y</v>
      </c>
      <c r="G1224" s="150"/>
      <c r="H1224" s="141"/>
      <c r="I1224" s="141"/>
      <c r="J1224" s="141"/>
      <c r="K1224" s="141"/>
      <c r="L1224" s="141"/>
      <c r="M1224" s="141"/>
      <c r="N1224" s="54"/>
      <c r="O1224" s="54"/>
      <c r="P1224" s="54"/>
      <c r="Q1224" s="54"/>
      <c r="R1224" s="54"/>
      <c r="S1224" s="54"/>
      <c r="T1224" s="54"/>
    </row>
    <row r="1225" spans="1:20" ht="15" customHeight="1" x14ac:dyDescent="0.2">
      <c r="A1225" s="48"/>
      <c r="B1225" s="143"/>
      <c r="C1225" s="48" t="s">
        <v>2008</v>
      </c>
      <c r="D1225" s="48" t="s">
        <v>225</v>
      </c>
      <c r="E1225" s="154">
        <v>1</v>
      </c>
      <c r="F1225" s="144" t="str">
        <f>IF(AND(ISNA(VLOOKUP(D1225,A:A,1,FALSE())),ISNA(VLOOKUP(D1225,BaseType!A:A,1,FALSE())),D1225&lt;&gt;"Struct"),"N","Y")</f>
        <v>Y</v>
      </c>
      <c r="G1225" s="150"/>
      <c r="H1225" s="141"/>
      <c r="I1225" s="141"/>
      <c r="J1225" s="141"/>
      <c r="K1225" s="141"/>
      <c r="L1225" s="141"/>
      <c r="M1225" s="141"/>
      <c r="N1225" s="54"/>
      <c r="O1225" s="54"/>
      <c r="P1225" s="54"/>
      <c r="Q1225" s="54"/>
      <c r="R1225" s="54"/>
      <c r="S1225" s="54"/>
      <c r="T1225" s="54"/>
    </row>
    <row r="1226" spans="1:20" ht="15" customHeight="1" x14ac:dyDescent="0.2">
      <c r="A1226" s="48"/>
      <c r="B1226" s="143"/>
      <c r="C1226" s="48" t="s">
        <v>2009</v>
      </c>
      <c r="D1226" s="48" t="s">
        <v>225</v>
      </c>
      <c r="E1226" s="154">
        <v>1</v>
      </c>
      <c r="F1226" s="144" t="str">
        <f>IF(AND(ISNA(VLOOKUP(D1226,A:A,1,FALSE())),ISNA(VLOOKUP(D1226,BaseType!A:A,1,FALSE())),D1226&lt;&gt;"Struct"),"N","Y")</f>
        <v>Y</v>
      </c>
      <c r="G1226" s="150"/>
      <c r="H1226" s="141"/>
      <c r="I1226" s="141"/>
      <c r="J1226" s="141"/>
      <c r="K1226" s="141"/>
      <c r="L1226" s="141"/>
      <c r="M1226" s="141"/>
      <c r="N1226" s="54"/>
      <c r="O1226" s="54"/>
      <c r="P1226" s="54"/>
      <c r="Q1226" s="54"/>
      <c r="R1226" s="54"/>
      <c r="S1226" s="54"/>
      <c r="T1226" s="54"/>
    </row>
    <row r="1227" spans="1:20" ht="15" customHeight="1" x14ac:dyDescent="0.2">
      <c r="A1227" s="48"/>
      <c r="B1227" s="143"/>
      <c r="C1227" s="48" t="s">
        <v>2010</v>
      </c>
      <c r="D1227" s="48" t="s">
        <v>193</v>
      </c>
      <c r="E1227" s="154">
        <v>1</v>
      </c>
      <c r="F1227" s="144" t="str">
        <f>IF(AND(ISNA(VLOOKUP(D1227,A:A,1,FALSE())),ISNA(VLOOKUP(D1227,BaseType!A:A,1,FALSE())),D1227&lt;&gt;"Struct"),"N","Y")</f>
        <v>Y</v>
      </c>
      <c r="G1227" s="150"/>
      <c r="H1227" s="141"/>
      <c r="I1227" s="141"/>
      <c r="J1227" s="141"/>
      <c r="K1227" s="141"/>
      <c r="L1227" s="141"/>
      <c r="M1227" s="141"/>
      <c r="N1227" s="54"/>
      <c r="O1227" s="54"/>
      <c r="P1227" s="54"/>
      <c r="Q1227" s="54"/>
      <c r="R1227" s="54"/>
      <c r="S1227" s="54"/>
      <c r="T1227" s="54"/>
    </row>
    <row r="1228" spans="1:20" ht="15" customHeight="1" x14ac:dyDescent="0.2">
      <c r="A1228" s="48"/>
      <c r="B1228" s="143"/>
      <c r="C1228" s="48" t="s">
        <v>2011</v>
      </c>
      <c r="D1228" s="48" t="s">
        <v>193</v>
      </c>
      <c r="E1228" s="154">
        <v>1</v>
      </c>
      <c r="F1228" s="144" t="str">
        <f>IF(AND(ISNA(VLOOKUP(D1228,A:A,1,FALSE())),ISNA(VLOOKUP(D1228,BaseType!A:A,1,FALSE())),D1228&lt;&gt;"Struct"),"N","Y")</f>
        <v>Y</v>
      </c>
      <c r="G1228" s="150"/>
      <c r="H1228" s="141"/>
      <c r="I1228" s="141"/>
      <c r="J1228" s="141"/>
      <c r="K1228" s="141"/>
      <c r="L1228" s="141"/>
      <c r="M1228" s="141"/>
      <c r="N1228" s="54"/>
      <c r="O1228" s="54"/>
      <c r="P1228" s="54"/>
      <c r="Q1228" s="54"/>
      <c r="R1228" s="54"/>
      <c r="S1228" s="54"/>
      <c r="T1228" s="54"/>
    </row>
    <row r="1229" spans="1:20" ht="15" customHeight="1" x14ac:dyDescent="0.2">
      <c r="A1229" s="48"/>
      <c r="B1229" s="143"/>
      <c r="C1229" s="148" t="s">
        <v>1029</v>
      </c>
      <c r="D1229" s="48" t="s">
        <v>225</v>
      </c>
      <c r="E1229" s="154">
        <v>1</v>
      </c>
      <c r="F1229" s="144" t="str">
        <f>IF(AND(ISNA(VLOOKUP(D1229,A:A,1,FALSE())),ISNA(VLOOKUP(D1229,BaseType!A:A,1,FALSE())),D1229&lt;&gt;"Struct"),"N","Y")</f>
        <v>Y</v>
      </c>
      <c r="G1229" s="150"/>
      <c r="H1229" s="141"/>
      <c r="I1229" s="141"/>
      <c r="J1229" s="141"/>
      <c r="K1229" s="141"/>
      <c r="L1229" s="141"/>
      <c r="M1229" s="141"/>
      <c r="N1229" s="54"/>
      <c r="O1229" s="54"/>
      <c r="P1229" s="54"/>
      <c r="Q1229" s="54"/>
      <c r="R1229" s="54"/>
      <c r="S1229" s="54"/>
      <c r="T1229" s="54"/>
    </row>
    <row r="1230" spans="1:20" ht="15" customHeight="1" x14ac:dyDescent="0.2">
      <c r="A1230" s="48"/>
      <c r="B1230" s="143"/>
      <c r="C1230" s="148" t="s">
        <v>1030</v>
      </c>
      <c r="D1230" s="48" t="s">
        <v>225</v>
      </c>
      <c r="E1230" s="154">
        <v>1</v>
      </c>
      <c r="F1230" s="144" t="str">
        <f>IF(AND(ISNA(VLOOKUP(D1230,A:A,1,FALSE())),ISNA(VLOOKUP(D1230,BaseType!A:A,1,FALSE())),D1230&lt;&gt;"Struct"),"N","Y")</f>
        <v>Y</v>
      </c>
      <c r="G1230" s="150"/>
      <c r="H1230" s="141"/>
      <c r="I1230" s="141"/>
      <c r="J1230" s="141"/>
      <c r="K1230" s="141"/>
      <c r="L1230" s="141"/>
      <c r="M1230" s="141"/>
      <c r="N1230" s="54"/>
      <c r="O1230" s="54"/>
      <c r="P1230" s="54"/>
      <c r="Q1230" s="54"/>
      <c r="R1230" s="54"/>
      <c r="S1230" s="54"/>
      <c r="T1230" s="54"/>
    </row>
    <row r="1231" spans="1:20" ht="15" customHeight="1" x14ac:dyDescent="0.2">
      <c r="A1231" s="48"/>
      <c r="B1231" s="143"/>
      <c r="C1231" s="148" t="s">
        <v>2012</v>
      </c>
      <c r="D1231" s="48" t="s">
        <v>225</v>
      </c>
      <c r="E1231" s="154">
        <v>1</v>
      </c>
      <c r="F1231" s="144" t="str">
        <f>IF(AND(ISNA(VLOOKUP(D1231,A:A,1,FALSE())),ISNA(VLOOKUP(D1231,BaseType!A:A,1,FALSE())),D1231&lt;&gt;"Struct"),"N","Y")</f>
        <v>Y</v>
      </c>
      <c r="G1231" s="150"/>
      <c r="H1231" s="141"/>
      <c r="I1231" s="141"/>
      <c r="J1231" s="141"/>
      <c r="K1231" s="141"/>
      <c r="L1231" s="141"/>
      <c r="M1231" s="141"/>
      <c r="N1231" s="54"/>
      <c r="O1231" s="54"/>
      <c r="P1231" s="54"/>
      <c r="Q1231" s="54"/>
      <c r="R1231" s="54"/>
      <c r="S1231" s="54"/>
      <c r="T1231" s="54"/>
    </row>
    <row r="1232" spans="1:20" ht="15" customHeight="1" x14ac:dyDescent="0.2">
      <c r="A1232" s="48"/>
      <c r="B1232" s="143"/>
      <c r="C1232" s="148" t="s">
        <v>2013</v>
      </c>
      <c r="D1232" s="48" t="s">
        <v>225</v>
      </c>
      <c r="E1232" s="154">
        <v>1</v>
      </c>
      <c r="F1232" s="144" t="str">
        <f>IF(AND(ISNA(VLOOKUP(D1232,A:A,1,FALSE())),ISNA(VLOOKUP(D1232,BaseType!A:A,1,FALSE())),D1232&lt;&gt;"Struct"),"N","Y")</f>
        <v>Y</v>
      </c>
      <c r="G1232" s="150"/>
      <c r="H1232" s="141"/>
      <c r="I1232" s="141"/>
      <c r="J1232" s="141"/>
      <c r="K1232" s="141"/>
      <c r="L1232" s="141"/>
      <c r="M1232" s="141"/>
      <c r="N1232" s="54"/>
      <c r="O1232" s="54"/>
      <c r="P1232" s="54"/>
      <c r="Q1232" s="54"/>
      <c r="R1232" s="54"/>
      <c r="S1232" s="54"/>
      <c r="T1232" s="54"/>
    </row>
    <row r="1233" spans="1:20" ht="15" customHeight="1" x14ac:dyDescent="0.2">
      <c r="A1233" s="48"/>
      <c r="B1233" s="143"/>
      <c r="C1233" s="148" t="s">
        <v>2014</v>
      </c>
      <c r="D1233" s="48" t="s">
        <v>225</v>
      </c>
      <c r="E1233" s="154">
        <v>1</v>
      </c>
      <c r="F1233" s="144" t="str">
        <f>IF(AND(ISNA(VLOOKUP(D1233,A:A,1,FALSE())),ISNA(VLOOKUP(D1233,BaseType!A:A,1,FALSE())),D1233&lt;&gt;"Struct"),"N","Y")</f>
        <v>Y</v>
      </c>
      <c r="G1233" s="150"/>
      <c r="H1233" s="141"/>
      <c r="I1233" s="141"/>
      <c r="J1233" s="141"/>
      <c r="K1233" s="141"/>
      <c r="L1233" s="141"/>
      <c r="M1233" s="141"/>
      <c r="N1233" s="54"/>
      <c r="O1233" s="54"/>
      <c r="P1233" s="54"/>
      <c r="Q1233" s="54"/>
      <c r="R1233" s="54"/>
      <c r="S1233" s="54"/>
      <c r="T1233" s="54"/>
    </row>
    <row r="1234" spans="1:20" ht="15" customHeight="1" x14ac:dyDescent="0.2">
      <c r="A1234" s="48"/>
      <c r="B1234" s="143"/>
      <c r="C1234" s="148" t="s">
        <v>1034</v>
      </c>
      <c r="D1234" s="48" t="s">
        <v>225</v>
      </c>
      <c r="E1234" s="154">
        <v>1</v>
      </c>
      <c r="F1234" s="144" t="str">
        <f>IF(AND(ISNA(VLOOKUP(D1234,A:A,1,FALSE())),ISNA(VLOOKUP(D1234,BaseType!A:A,1,FALSE())),D1234&lt;&gt;"Struct"),"N","Y")</f>
        <v>Y</v>
      </c>
      <c r="G1234" s="150"/>
      <c r="H1234" s="141"/>
      <c r="I1234" s="141"/>
      <c r="J1234" s="141"/>
      <c r="K1234" s="141"/>
      <c r="L1234" s="141"/>
      <c r="M1234" s="141"/>
      <c r="N1234" s="54"/>
      <c r="O1234" s="54"/>
      <c r="P1234" s="54"/>
      <c r="Q1234" s="54"/>
      <c r="R1234" s="54"/>
      <c r="S1234" s="54"/>
      <c r="T1234" s="54"/>
    </row>
    <row r="1235" spans="1:20" ht="15" customHeight="1" x14ac:dyDescent="0.2">
      <c r="A1235" s="48"/>
      <c r="B1235" s="143"/>
      <c r="C1235" s="148" t="s">
        <v>1036</v>
      </c>
      <c r="D1235" s="48" t="s">
        <v>225</v>
      </c>
      <c r="E1235" s="154">
        <v>1</v>
      </c>
      <c r="F1235" s="144" t="str">
        <f>IF(AND(ISNA(VLOOKUP(D1235,A:A,1,FALSE())),ISNA(VLOOKUP(D1235,BaseType!A:A,1,FALSE())),D1235&lt;&gt;"Struct"),"N","Y")</f>
        <v>Y</v>
      </c>
      <c r="G1235" s="150"/>
      <c r="H1235" s="141"/>
      <c r="I1235" s="141"/>
      <c r="J1235" s="141"/>
      <c r="K1235" s="141"/>
      <c r="L1235" s="141"/>
      <c r="M1235" s="141"/>
      <c r="N1235" s="54"/>
      <c r="O1235" s="54"/>
      <c r="P1235" s="54"/>
      <c r="Q1235" s="54"/>
      <c r="R1235" s="54"/>
      <c r="S1235" s="54"/>
      <c r="T1235" s="54"/>
    </row>
    <row r="1236" spans="1:20" ht="15" customHeight="1" x14ac:dyDescent="0.2">
      <c r="A1236" s="48"/>
      <c r="B1236" s="143"/>
      <c r="C1236" s="149" t="s">
        <v>1038</v>
      </c>
      <c r="D1236" s="48" t="s">
        <v>225</v>
      </c>
      <c r="E1236" s="154">
        <v>1</v>
      </c>
      <c r="F1236" s="144" t="str">
        <f>IF(AND(ISNA(VLOOKUP(D1236,A:A,1,FALSE())),ISNA(VLOOKUP(D1236,BaseType!A:A,1,FALSE())),D1236&lt;&gt;"Struct"),"N","Y")</f>
        <v>Y</v>
      </c>
      <c r="G1236" s="150"/>
      <c r="H1236" s="141"/>
      <c r="I1236" s="141"/>
      <c r="J1236" s="141"/>
      <c r="K1236" s="141"/>
      <c r="L1236" s="141"/>
      <c r="M1236" s="141"/>
      <c r="N1236" s="54"/>
      <c r="O1236" s="54"/>
      <c r="P1236" s="54"/>
      <c r="Q1236" s="54"/>
      <c r="R1236" s="54"/>
      <c r="S1236" s="54"/>
      <c r="T1236" s="54"/>
    </row>
    <row r="1237" spans="1:20" ht="15" customHeight="1" x14ac:dyDescent="0.2">
      <c r="A1237" s="48"/>
      <c r="B1237" s="143"/>
      <c r="C1237" s="148" t="s">
        <v>1039</v>
      </c>
      <c r="D1237" s="48" t="s">
        <v>225</v>
      </c>
      <c r="E1237" s="154">
        <v>1</v>
      </c>
      <c r="F1237" s="144" t="str">
        <f>IF(AND(ISNA(VLOOKUP(D1237,A:A,1,FALSE())),ISNA(VLOOKUP(D1237,BaseType!A:A,1,FALSE())),D1237&lt;&gt;"Struct"),"N","Y")</f>
        <v>Y</v>
      </c>
      <c r="G1237" s="150"/>
      <c r="H1237" s="141"/>
      <c r="I1237" s="141"/>
      <c r="J1237" s="141"/>
      <c r="K1237" s="141"/>
      <c r="L1237" s="141"/>
      <c r="M1237" s="141"/>
      <c r="N1237" s="54"/>
      <c r="O1237" s="54"/>
      <c r="P1237" s="54"/>
      <c r="Q1237" s="54"/>
      <c r="R1237" s="54"/>
      <c r="S1237" s="54"/>
      <c r="T1237" s="54"/>
    </row>
    <row r="1238" spans="1:20" ht="15" customHeight="1" x14ac:dyDescent="0.2">
      <c r="A1238" s="48"/>
      <c r="B1238" s="143"/>
      <c r="C1238" s="148" t="s">
        <v>2015</v>
      </c>
      <c r="D1238" s="48" t="s">
        <v>225</v>
      </c>
      <c r="E1238" s="154">
        <v>1</v>
      </c>
      <c r="F1238" s="144" t="str">
        <f>IF(AND(ISNA(VLOOKUP(D1238,A:A,1,FALSE())),ISNA(VLOOKUP(D1238,BaseType!A:A,1,FALSE())),D1238&lt;&gt;"Struct"),"N","Y")</f>
        <v>Y</v>
      </c>
      <c r="G1238" s="150"/>
      <c r="H1238" s="141"/>
      <c r="I1238" s="141"/>
      <c r="J1238" s="141"/>
      <c r="K1238" s="141"/>
      <c r="L1238" s="141"/>
      <c r="M1238" s="141"/>
      <c r="N1238" s="54"/>
      <c r="O1238" s="54"/>
      <c r="P1238" s="54"/>
      <c r="Q1238" s="54"/>
      <c r="R1238" s="54"/>
      <c r="S1238" s="54"/>
      <c r="T1238" s="54"/>
    </row>
    <row r="1239" spans="1:20" ht="15" customHeight="1" x14ac:dyDescent="0.2">
      <c r="A1239" s="48"/>
      <c r="B1239" s="143"/>
      <c r="C1239" s="148" t="s">
        <v>2016</v>
      </c>
      <c r="D1239" s="48" t="s">
        <v>225</v>
      </c>
      <c r="E1239" s="154">
        <v>1</v>
      </c>
      <c r="F1239" s="144" t="str">
        <f>IF(AND(ISNA(VLOOKUP(D1239,A:A,1,FALSE())),ISNA(VLOOKUP(D1239,BaseType!A:A,1,FALSE())),D1239&lt;&gt;"Struct"),"N","Y")</f>
        <v>Y</v>
      </c>
      <c r="G1239" s="150"/>
      <c r="H1239" s="141"/>
      <c r="I1239" s="141"/>
      <c r="J1239" s="141"/>
      <c r="K1239" s="141"/>
      <c r="L1239" s="141"/>
      <c r="M1239" s="141"/>
      <c r="N1239" s="54"/>
      <c r="O1239" s="54"/>
      <c r="P1239" s="54"/>
      <c r="Q1239" s="54"/>
      <c r="R1239" s="54"/>
      <c r="S1239" s="54"/>
      <c r="T1239" s="54"/>
    </row>
    <row r="1240" spans="1:20" ht="15" customHeight="1" x14ac:dyDescent="0.2">
      <c r="A1240" s="48"/>
      <c r="B1240" s="143"/>
      <c r="C1240" s="148" t="s">
        <v>2017</v>
      </c>
      <c r="D1240" s="48" t="s">
        <v>225</v>
      </c>
      <c r="E1240" s="154">
        <v>1</v>
      </c>
      <c r="F1240" s="144" t="str">
        <f>IF(AND(ISNA(VLOOKUP(D1240,A:A,1,FALSE())),ISNA(VLOOKUP(D1240,BaseType!A:A,1,FALSE())),D1240&lt;&gt;"Struct"),"N","Y")</f>
        <v>Y</v>
      </c>
      <c r="G1240" s="150"/>
      <c r="H1240" s="141"/>
      <c r="I1240" s="141"/>
      <c r="J1240" s="141"/>
      <c r="K1240" s="141"/>
      <c r="L1240" s="141"/>
      <c r="M1240" s="141"/>
      <c r="N1240" s="54"/>
      <c r="O1240" s="54"/>
      <c r="P1240" s="54"/>
      <c r="Q1240" s="54"/>
      <c r="R1240" s="54"/>
      <c r="S1240" s="54"/>
      <c r="T1240" s="54"/>
    </row>
    <row r="1241" spans="1:20" ht="15" customHeight="1" x14ac:dyDescent="0.2">
      <c r="A1241" s="48"/>
      <c r="B1241" s="143"/>
      <c r="C1241" s="148" t="s">
        <v>2018</v>
      </c>
      <c r="D1241" s="48" t="s">
        <v>293</v>
      </c>
      <c r="E1241" s="154">
        <v>1</v>
      </c>
      <c r="F1241" s="144" t="str">
        <f>IF(AND(ISNA(VLOOKUP(D1241,A:A,1,FALSE())),ISNA(VLOOKUP(D1241,BaseType!A:A,1,FALSE())),D1241&lt;&gt;"Struct"),"N","Y")</f>
        <v>Y</v>
      </c>
      <c r="G1241" s="150"/>
      <c r="H1241" s="141"/>
      <c r="I1241" s="141"/>
      <c r="J1241" s="141"/>
      <c r="K1241" s="141"/>
      <c r="L1241" s="141"/>
      <c r="M1241" s="141"/>
      <c r="N1241" s="54"/>
      <c r="O1241" s="54"/>
      <c r="P1241" s="54"/>
      <c r="Q1241" s="54"/>
      <c r="R1241" s="54"/>
      <c r="S1241" s="54"/>
      <c r="T1241" s="54"/>
    </row>
    <row r="1242" spans="1:20" ht="15" customHeight="1" x14ac:dyDescent="0.2">
      <c r="A1242" s="48"/>
      <c r="B1242" s="143"/>
      <c r="C1242" s="148" t="s">
        <v>2019</v>
      </c>
      <c r="D1242" s="48" t="s">
        <v>293</v>
      </c>
      <c r="E1242" s="154">
        <v>1</v>
      </c>
      <c r="F1242" s="144" t="str">
        <f>IF(AND(ISNA(VLOOKUP(D1242,A:A,1,FALSE())),ISNA(VLOOKUP(D1242,BaseType!A:A,1,FALSE())),D1242&lt;&gt;"Struct"),"N","Y")</f>
        <v>Y</v>
      </c>
      <c r="G1242" s="150"/>
      <c r="H1242" s="141"/>
      <c r="I1242" s="141"/>
      <c r="J1242" s="141"/>
      <c r="K1242" s="141"/>
      <c r="L1242" s="141"/>
      <c r="M1242" s="141"/>
      <c r="N1242" s="54"/>
      <c r="O1242" s="54"/>
      <c r="P1242" s="54"/>
      <c r="Q1242" s="54"/>
      <c r="R1242" s="54"/>
      <c r="S1242" s="54"/>
      <c r="T1242" s="54"/>
    </row>
    <row r="1243" spans="1:20" ht="15" customHeight="1" x14ac:dyDescent="0.2">
      <c r="A1243" s="48"/>
      <c r="B1243" s="143"/>
      <c r="C1243" s="148" t="s">
        <v>2020</v>
      </c>
      <c r="D1243" s="48" t="s">
        <v>225</v>
      </c>
      <c r="E1243" s="154">
        <v>1</v>
      </c>
      <c r="F1243" s="144" t="str">
        <f>IF(AND(ISNA(VLOOKUP(D1243,A:A,1,FALSE())),ISNA(VLOOKUP(D1243,BaseType!A:A,1,FALSE())),D1243&lt;&gt;"Struct"),"N","Y")</f>
        <v>Y</v>
      </c>
      <c r="G1243" s="150"/>
      <c r="H1243" s="141"/>
      <c r="I1243" s="141"/>
      <c r="J1243" s="141"/>
      <c r="K1243" s="141"/>
      <c r="L1243" s="141"/>
      <c r="M1243" s="141"/>
      <c r="N1243" s="54"/>
      <c r="O1243" s="54"/>
      <c r="P1243" s="54"/>
      <c r="Q1243" s="54"/>
      <c r="R1243" s="54"/>
      <c r="S1243" s="54"/>
      <c r="T1243" s="54"/>
    </row>
    <row r="1244" spans="1:20" ht="15" customHeight="1" x14ac:dyDescent="0.2">
      <c r="A1244" s="48"/>
      <c r="B1244" s="143"/>
      <c r="C1244" s="148" t="s">
        <v>2021</v>
      </c>
      <c r="D1244" s="48" t="s">
        <v>225</v>
      </c>
      <c r="E1244" s="154">
        <v>1</v>
      </c>
      <c r="F1244" s="144" t="str">
        <f>IF(AND(ISNA(VLOOKUP(D1244,A:A,1,FALSE())),ISNA(VLOOKUP(D1244,BaseType!A:A,1,FALSE())),D1244&lt;&gt;"Struct"),"N","Y")</f>
        <v>Y</v>
      </c>
      <c r="G1244" s="150"/>
      <c r="H1244" s="141"/>
      <c r="I1244" s="141"/>
      <c r="J1244" s="141"/>
      <c r="K1244" s="141"/>
      <c r="L1244" s="141"/>
      <c r="M1244" s="141"/>
      <c r="N1244" s="54"/>
      <c r="O1244" s="54"/>
      <c r="P1244" s="54"/>
      <c r="Q1244" s="54"/>
      <c r="R1244" s="54"/>
      <c r="S1244" s="54"/>
      <c r="T1244" s="54"/>
    </row>
    <row r="1245" spans="1:20" ht="15" customHeight="1" x14ac:dyDescent="0.2">
      <c r="A1245" s="48"/>
      <c r="B1245" s="143"/>
      <c r="C1245" s="148" t="s">
        <v>2022</v>
      </c>
      <c r="D1245" s="48" t="s">
        <v>225</v>
      </c>
      <c r="E1245" s="154">
        <v>1</v>
      </c>
      <c r="F1245" s="144" t="str">
        <f>IF(AND(ISNA(VLOOKUP(D1245,A:A,1,FALSE())),ISNA(VLOOKUP(D1245,BaseType!A:A,1,FALSE())),D1245&lt;&gt;"Struct"),"N","Y")</f>
        <v>Y</v>
      </c>
      <c r="G1245" s="150"/>
      <c r="H1245" s="141"/>
      <c r="I1245" s="141"/>
      <c r="J1245" s="141"/>
      <c r="K1245" s="141"/>
      <c r="L1245" s="141"/>
      <c r="M1245" s="141"/>
      <c r="N1245" s="54"/>
      <c r="O1245" s="54"/>
      <c r="P1245" s="54"/>
      <c r="Q1245" s="54"/>
      <c r="R1245" s="54"/>
      <c r="S1245" s="54"/>
      <c r="T1245" s="54"/>
    </row>
    <row r="1246" spans="1:20" ht="15" customHeight="1" x14ac:dyDescent="0.2">
      <c r="A1246" s="48"/>
      <c r="B1246" s="148"/>
      <c r="C1246" s="148" t="s">
        <v>2023</v>
      </c>
      <c r="D1246" s="48" t="s">
        <v>225</v>
      </c>
      <c r="E1246" s="154">
        <v>1</v>
      </c>
      <c r="F1246" s="144" t="str">
        <f>IF(AND(ISNA(VLOOKUP(D1246,A:A,1,FALSE())),ISNA(VLOOKUP(D1246,BaseType!A:A,1,FALSE())),D1246&lt;&gt;"Struct"),"N","Y")</f>
        <v>Y</v>
      </c>
      <c r="G1246" s="150"/>
      <c r="H1246" s="141"/>
      <c r="I1246" s="141"/>
      <c r="J1246" s="141"/>
      <c r="K1246" s="141"/>
      <c r="L1246" s="141"/>
      <c r="M1246" s="141"/>
      <c r="N1246" s="54"/>
      <c r="O1246" s="54"/>
      <c r="P1246" s="54"/>
      <c r="Q1246" s="54"/>
      <c r="R1246" s="54"/>
      <c r="S1246" s="54"/>
      <c r="T1246" s="54"/>
    </row>
    <row r="1247" spans="1:20" ht="15" customHeight="1" x14ac:dyDescent="0.2">
      <c r="A1247" s="48"/>
      <c r="B1247" s="148"/>
      <c r="C1247" s="148" t="s">
        <v>2024</v>
      </c>
      <c r="D1247" s="48" t="s">
        <v>225</v>
      </c>
      <c r="E1247" s="154">
        <v>1</v>
      </c>
      <c r="F1247" s="144" t="str">
        <f>IF(AND(ISNA(VLOOKUP(D1247,A:A,1,FALSE())),ISNA(VLOOKUP(D1247,BaseType!A:A,1,FALSE())),D1247&lt;&gt;"Struct"),"N","Y")</f>
        <v>Y</v>
      </c>
      <c r="G1247" s="150"/>
      <c r="H1247" s="141"/>
      <c r="I1247" s="141"/>
      <c r="J1247" s="141"/>
      <c r="K1247" s="141"/>
      <c r="L1247" s="141"/>
      <c r="M1247" s="141"/>
      <c r="N1247" s="54"/>
      <c r="O1247" s="54"/>
      <c r="P1247" s="54"/>
      <c r="Q1247" s="54"/>
      <c r="R1247" s="54"/>
      <c r="S1247" s="54"/>
      <c r="T1247" s="54"/>
    </row>
    <row r="1248" spans="1:20" ht="15" customHeight="1" x14ac:dyDescent="0.2">
      <c r="A1248" s="48"/>
      <c r="B1248" s="148"/>
      <c r="C1248" s="148" t="s">
        <v>2025</v>
      </c>
      <c r="D1248" s="48" t="s">
        <v>225</v>
      </c>
      <c r="E1248" s="154">
        <v>1</v>
      </c>
      <c r="F1248" s="144" t="str">
        <f>IF(AND(ISNA(VLOOKUP(D1248,A:A,1,FALSE())),ISNA(VLOOKUP(D1248,BaseType!A:A,1,FALSE())),D1248&lt;&gt;"Struct"),"N","Y")</f>
        <v>Y</v>
      </c>
      <c r="G1248" s="150"/>
      <c r="H1248" s="141"/>
      <c r="I1248" s="141"/>
      <c r="J1248" s="141"/>
      <c r="K1248" s="141"/>
      <c r="L1248" s="141"/>
      <c r="M1248" s="141"/>
      <c r="N1248" s="54"/>
      <c r="O1248" s="54"/>
      <c r="P1248" s="54"/>
      <c r="Q1248" s="54"/>
      <c r="R1248" s="54"/>
      <c r="S1248" s="54"/>
      <c r="T1248" s="54"/>
    </row>
    <row r="1249" spans="1:20" ht="15" customHeight="1" x14ac:dyDescent="0.2">
      <c r="A1249" s="48"/>
      <c r="B1249" s="148"/>
      <c r="C1249" s="148" t="s">
        <v>2026</v>
      </c>
      <c r="D1249" s="48" t="s">
        <v>225</v>
      </c>
      <c r="E1249" s="154">
        <v>1</v>
      </c>
      <c r="F1249" s="144" t="str">
        <f>IF(AND(ISNA(VLOOKUP(D1249,A:A,1,FALSE())),ISNA(VLOOKUP(D1249,BaseType!A:A,1,FALSE())),D1249&lt;&gt;"Struct"),"N","Y")</f>
        <v>Y</v>
      </c>
      <c r="G1249" s="150"/>
      <c r="H1249" s="141"/>
      <c r="I1249" s="141"/>
      <c r="J1249" s="141"/>
      <c r="K1249" s="141"/>
      <c r="L1249" s="141"/>
      <c r="M1249" s="141"/>
      <c r="N1249" s="54"/>
      <c r="O1249" s="54"/>
      <c r="P1249" s="54"/>
      <c r="Q1249" s="54"/>
      <c r="R1249" s="54"/>
      <c r="S1249" s="54"/>
      <c r="T1249" s="54"/>
    </row>
    <row r="1250" spans="1:20" ht="15" customHeight="1" x14ac:dyDescent="0.2">
      <c r="A1250" s="48"/>
      <c r="B1250" s="148"/>
      <c r="C1250" s="148" t="s">
        <v>2027</v>
      </c>
      <c r="D1250" s="48" t="s">
        <v>225</v>
      </c>
      <c r="E1250" s="154">
        <v>1</v>
      </c>
      <c r="F1250" s="144" t="str">
        <f>IF(AND(ISNA(VLOOKUP(D1250,A:A,1,FALSE())),ISNA(VLOOKUP(D1250,BaseType!A:A,1,FALSE())),D1250&lt;&gt;"Struct"),"N","Y")</f>
        <v>Y</v>
      </c>
      <c r="G1250" s="150"/>
      <c r="H1250" s="141"/>
      <c r="I1250" s="141"/>
      <c r="J1250" s="141"/>
      <c r="K1250" s="141"/>
      <c r="L1250" s="141"/>
      <c r="M1250" s="141"/>
      <c r="N1250" s="54"/>
      <c r="O1250" s="54"/>
      <c r="P1250" s="54"/>
      <c r="Q1250" s="54"/>
      <c r="R1250" s="54"/>
      <c r="S1250" s="54"/>
      <c r="T1250" s="54"/>
    </row>
    <row r="1251" spans="1:20" ht="15" customHeight="1" x14ac:dyDescent="0.2">
      <c r="A1251" s="48"/>
      <c r="B1251" s="148"/>
      <c r="C1251" s="148" t="s">
        <v>2028</v>
      </c>
      <c r="D1251" s="48" t="s">
        <v>225</v>
      </c>
      <c r="E1251" s="154">
        <v>1</v>
      </c>
      <c r="F1251" s="144" t="str">
        <f>IF(AND(ISNA(VLOOKUP(D1251,A:A,1,FALSE())),ISNA(VLOOKUP(D1251,BaseType!A:A,1,FALSE())),D1251&lt;&gt;"Struct"),"N","Y")</f>
        <v>Y</v>
      </c>
      <c r="G1251" s="150"/>
      <c r="H1251" s="141"/>
      <c r="I1251" s="141"/>
      <c r="J1251" s="141"/>
      <c r="K1251" s="141"/>
      <c r="L1251" s="141"/>
      <c r="M1251" s="141"/>
      <c r="N1251" s="54"/>
      <c r="O1251" s="54"/>
      <c r="P1251" s="54"/>
      <c r="Q1251" s="54"/>
      <c r="R1251" s="54"/>
      <c r="S1251" s="54"/>
      <c r="T1251" s="54"/>
    </row>
    <row r="1252" spans="1:20" ht="15" customHeight="1" x14ac:dyDescent="0.2">
      <c r="A1252" s="48"/>
      <c r="B1252" s="148"/>
      <c r="C1252" s="148" t="s">
        <v>2016</v>
      </c>
      <c r="D1252" s="48" t="s">
        <v>225</v>
      </c>
      <c r="E1252" s="154">
        <v>1</v>
      </c>
      <c r="F1252" s="144" t="str">
        <f>IF(AND(ISNA(VLOOKUP(D1252,A:A,1,FALSE())),ISNA(VLOOKUP(D1252,BaseType!A:A,1,FALSE())),D1252&lt;&gt;"Struct"),"N","Y")</f>
        <v>Y</v>
      </c>
      <c r="G1252" s="150"/>
      <c r="H1252" s="141"/>
      <c r="I1252" s="141"/>
      <c r="J1252" s="141"/>
      <c r="K1252" s="141"/>
      <c r="L1252" s="141"/>
      <c r="M1252" s="141"/>
      <c r="N1252" s="54"/>
      <c r="O1252" s="54"/>
      <c r="P1252" s="54"/>
      <c r="Q1252" s="54"/>
      <c r="R1252" s="54"/>
      <c r="S1252" s="54"/>
      <c r="T1252" s="54"/>
    </row>
    <row r="1253" spans="1:20" ht="15" customHeight="1" x14ac:dyDescent="0.2">
      <c r="A1253" s="48"/>
      <c r="B1253" s="148"/>
      <c r="C1253" s="148" t="s">
        <v>2022</v>
      </c>
      <c r="D1253" s="48" t="s">
        <v>225</v>
      </c>
      <c r="E1253" s="154">
        <v>1</v>
      </c>
      <c r="F1253" s="144" t="str">
        <f>IF(AND(ISNA(VLOOKUP(D1253,A:A,1,FALSE())),ISNA(VLOOKUP(D1253,BaseType!A:A,1,FALSE())),D1253&lt;&gt;"Struct"),"N","Y")</f>
        <v>Y</v>
      </c>
      <c r="G1253" s="150"/>
      <c r="H1253" s="141"/>
      <c r="I1253" s="141"/>
      <c r="J1253" s="141"/>
      <c r="K1253" s="141"/>
      <c r="L1253" s="141"/>
      <c r="M1253" s="141"/>
      <c r="N1253" s="54"/>
      <c r="O1253" s="54"/>
      <c r="P1253" s="54"/>
      <c r="Q1253" s="54"/>
      <c r="R1253" s="54"/>
      <c r="S1253" s="54"/>
      <c r="T1253" s="54"/>
    </row>
    <row r="1254" spans="1:20" ht="15" customHeight="1" x14ac:dyDescent="0.2">
      <c r="A1254" s="48"/>
      <c r="B1254" s="148"/>
      <c r="C1254" s="148" t="s">
        <v>2029</v>
      </c>
      <c r="D1254" s="48" t="s">
        <v>225</v>
      </c>
      <c r="E1254" s="154">
        <v>1</v>
      </c>
      <c r="F1254" s="144" t="str">
        <f>IF(AND(ISNA(VLOOKUP(D1254,A:A,1,FALSE())),ISNA(VLOOKUP(D1254,BaseType!A:A,1,FALSE())),D1254&lt;&gt;"Struct"),"N","Y")</f>
        <v>Y</v>
      </c>
      <c r="G1254" s="150"/>
      <c r="H1254" s="141"/>
      <c r="I1254" s="141"/>
      <c r="J1254" s="141"/>
      <c r="K1254" s="141"/>
      <c r="L1254" s="141"/>
      <c r="M1254" s="141"/>
      <c r="N1254" s="54"/>
      <c r="O1254" s="54"/>
      <c r="P1254" s="54"/>
      <c r="Q1254" s="54"/>
      <c r="R1254" s="54"/>
      <c r="S1254" s="54"/>
      <c r="T1254" s="54"/>
    </row>
    <row r="1255" spans="1:20" ht="15" customHeight="1" x14ac:dyDescent="0.2">
      <c r="A1255" s="48"/>
      <c r="B1255" s="148"/>
      <c r="C1255" s="148" t="s">
        <v>2030</v>
      </c>
      <c r="D1255" s="48" t="s">
        <v>225</v>
      </c>
      <c r="E1255" s="154">
        <v>1</v>
      </c>
      <c r="F1255" s="144" t="str">
        <f>IF(AND(ISNA(VLOOKUP(D1255,A:A,1,FALSE())),ISNA(VLOOKUP(D1255,BaseType!A:A,1,FALSE())),D1255&lt;&gt;"Struct"),"N","Y")</f>
        <v>Y</v>
      </c>
      <c r="G1255" s="150"/>
      <c r="H1255" s="141"/>
      <c r="I1255" s="141"/>
      <c r="J1255" s="141"/>
      <c r="K1255" s="141"/>
      <c r="L1255" s="141"/>
      <c r="M1255" s="141"/>
      <c r="N1255" s="54"/>
      <c r="O1255" s="54"/>
      <c r="P1255" s="54"/>
      <c r="Q1255" s="54"/>
      <c r="R1255" s="54"/>
      <c r="S1255" s="54"/>
      <c r="T1255" s="54"/>
    </row>
    <row r="1256" spans="1:20" ht="15" customHeight="1" x14ac:dyDescent="0.2">
      <c r="A1256" s="48"/>
      <c r="B1256" s="148"/>
      <c r="C1256" s="148" t="s">
        <v>2031</v>
      </c>
      <c r="D1256" s="48" t="s">
        <v>225</v>
      </c>
      <c r="E1256" s="154">
        <v>1</v>
      </c>
      <c r="F1256" s="144" t="str">
        <f>IF(AND(ISNA(VLOOKUP(D1256,A:A,1,FALSE())),ISNA(VLOOKUP(D1256,BaseType!A:A,1,FALSE())),D1256&lt;&gt;"Struct"),"N","Y")</f>
        <v>Y</v>
      </c>
      <c r="G1256" s="150"/>
      <c r="H1256" s="141"/>
      <c r="I1256" s="141"/>
      <c r="J1256" s="141"/>
      <c r="K1256" s="141"/>
      <c r="L1256" s="141"/>
      <c r="M1256" s="141"/>
      <c r="N1256" s="54"/>
      <c r="O1256" s="54"/>
      <c r="P1256" s="54"/>
      <c r="Q1256" s="54"/>
      <c r="R1256" s="54"/>
      <c r="S1256" s="54"/>
      <c r="T1256" s="54"/>
    </row>
    <row r="1257" spans="1:20" ht="15" customHeight="1" x14ac:dyDescent="0.2">
      <c r="A1257" s="48"/>
      <c r="B1257" s="148"/>
      <c r="C1257" s="148" t="s">
        <v>2032</v>
      </c>
      <c r="D1257" s="48" t="s">
        <v>225</v>
      </c>
      <c r="E1257" s="154">
        <v>1</v>
      </c>
      <c r="F1257" s="144" t="str">
        <f>IF(AND(ISNA(VLOOKUP(D1257,A:A,1,FALSE())),ISNA(VLOOKUP(D1257,BaseType!A:A,1,FALSE())),D1257&lt;&gt;"Struct"),"N","Y")</f>
        <v>Y</v>
      </c>
      <c r="G1257" s="150"/>
      <c r="H1257" s="141"/>
      <c r="I1257" s="141"/>
      <c r="J1257" s="141"/>
      <c r="K1257" s="141"/>
      <c r="L1257" s="141"/>
      <c r="M1257" s="141"/>
      <c r="N1257" s="54"/>
      <c r="O1257" s="54"/>
      <c r="P1257" s="54"/>
      <c r="Q1257" s="54"/>
      <c r="R1257" s="54"/>
      <c r="S1257" s="54"/>
      <c r="T1257" s="54"/>
    </row>
    <row r="1258" spans="1:20" ht="15" customHeight="1" x14ac:dyDescent="0.2">
      <c r="A1258" s="48"/>
      <c r="B1258" s="148"/>
      <c r="C1258" s="148" t="s">
        <v>2033</v>
      </c>
      <c r="D1258" s="48" t="s">
        <v>225</v>
      </c>
      <c r="E1258" s="154">
        <v>1</v>
      </c>
      <c r="F1258" s="144" t="str">
        <f>IF(AND(ISNA(VLOOKUP(D1258,A:A,1,FALSE())),ISNA(VLOOKUP(D1258,BaseType!A:A,1,FALSE())),D1258&lt;&gt;"Struct"),"N","Y")</f>
        <v>Y</v>
      </c>
      <c r="G1258" s="150"/>
      <c r="H1258" s="141"/>
      <c r="I1258" s="141"/>
      <c r="J1258" s="141"/>
      <c r="K1258" s="141"/>
      <c r="L1258" s="141"/>
      <c r="M1258" s="141"/>
      <c r="N1258" s="54"/>
      <c r="O1258" s="54"/>
      <c r="P1258" s="54"/>
      <c r="Q1258" s="54"/>
      <c r="R1258" s="54"/>
      <c r="S1258" s="54"/>
      <c r="T1258" s="54"/>
    </row>
    <row r="1259" spans="1:20" ht="15" customHeight="1" x14ac:dyDescent="0.2">
      <c r="A1259" s="48"/>
      <c r="B1259" s="148"/>
      <c r="C1259" s="148" t="s">
        <v>2034</v>
      </c>
      <c r="D1259" s="48" t="s">
        <v>225</v>
      </c>
      <c r="E1259" s="154">
        <v>1</v>
      </c>
      <c r="F1259" s="144" t="str">
        <f>IF(AND(ISNA(VLOOKUP(D1259,A:A,1,FALSE())),ISNA(VLOOKUP(D1259,BaseType!A:A,1,FALSE())),D1259&lt;&gt;"Struct"),"N","Y")</f>
        <v>Y</v>
      </c>
      <c r="G1259" s="150"/>
      <c r="H1259" s="141"/>
      <c r="I1259" s="141"/>
      <c r="J1259" s="141"/>
      <c r="K1259" s="141"/>
      <c r="L1259" s="141"/>
      <c r="M1259" s="141"/>
      <c r="N1259" s="54"/>
      <c r="O1259" s="54"/>
      <c r="P1259" s="54"/>
      <c r="Q1259" s="54"/>
      <c r="R1259" s="54"/>
      <c r="S1259" s="54"/>
      <c r="T1259" s="54"/>
    </row>
    <row r="1260" spans="1:20" ht="15" customHeight="1" x14ac:dyDescent="0.2">
      <c r="A1260" s="48"/>
      <c r="B1260" s="148"/>
      <c r="C1260" s="148" t="s">
        <v>2035</v>
      </c>
      <c r="D1260" s="48" t="s">
        <v>225</v>
      </c>
      <c r="E1260" s="154">
        <v>1</v>
      </c>
      <c r="F1260" s="144" t="str">
        <f>IF(AND(ISNA(VLOOKUP(D1260,A:A,1,FALSE())),ISNA(VLOOKUP(D1260,BaseType!A:A,1,FALSE())),D1260&lt;&gt;"Struct"),"N","Y")</f>
        <v>Y</v>
      </c>
      <c r="G1260" s="150"/>
      <c r="H1260" s="141"/>
      <c r="I1260" s="141"/>
      <c r="J1260" s="141"/>
      <c r="K1260" s="141"/>
      <c r="L1260" s="141"/>
      <c r="M1260" s="141"/>
      <c r="N1260" s="54"/>
      <c r="O1260" s="54"/>
      <c r="P1260" s="54"/>
      <c r="Q1260" s="54"/>
      <c r="R1260" s="54"/>
      <c r="S1260" s="54"/>
      <c r="T1260" s="54"/>
    </row>
    <row r="1261" spans="1:20" ht="15" customHeight="1" x14ac:dyDescent="0.2">
      <c r="A1261" s="48" t="s">
        <v>403</v>
      </c>
      <c r="B1261" s="143" t="str">
        <f>IF(ISBLANK(A1261),"",IF(AND(ISNA(VLOOKUP(A1261,Interface_Platform!E:E,1,FALSE())),ISNA(VLOOKUP(A1261,D:D,1,FALSE()))),"N","Y"))</f>
        <v>Y</v>
      </c>
      <c r="C1261" s="148"/>
      <c r="D1261" s="48" t="s">
        <v>484</v>
      </c>
      <c r="E1261" s="154"/>
      <c r="F1261" s="144" t="str">
        <f>IF(AND(ISNA(VLOOKUP(D1261,A:A,1,FALSE())),ISNA(VLOOKUP(D1261,BaseType!A:A,1,FALSE())),D1261&lt;&gt;"Struct"),"N","Y")</f>
        <v>Y</v>
      </c>
      <c r="G1261" s="150"/>
      <c r="H1261" s="141"/>
      <c r="I1261" s="141"/>
      <c r="J1261" s="141"/>
      <c r="K1261" s="141"/>
      <c r="L1261" s="141"/>
      <c r="M1261" s="141"/>
      <c r="N1261" s="54"/>
      <c r="O1261" s="54"/>
      <c r="P1261" s="54"/>
      <c r="Q1261" s="54"/>
      <c r="R1261" s="54"/>
      <c r="S1261" s="54"/>
      <c r="T1261" s="54"/>
    </row>
    <row r="1262" spans="1:20" ht="15" customHeight="1" x14ac:dyDescent="0.2">
      <c r="A1262" s="48"/>
      <c r="B1262" s="143"/>
      <c r="C1262" s="148" t="s">
        <v>2036</v>
      </c>
      <c r="D1262" s="48" t="s">
        <v>193</v>
      </c>
      <c r="E1262" s="154">
        <v>1</v>
      </c>
      <c r="F1262" s="144" t="str">
        <f>IF(AND(ISNA(VLOOKUP(D1262,A:A,1,FALSE())),ISNA(VLOOKUP(D1262,BaseType!A:A,1,FALSE())),D1262&lt;&gt;"Struct"),"N","Y")</f>
        <v>Y</v>
      </c>
      <c r="G1262" s="150"/>
      <c r="H1262" s="141"/>
      <c r="I1262" s="141"/>
      <c r="J1262" s="141"/>
      <c r="K1262" s="141"/>
      <c r="L1262" s="141"/>
      <c r="M1262" s="141"/>
      <c r="N1262" s="54"/>
      <c r="O1262" s="54"/>
      <c r="P1262" s="54"/>
      <c r="Q1262" s="54"/>
      <c r="R1262" s="54"/>
      <c r="S1262" s="54"/>
      <c r="T1262" s="54"/>
    </row>
    <row r="1263" spans="1:20" ht="15" customHeight="1" x14ac:dyDescent="0.2">
      <c r="A1263" s="48"/>
      <c r="B1263" s="143"/>
      <c r="C1263" s="148" t="s">
        <v>2037</v>
      </c>
      <c r="D1263" s="48" t="s">
        <v>193</v>
      </c>
      <c r="E1263" s="154">
        <v>1</v>
      </c>
      <c r="F1263" s="144" t="str">
        <f>IF(AND(ISNA(VLOOKUP(D1263,A:A,1,FALSE())),ISNA(VLOOKUP(D1263,BaseType!A:A,1,FALSE())),D1263&lt;&gt;"Struct"),"N","Y")</f>
        <v>Y</v>
      </c>
      <c r="G1263" s="150"/>
      <c r="H1263" s="141"/>
      <c r="I1263" s="141"/>
      <c r="J1263" s="141"/>
      <c r="K1263" s="141"/>
      <c r="L1263" s="141"/>
      <c r="M1263" s="141"/>
      <c r="N1263" s="54"/>
      <c r="O1263" s="54"/>
      <c r="P1263" s="54"/>
      <c r="Q1263" s="54"/>
      <c r="R1263" s="54"/>
      <c r="S1263" s="54"/>
      <c r="T1263" s="54"/>
    </row>
    <row r="1264" spans="1:20" ht="15" customHeight="1" x14ac:dyDescent="0.2">
      <c r="A1264" s="48"/>
      <c r="B1264" s="143"/>
      <c r="C1264" s="148" t="s">
        <v>2038</v>
      </c>
      <c r="D1264" s="48" t="s">
        <v>1216</v>
      </c>
      <c r="E1264" s="154">
        <v>1</v>
      </c>
      <c r="F1264" s="144" t="str">
        <f>IF(AND(ISNA(VLOOKUP(D1264,A:A,1,FALSE())),ISNA(VLOOKUP(D1264,BaseType!A:A,1,FALSE())),D1264&lt;&gt;"Struct"),"N","Y")</f>
        <v>Y</v>
      </c>
      <c r="G1264" s="150"/>
      <c r="H1264" s="141"/>
      <c r="I1264" s="141"/>
      <c r="J1264" s="141"/>
      <c r="K1264" s="141"/>
      <c r="L1264" s="141"/>
      <c r="M1264" s="141"/>
      <c r="N1264" s="54"/>
      <c r="O1264" s="54"/>
      <c r="P1264" s="54"/>
      <c r="Q1264" s="54"/>
      <c r="R1264" s="54"/>
      <c r="S1264" s="54"/>
      <c r="T1264" s="54"/>
    </row>
    <row r="1265" spans="1:20" ht="15" customHeight="1" x14ac:dyDescent="0.2">
      <c r="A1265" s="48"/>
      <c r="B1265" s="143"/>
      <c r="C1265" s="148" t="s">
        <v>2039</v>
      </c>
      <c r="D1265" s="48" t="s">
        <v>1216</v>
      </c>
      <c r="E1265" s="154">
        <v>1</v>
      </c>
      <c r="F1265" s="144" t="str">
        <f>IF(AND(ISNA(VLOOKUP(D1265,A:A,1,FALSE())),ISNA(VLOOKUP(D1265,BaseType!A:A,1,FALSE())),D1265&lt;&gt;"Struct"),"N","Y")</f>
        <v>Y</v>
      </c>
      <c r="G1265" s="150"/>
      <c r="H1265" s="141"/>
      <c r="I1265" s="141"/>
      <c r="J1265" s="141"/>
      <c r="K1265" s="141"/>
      <c r="L1265" s="141"/>
      <c r="M1265" s="141"/>
      <c r="N1265" s="54"/>
      <c r="O1265" s="54"/>
      <c r="P1265" s="54"/>
      <c r="Q1265" s="54"/>
      <c r="R1265" s="54"/>
      <c r="S1265" s="54"/>
      <c r="T1265" s="54"/>
    </row>
    <row r="1266" spans="1:20" ht="15" customHeight="1" x14ac:dyDescent="0.2">
      <c r="A1266" s="48"/>
      <c r="B1266" s="143"/>
      <c r="C1266" s="148" t="s">
        <v>2040</v>
      </c>
      <c r="D1266" s="48" t="s">
        <v>1216</v>
      </c>
      <c r="E1266" s="154">
        <v>1</v>
      </c>
      <c r="F1266" s="144" t="str">
        <f>IF(AND(ISNA(VLOOKUP(D1266,A:A,1,FALSE())),ISNA(VLOOKUP(D1266,BaseType!A:A,1,FALSE())),D1266&lt;&gt;"Struct"),"N","Y")</f>
        <v>Y</v>
      </c>
      <c r="G1266" s="150"/>
      <c r="H1266" s="141"/>
      <c r="I1266" s="141"/>
      <c r="J1266" s="141"/>
      <c r="K1266" s="141"/>
      <c r="L1266" s="141"/>
      <c r="M1266" s="141"/>
      <c r="N1266" s="54"/>
      <c r="O1266" s="54"/>
      <c r="P1266" s="54"/>
      <c r="Q1266" s="54"/>
      <c r="R1266" s="54"/>
      <c r="S1266" s="54"/>
      <c r="T1266" s="54"/>
    </row>
    <row r="1267" spans="1:20" ht="15" customHeight="1" x14ac:dyDescent="0.2">
      <c r="A1267" s="48"/>
      <c r="B1267" s="143"/>
      <c r="C1267" s="148" t="s">
        <v>2041</v>
      </c>
      <c r="D1267" s="48" t="s">
        <v>1216</v>
      </c>
      <c r="E1267" s="154">
        <v>1</v>
      </c>
      <c r="F1267" s="144" t="str">
        <f>IF(AND(ISNA(VLOOKUP(D1267,A:A,1,FALSE())),ISNA(VLOOKUP(D1267,BaseType!A:A,1,FALSE())),D1267&lt;&gt;"Struct"),"N","Y")</f>
        <v>Y</v>
      </c>
      <c r="G1267" s="150"/>
      <c r="H1267" s="141"/>
      <c r="I1267" s="141"/>
      <c r="J1267" s="141"/>
      <c r="K1267" s="141"/>
      <c r="L1267" s="141"/>
      <c r="M1267" s="141"/>
      <c r="N1267" s="54"/>
      <c r="O1267" s="54"/>
      <c r="P1267" s="54"/>
      <c r="Q1267" s="54"/>
      <c r="R1267" s="54"/>
      <c r="S1267" s="54"/>
      <c r="T1267" s="54"/>
    </row>
    <row r="1268" spans="1:20" ht="15" customHeight="1" x14ac:dyDescent="0.2">
      <c r="A1268" s="48"/>
      <c r="B1268" s="143"/>
      <c r="C1268" s="148" t="s">
        <v>2042</v>
      </c>
      <c r="D1268" s="48" t="s">
        <v>1216</v>
      </c>
      <c r="E1268" s="154">
        <v>1</v>
      </c>
      <c r="F1268" s="144" t="str">
        <f>IF(AND(ISNA(VLOOKUP(D1268,A:A,1,FALSE())),ISNA(VLOOKUP(D1268,BaseType!A:A,1,FALSE())),D1268&lt;&gt;"Struct"),"N","Y")</f>
        <v>Y</v>
      </c>
      <c r="G1268" s="150"/>
      <c r="H1268" s="141"/>
      <c r="I1268" s="141"/>
      <c r="J1268" s="141"/>
      <c r="K1268" s="141"/>
      <c r="L1268" s="141"/>
      <c r="M1268" s="141"/>
      <c r="N1268" s="54"/>
      <c r="O1268" s="54"/>
      <c r="P1268" s="54"/>
      <c r="Q1268" s="54"/>
      <c r="R1268" s="54"/>
      <c r="S1268" s="54"/>
      <c r="T1268" s="54"/>
    </row>
    <row r="1269" spans="1:20" ht="15" customHeight="1" x14ac:dyDescent="0.2">
      <c r="A1269" s="48"/>
      <c r="B1269" s="143"/>
      <c r="C1269" s="148" t="s">
        <v>2043</v>
      </c>
      <c r="D1269" s="48" t="s">
        <v>1216</v>
      </c>
      <c r="E1269" s="154">
        <v>1</v>
      </c>
      <c r="F1269" s="144" t="str">
        <f>IF(AND(ISNA(VLOOKUP(D1269,A:A,1,FALSE())),ISNA(VLOOKUP(D1269,BaseType!A:A,1,FALSE())),D1269&lt;&gt;"Struct"),"N","Y")</f>
        <v>Y</v>
      </c>
      <c r="G1269" s="150"/>
      <c r="H1269" s="141"/>
      <c r="I1269" s="141"/>
      <c r="J1269" s="141"/>
      <c r="K1269" s="141"/>
      <c r="L1269" s="141"/>
      <c r="M1269" s="141"/>
      <c r="N1269" s="54"/>
      <c r="O1269" s="54"/>
      <c r="P1269" s="54"/>
      <c r="Q1269" s="54"/>
      <c r="R1269" s="54"/>
      <c r="S1269" s="54"/>
      <c r="T1269" s="54"/>
    </row>
    <row r="1270" spans="1:20" ht="15" customHeight="1" x14ac:dyDescent="0.2">
      <c r="A1270" s="48"/>
      <c r="B1270" s="143"/>
      <c r="C1270" s="148" t="s">
        <v>2044</v>
      </c>
      <c r="D1270" s="48" t="s">
        <v>1216</v>
      </c>
      <c r="E1270" s="154">
        <v>1</v>
      </c>
      <c r="F1270" s="144" t="str">
        <f>IF(AND(ISNA(VLOOKUP(D1270,A:A,1,FALSE())),ISNA(VLOOKUP(D1270,BaseType!A:A,1,FALSE())),D1270&lt;&gt;"Struct"),"N","Y")</f>
        <v>Y</v>
      </c>
      <c r="G1270" s="150"/>
      <c r="H1270" s="141"/>
      <c r="I1270" s="141"/>
      <c r="J1270" s="141"/>
      <c r="K1270" s="141"/>
      <c r="L1270" s="141"/>
      <c r="M1270" s="141"/>
      <c r="N1270" s="54"/>
      <c r="O1270" s="54"/>
      <c r="P1270" s="54"/>
      <c r="Q1270" s="54"/>
      <c r="R1270" s="54"/>
      <c r="S1270" s="54"/>
      <c r="T1270" s="54"/>
    </row>
    <row r="1271" spans="1:20" ht="15" customHeight="1" x14ac:dyDescent="0.2">
      <c r="A1271" s="48"/>
      <c r="B1271" s="143"/>
      <c r="C1271" s="148" t="s">
        <v>2045</v>
      </c>
      <c r="D1271" s="48" t="s">
        <v>1216</v>
      </c>
      <c r="E1271" s="154">
        <v>1</v>
      </c>
      <c r="F1271" s="144" t="str">
        <f>IF(AND(ISNA(VLOOKUP(D1271,A:A,1,FALSE())),ISNA(VLOOKUP(D1271,BaseType!A:A,1,FALSE())),D1271&lt;&gt;"Struct"),"N","Y")</f>
        <v>Y</v>
      </c>
      <c r="G1271" s="150"/>
      <c r="H1271" s="141"/>
      <c r="I1271" s="141"/>
      <c r="J1271" s="141"/>
      <c r="K1271" s="141"/>
      <c r="L1271" s="141"/>
      <c r="M1271" s="141"/>
      <c r="N1271" s="54"/>
      <c r="O1271" s="54"/>
      <c r="P1271" s="54"/>
      <c r="Q1271" s="54"/>
      <c r="R1271" s="54"/>
      <c r="S1271" s="54"/>
      <c r="T1271" s="54"/>
    </row>
    <row r="1272" spans="1:20" ht="15" customHeight="1" x14ac:dyDescent="0.2">
      <c r="A1272" s="48"/>
      <c r="B1272" s="143"/>
      <c r="C1272" s="148" t="s">
        <v>2046</v>
      </c>
      <c r="D1272" s="48" t="s">
        <v>1216</v>
      </c>
      <c r="E1272" s="154">
        <v>1</v>
      </c>
      <c r="F1272" s="144" t="str">
        <f>IF(AND(ISNA(VLOOKUP(D1272,A:A,1,FALSE())),ISNA(VLOOKUP(D1272,BaseType!A:A,1,FALSE())),D1272&lt;&gt;"Struct"),"N","Y")</f>
        <v>Y</v>
      </c>
      <c r="G1272" s="150"/>
      <c r="H1272" s="141"/>
      <c r="I1272" s="141"/>
      <c r="J1272" s="141"/>
      <c r="K1272" s="141"/>
      <c r="L1272" s="141"/>
      <c r="M1272" s="141"/>
      <c r="N1272" s="54"/>
      <c r="O1272" s="54"/>
      <c r="P1272" s="54"/>
      <c r="Q1272" s="54"/>
      <c r="R1272" s="54"/>
      <c r="S1272" s="54"/>
      <c r="T1272" s="54"/>
    </row>
    <row r="1273" spans="1:20" ht="15" customHeight="1" x14ac:dyDescent="0.2">
      <c r="A1273" s="48"/>
      <c r="B1273" s="143"/>
      <c r="C1273" s="148" t="s">
        <v>2047</v>
      </c>
      <c r="D1273" s="48" t="s">
        <v>1216</v>
      </c>
      <c r="E1273" s="154">
        <v>1</v>
      </c>
      <c r="F1273" s="144" t="str">
        <f>IF(AND(ISNA(VLOOKUP(D1273,A:A,1,FALSE())),ISNA(VLOOKUP(D1273,BaseType!A:A,1,FALSE())),D1273&lt;&gt;"Struct"),"N","Y")</f>
        <v>Y</v>
      </c>
      <c r="G1273" s="150"/>
      <c r="H1273" s="141"/>
      <c r="I1273" s="141"/>
      <c r="J1273" s="141"/>
      <c r="K1273" s="141"/>
      <c r="L1273" s="141"/>
      <c r="M1273" s="141"/>
      <c r="N1273" s="54"/>
      <c r="O1273" s="54"/>
      <c r="P1273" s="54"/>
      <c r="Q1273" s="54"/>
      <c r="R1273" s="54"/>
      <c r="S1273" s="54"/>
      <c r="T1273" s="54"/>
    </row>
    <row r="1274" spans="1:20" ht="15" customHeight="1" x14ac:dyDescent="0.2">
      <c r="A1274" s="48"/>
      <c r="B1274" s="143"/>
      <c r="C1274" s="148" t="s">
        <v>2048</v>
      </c>
      <c r="D1274" s="48" t="s">
        <v>1216</v>
      </c>
      <c r="E1274" s="154">
        <v>1</v>
      </c>
      <c r="F1274" s="144" t="str">
        <f>IF(AND(ISNA(VLOOKUP(D1274,A:A,1,FALSE())),ISNA(VLOOKUP(D1274,BaseType!A:A,1,FALSE())),D1274&lt;&gt;"Struct"),"N","Y")</f>
        <v>Y</v>
      </c>
      <c r="G1274" s="150"/>
      <c r="H1274" s="141"/>
      <c r="I1274" s="141"/>
      <c r="J1274" s="141"/>
      <c r="K1274" s="141"/>
      <c r="L1274" s="141"/>
      <c r="M1274" s="141"/>
      <c r="N1274" s="54"/>
      <c r="O1274" s="54"/>
      <c r="P1274" s="54"/>
      <c r="Q1274" s="54"/>
      <c r="R1274" s="54"/>
      <c r="S1274" s="54"/>
      <c r="T1274" s="54"/>
    </row>
    <row r="1275" spans="1:20" ht="15" customHeight="1" x14ac:dyDescent="0.2">
      <c r="A1275" s="48"/>
      <c r="B1275" s="143"/>
      <c r="C1275" s="148" t="s">
        <v>2049</v>
      </c>
      <c r="D1275" s="48" t="s">
        <v>298</v>
      </c>
      <c r="E1275" s="154">
        <v>1</v>
      </c>
      <c r="F1275" s="144" t="str">
        <f>IF(AND(ISNA(VLOOKUP(D1275,A:A,1,FALSE())),ISNA(VLOOKUP(D1275,BaseType!A:A,1,FALSE())),D1275&lt;&gt;"Struct"),"N","Y")</f>
        <v>Y</v>
      </c>
      <c r="G1275" s="150"/>
      <c r="H1275" s="141"/>
      <c r="I1275" s="141"/>
      <c r="J1275" s="141"/>
      <c r="K1275" s="141"/>
      <c r="L1275" s="141"/>
      <c r="M1275" s="141"/>
      <c r="N1275" s="54"/>
      <c r="O1275" s="54"/>
      <c r="P1275" s="54"/>
      <c r="Q1275" s="54"/>
      <c r="R1275" s="54"/>
      <c r="S1275" s="54"/>
      <c r="T1275" s="54"/>
    </row>
    <row r="1276" spans="1:20" ht="15" customHeight="1" x14ac:dyDescent="0.2">
      <c r="A1276" s="48"/>
      <c r="B1276" s="143"/>
      <c r="C1276" s="148" t="s">
        <v>2050</v>
      </c>
      <c r="D1276" s="48" t="s">
        <v>298</v>
      </c>
      <c r="E1276" s="154">
        <v>1</v>
      </c>
      <c r="F1276" s="144" t="str">
        <f>IF(AND(ISNA(VLOOKUP(D1276,A:A,1,FALSE())),ISNA(VLOOKUP(D1276,BaseType!A:A,1,FALSE())),D1276&lt;&gt;"Struct"),"N","Y")</f>
        <v>Y</v>
      </c>
      <c r="G1276" s="150"/>
      <c r="H1276" s="141"/>
      <c r="I1276" s="141"/>
      <c r="J1276" s="141"/>
      <c r="K1276" s="141"/>
      <c r="L1276" s="141"/>
      <c r="M1276" s="141"/>
      <c r="N1276" s="54"/>
      <c r="O1276" s="54"/>
      <c r="P1276" s="54"/>
      <c r="Q1276" s="54"/>
      <c r="R1276" s="54"/>
      <c r="S1276" s="54"/>
      <c r="T1276" s="54"/>
    </row>
    <row r="1277" spans="1:20" ht="15" customHeight="1" x14ac:dyDescent="0.2">
      <c r="A1277" s="48" t="s">
        <v>1388</v>
      </c>
      <c r="B1277" s="143" t="str">
        <f>IF(ISBLANK(A1277),"",IF(AND(ISNA(VLOOKUP(A1277,Interface_Platform!E:E,1,FALSE())),ISNA(VLOOKUP(A1277,D:D,1,FALSE()))),"N","Y"))</f>
        <v>Y</v>
      </c>
      <c r="C1277" s="48"/>
      <c r="D1277" s="164" t="s">
        <v>484</v>
      </c>
      <c r="E1277" s="154"/>
      <c r="F1277" s="144" t="str">
        <f>IF(AND(ISNA(VLOOKUP(D1277,A:A,1,FALSE())),ISNA(VLOOKUP(D1277,BaseType!A:A,1,FALSE())),D1277&lt;&gt;"Struct"),"N","Y")</f>
        <v>Y</v>
      </c>
      <c r="G1277" s="150"/>
      <c r="H1277" s="141"/>
      <c r="I1277" s="141"/>
      <c r="J1277" s="141"/>
      <c r="K1277" s="141"/>
      <c r="L1277" s="141"/>
      <c r="M1277" s="141"/>
      <c r="N1277" s="54"/>
      <c r="O1277" s="54"/>
      <c r="P1277" s="54"/>
      <c r="Q1277" s="54"/>
      <c r="R1277" s="54"/>
      <c r="S1277" s="54"/>
      <c r="T1277" s="54"/>
    </row>
    <row r="1278" spans="1:20" ht="15" customHeight="1" x14ac:dyDescent="0.2">
      <c r="A1278" s="48"/>
      <c r="B1278" s="148"/>
      <c r="C1278" s="148" t="s">
        <v>1019</v>
      </c>
      <c r="D1278" s="148" t="s">
        <v>764</v>
      </c>
      <c r="E1278" s="154">
        <v>1</v>
      </c>
      <c r="F1278" s="144" t="str">
        <f>IF(AND(ISNA(VLOOKUP(D1278,A:A,1,FALSE())),ISNA(VLOOKUP(D1278,BaseType!A:A,1,FALSE())),D1278&lt;&gt;"Struct"),"N","Y")</f>
        <v>Y</v>
      </c>
      <c r="G1278" s="150" t="s">
        <v>996</v>
      </c>
      <c r="H1278" s="141"/>
      <c r="I1278" s="141"/>
      <c r="J1278" s="141"/>
      <c r="K1278" s="141"/>
      <c r="L1278" s="141"/>
      <c r="M1278" s="141"/>
      <c r="N1278" s="54"/>
      <c r="O1278" s="54"/>
      <c r="P1278" s="54"/>
      <c r="Q1278" s="54"/>
      <c r="R1278" s="54"/>
      <c r="S1278" s="54"/>
      <c r="T1278" s="54"/>
    </row>
    <row r="1279" spans="1:20" ht="15" customHeight="1" x14ac:dyDescent="0.2">
      <c r="A1279" s="48"/>
      <c r="B1279" s="148"/>
      <c r="C1279" s="148" t="s">
        <v>1020</v>
      </c>
      <c r="D1279" s="148" t="s">
        <v>298</v>
      </c>
      <c r="E1279" s="154">
        <v>1</v>
      </c>
      <c r="F1279" s="144" t="str">
        <f>IF(AND(ISNA(VLOOKUP(D1279,A:A,1,FALSE())),ISNA(VLOOKUP(D1279,BaseType!A:A,1,FALSE())),D1279&lt;&gt;"Struct"),"N","Y")</f>
        <v>Y</v>
      </c>
      <c r="G1279" s="150" t="s">
        <v>974</v>
      </c>
      <c r="H1279" s="141"/>
      <c r="I1279" s="141"/>
      <c r="J1279" s="141"/>
      <c r="K1279" s="141"/>
      <c r="L1279" s="141"/>
      <c r="M1279" s="141"/>
      <c r="N1279" s="54"/>
      <c r="O1279" s="54"/>
      <c r="P1279" s="54"/>
      <c r="Q1279" s="54"/>
      <c r="R1279" s="54"/>
      <c r="S1279" s="54"/>
      <c r="T1279" s="54"/>
    </row>
    <row r="1280" spans="1:20" ht="15" customHeight="1" x14ac:dyDescent="0.2">
      <c r="A1280" s="48"/>
      <c r="B1280" s="148"/>
      <c r="C1280" s="148" t="s">
        <v>1021</v>
      </c>
      <c r="D1280" s="148" t="s">
        <v>193</v>
      </c>
      <c r="E1280" s="154">
        <v>1</v>
      </c>
      <c r="F1280" s="144" t="str">
        <f>IF(AND(ISNA(VLOOKUP(D1280,A:A,1,FALSE())),ISNA(VLOOKUP(D1280,BaseType!A:A,1,FALSE())),D1280&lt;&gt;"Struct"),"N","Y")</f>
        <v>Y</v>
      </c>
      <c r="G1280" s="150" t="s">
        <v>2051</v>
      </c>
      <c r="H1280" s="141"/>
      <c r="I1280" s="141"/>
      <c r="J1280" s="141"/>
      <c r="K1280" s="141"/>
      <c r="L1280" s="141"/>
      <c r="M1280" s="141"/>
      <c r="N1280" s="54"/>
      <c r="O1280" s="54"/>
      <c r="P1280" s="54"/>
      <c r="Q1280" s="54"/>
      <c r="R1280" s="54"/>
      <c r="S1280" s="54"/>
      <c r="T1280" s="54"/>
    </row>
    <row r="1281" spans="1:20" ht="15" customHeight="1" x14ac:dyDescent="0.2">
      <c r="A1281" s="48"/>
      <c r="B1281" s="148"/>
      <c r="C1281" s="148" t="s">
        <v>1013</v>
      </c>
      <c r="D1281" s="148" t="s">
        <v>225</v>
      </c>
      <c r="E1281" s="154">
        <v>1</v>
      </c>
      <c r="F1281" s="144" t="str">
        <f>IF(AND(ISNA(VLOOKUP(D1281,A:A,1,FALSE())),ISNA(VLOOKUP(D1281,BaseType!A:A,1,FALSE())),D1281&lt;&gt;"Struct"),"N","Y")</f>
        <v>Y</v>
      </c>
      <c r="G1281" s="150" t="s">
        <v>1014</v>
      </c>
      <c r="H1281" s="141"/>
      <c r="I1281" s="141"/>
      <c r="J1281" s="141"/>
      <c r="K1281" s="141"/>
      <c r="L1281" s="141"/>
      <c r="M1281" s="141"/>
      <c r="N1281" s="54"/>
      <c r="O1281" s="54"/>
      <c r="P1281" s="54"/>
      <c r="Q1281" s="54"/>
      <c r="R1281" s="54"/>
      <c r="S1281" s="54"/>
      <c r="T1281" s="54"/>
    </row>
    <row r="1282" spans="1:20" ht="15" customHeight="1" x14ac:dyDescent="0.2">
      <c r="A1282" s="48"/>
      <c r="B1282" s="148"/>
      <c r="C1282" s="148" t="s">
        <v>1015</v>
      </c>
      <c r="D1282" s="148" t="s">
        <v>225</v>
      </c>
      <c r="E1282" s="154">
        <v>1</v>
      </c>
      <c r="F1282" s="144" t="str">
        <f>IF(AND(ISNA(VLOOKUP(D1282,A:A,1,FALSE())),ISNA(VLOOKUP(D1282,BaseType!A:A,1,FALSE())),D1282&lt;&gt;"Struct"),"N","Y")</f>
        <v>Y</v>
      </c>
      <c r="G1282" s="150" t="s">
        <v>1016</v>
      </c>
      <c r="H1282" s="141"/>
      <c r="I1282" s="141"/>
      <c r="J1282" s="141"/>
      <c r="K1282" s="141"/>
      <c r="L1282" s="141"/>
      <c r="M1282" s="141"/>
      <c r="N1282" s="54"/>
      <c r="O1282" s="54"/>
      <c r="P1282" s="54"/>
      <c r="Q1282" s="54"/>
      <c r="R1282" s="54"/>
      <c r="S1282" s="54"/>
      <c r="T1282" s="54"/>
    </row>
    <row r="1283" spans="1:20" ht="15" customHeight="1" x14ac:dyDescent="0.2">
      <c r="A1283" s="48"/>
      <c r="B1283" s="148"/>
      <c r="C1283" s="148" t="s">
        <v>1017</v>
      </c>
      <c r="D1283" s="148" t="s">
        <v>225</v>
      </c>
      <c r="E1283" s="154">
        <v>1</v>
      </c>
      <c r="F1283" s="144" t="str">
        <f>IF(AND(ISNA(VLOOKUP(D1283,A:A,1,FALSE())),ISNA(VLOOKUP(D1283,BaseType!A:A,1,FALSE())),D1283&lt;&gt;"Struct"),"N","Y")</f>
        <v>Y</v>
      </c>
      <c r="G1283" s="150" t="s">
        <v>1018</v>
      </c>
      <c r="H1283" s="141"/>
      <c r="I1283" s="141"/>
      <c r="J1283" s="141"/>
      <c r="K1283" s="141"/>
      <c r="L1283" s="141"/>
      <c r="M1283" s="141"/>
      <c r="N1283" s="54"/>
      <c r="O1283" s="54"/>
      <c r="P1283" s="54"/>
      <c r="Q1283" s="54"/>
      <c r="R1283" s="54"/>
      <c r="S1283" s="54"/>
      <c r="T1283" s="54"/>
    </row>
    <row r="1284" spans="1:20" ht="15" customHeight="1" x14ac:dyDescent="0.2">
      <c r="A1284" s="48"/>
      <c r="B1284" s="148"/>
      <c r="C1284" s="148" t="s">
        <v>1023</v>
      </c>
      <c r="D1284" s="148" t="s">
        <v>225</v>
      </c>
      <c r="E1284" s="154">
        <v>1</v>
      </c>
      <c r="F1284" s="144" t="str">
        <f>IF(AND(ISNA(VLOOKUP(D1284,A:A,1,FALSE())),ISNA(VLOOKUP(D1284,BaseType!A:A,1,FALSE())),D1284&lt;&gt;"Struct"),"N","Y")</f>
        <v>Y</v>
      </c>
      <c r="G1284" s="150" t="s">
        <v>2052</v>
      </c>
      <c r="H1284" s="141"/>
      <c r="I1284" s="141"/>
      <c r="J1284" s="141"/>
      <c r="K1284" s="141"/>
      <c r="L1284" s="141"/>
      <c r="M1284" s="141"/>
      <c r="N1284" s="54"/>
      <c r="O1284" s="54"/>
      <c r="P1284" s="54"/>
      <c r="Q1284" s="54"/>
      <c r="R1284" s="54"/>
      <c r="S1284" s="54"/>
      <c r="T1284" s="54"/>
    </row>
    <row r="1285" spans="1:20" ht="15" customHeight="1" x14ac:dyDescent="0.2">
      <c r="A1285" s="48"/>
      <c r="B1285" s="148"/>
      <c r="C1285" s="148" t="s">
        <v>1024</v>
      </c>
      <c r="D1285" s="148" t="s">
        <v>225</v>
      </c>
      <c r="E1285" s="154">
        <v>1</v>
      </c>
      <c r="F1285" s="144" t="str">
        <f>IF(AND(ISNA(VLOOKUP(D1285,A:A,1,FALSE())),ISNA(VLOOKUP(D1285,BaseType!A:A,1,FALSE())),D1285&lt;&gt;"Struct"),"N","Y")</f>
        <v>Y</v>
      </c>
      <c r="G1285" s="150" t="s">
        <v>2053</v>
      </c>
      <c r="H1285" s="141"/>
      <c r="I1285" s="141"/>
      <c r="J1285" s="141"/>
      <c r="K1285" s="141"/>
      <c r="L1285" s="141"/>
      <c r="M1285" s="141"/>
      <c r="N1285" s="54"/>
      <c r="O1285" s="54"/>
      <c r="P1285" s="54"/>
      <c r="Q1285" s="54"/>
      <c r="R1285" s="54"/>
      <c r="S1285" s="54"/>
      <c r="T1285" s="54"/>
    </row>
    <row r="1286" spans="1:20" ht="15" customHeight="1" x14ac:dyDescent="0.2">
      <c r="A1286" s="48"/>
      <c r="B1286" s="148"/>
      <c r="C1286" s="148" t="s">
        <v>1026</v>
      </c>
      <c r="D1286" s="148" t="s">
        <v>193</v>
      </c>
      <c r="E1286" s="154">
        <v>1</v>
      </c>
      <c r="F1286" s="144" t="str">
        <f>IF(AND(ISNA(VLOOKUP(D1286,A:A,1,FALSE())),ISNA(VLOOKUP(D1286,BaseType!A:A,1,FALSE())),D1286&lt;&gt;"Struct"),"N","Y")</f>
        <v>Y</v>
      </c>
      <c r="G1286" s="150" t="s">
        <v>2054</v>
      </c>
      <c r="H1286" s="141"/>
      <c r="I1286" s="141"/>
      <c r="J1286" s="141"/>
      <c r="K1286" s="141"/>
      <c r="L1286" s="141"/>
      <c r="M1286" s="141"/>
      <c r="N1286" s="54"/>
      <c r="O1286" s="54"/>
      <c r="P1286" s="54"/>
      <c r="Q1286" s="54"/>
      <c r="R1286" s="54"/>
      <c r="S1286" s="54"/>
      <c r="T1286" s="54"/>
    </row>
    <row r="1287" spans="1:20" ht="15" customHeight="1" x14ac:dyDescent="0.2">
      <c r="A1287" s="48"/>
      <c r="B1287" s="148"/>
      <c r="C1287" s="148" t="s">
        <v>1028</v>
      </c>
      <c r="D1287" s="148" t="s">
        <v>193</v>
      </c>
      <c r="E1287" s="154">
        <v>1</v>
      </c>
      <c r="F1287" s="144" t="str">
        <f>IF(AND(ISNA(VLOOKUP(D1287,A:A,1,FALSE())),ISNA(VLOOKUP(D1287,BaseType!A:A,1,FALSE())),D1287&lt;&gt;"Struct"),"N","Y")</f>
        <v>Y</v>
      </c>
      <c r="G1287" s="150" t="s">
        <v>2055</v>
      </c>
      <c r="H1287" s="141"/>
      <c r="I1287" s="141"/>
      <c r="J1287" s="141"/>
      <c r="K1287" s="141"/>
      <c r="L1287" s="141"/>
      <c r="M1287" s="141"/>
      <c r="N1287" s="54"/>
      <c r="O1287" s="54"/>
      <c r="P1287" s="54"/>
      <c r="Q1287" s="54"/>
      <c r="R1287" s="54"/>
      <c r="S1287" s="54"/>
      <c r="T1287" s="54"/>
    </row>
    <row r="1288" spans="1:20" ht="15" customHeight="1" x14ac:dyDescent="0.2">
      <c r="A1288" s="48"/>
      <c r="B1288" s="148"/>
      <c r="C1288" s="148" t="s">
        <v>1029</v>
      </c>
      <c r="D1288" s="148" t="s">
        <v>225</v>
      </c>
      <c r="E1288" s="154">
        <v>1</v>
      </c>
      <c r="F1288" s="144" t="str">
        <f>IF(AND(ISNA(VLOOKUP(D1288,A:A,1,FALSE())),ISNA(VLOOKUP(D1288,BaseType!A:A,1,FALSE())),D1288&lt;&gt;"Struct"),"N","Y")</f>
        <v>Y</v>
      </c>
      <c r="G1288" s="150" t="s">
        <v>1585</v>
      </c>
      <c r="H1288" s="141"/>
      <c r="I1288" s="141"/>
      <c r="J1288" s="141"/>
      <c r="K1288" s="141"/>
      <c r="L1288" s="141"/>
      <c r="M1288" s="141"/>
      <c r="N1288" s="54"/>
      <c r="O1288" s="54"/>
      <c r="P1288" s="54"/>
      <c r="Q1288" s="54"/>
      <c r="R1288" s="54"/>
      <c r="S1288" s="54"/>
      <c r="T1288" s="54"/>
    </row>
    <row r="1289" spans="1:20" ht="15" customHeight="1" x14ac:dyDescent="0.2">
      <c r="A1289" s="48"/>
      <c r="B1289" s="148"/>
      <c r="C1289" s="148" t="s">
        <v>1030</v>
      </c>
      <c r="D1289" s="148" t="s">
        <v>225</v>
      </c>
      <c r="E1289" s="154">
        <v>1</v>
      </c>
      <c r="F1289" s="144" t="str">
        <f>IF(AND(ISNA(VLOOKUP(D1289,A:A,1,FALSE())),ISNA(VLOOKUP(D1289,BaseType!A:A,1,FALSE())),D1289&lt;&gt;"Struct"),"N","Y")</f>
        <v>Y</v>
      </c>
      <c r="G1289" s="150" t="s">
        <v>1587</v>
      </c>
      <c r="H1289" s="141"/>
      <c r="I1289" s="141"/>
      <c r="J1289" s="141"/>
      <c r="K1289" s="141"/>
      <c r="L1289" s="141"/>
      <c r="M1289" s="141"/>
      <c r="N1289" s="54"/>
      <c r="O1289" s="54"/>
      <c r="P1289" s="54"/>
      <c r="Q1289" s="54"/>
      <c r="R1289" s="54"/>
      <c r="S1289" s="54"/>
      <c r="T1289" s="54"/>
    </row>
    <row r="1290" spans="1:20" ht="15" customHeight="1" x14ac:dyDescent="0.2">
      <c r="A1290" s="48"/>
      <c r="B1290" s="148"/>
      <c r="C1290" s="148" t="s">
        <v>2012</v>
      </c>
      <c r="D1290" s="148" t="s">
        <v>225</v>
      </c>
      <c r="E1290" s="154">
        <v>1</v>
      </c>
      <c r="F1290" s="144" t="str">
        <f>IF(AND(ISNA(VLOOKUP(D1290,A:A,1,FALSE())),ISNA(VLOOKUP(D1290,BaseType!A:A,1,FALSE())),D1290&lt;&gt;"Struct"),"N","Y")</f>
        <v>Y</v>
      </c>
      <c r="G1290" s="150" t="s">
        <v>2056</v>
      </c>
      <c r="H1290" s="141"/>
      <c r="I1290" s="141"/>
      <c r="J1290" s="141"/>
      <c r="K1290" s="141"/>
      <c r="L1290" s="141"/>
      <c r="M1290" s="141"/>
      <c r="N1290" s="54"/>
      <c r="O1290" s="54"/>
      <c r="P1290" s="54"/>
      <c r="Q1290" s="54"/>
      <c r="R1290" s="54"/>
      <c r="S1290" s="54"/>
      <c r="T1290" s="54"/>
    </row>
    <row r="1291" spans="1:20" ht="15" customHeight="1" x14ac:dyDescent="0.2">
      <c r="A1291" s="48"/>
      <c r="B1291" s="148"/>
      <c r="C1291" s="148" t="s">
        <v>2013</v>
      </c>
      <c r="D1291" s="148" t="s">
        <v>225</v>
      </c>
      <c r="E1291" s="154">
        <v>1</v>
      </c>
      <c r="F1291" s="144" t="str">
        <f>IF(AND(ISNA(VLOOKUP(D1291,A:A,1,FALSE())),ISNA(VLOOKUP(D1291,BaseType!A:A,1,FALSE())),D1291&lt;&gt;"Struct"),"N","Y")</f>
        <v>Y</v>
      </c>
      <c r="G1291" s="150" t="s">
        <v>2057</v>
      </c>
      <c r="H1291" s="141"/>
      <c r="I1291" s="141"/>
      <c r="J1291" s="141"/>
      <c r="K1291" s="141"/>
      <c r="L1291" s="141"/>
      <c r="M1291" s="141"/>
      <c r="N1291" s="54"/>
      <c r="O1291" s="54"/>
      <c r="P1291" s="54"/>
      <c r="Q1291" s="54"/>
      <c r="R1291" s="54"/>
      <c r="S1291" s="54"/>
      <c r="T1291" s="54"/>
    </row>
    <row r="1292" spans="1:20" ht="15" customHeight="1" x14ac:dyDescent="0.2">
      <c r="A1292" s="48"/>
      <c r="B1292" s="148"/>
      <c r="C1292" s="148" t="s">
        <v>1032</v>
      </c>
      <c r="D1292" s="148" t="s">
        <v>225</v>
      </c>
      <c r="E1292" s="154">
        <v>1</v>
      </c>
      <c r="F1292" s="144" t="str">
        <f>IF(AND(ISNA(VLOOKUP(D1292,A:A,1,FALSE())),ISNA(VLOOKUP(D1292,BaseType!A:A,1,FALSE())),D1292&lt;&gt;"Struct"),"N","Y")</f>
        <v>Y</v>
      </c>
      <c r="G1292" s="150" t="s">
        <v>1035</v>
      </c>
      <c r="H1292" s="141"/>
      <c r="I1292" s="141"/>
      <c r="J1292" s="141"/>
      <c r="K1292" s="141"/>
      <c r="L1292" s="141"/>
      <c r="M1292" s="141"/>
      <c r="N1292" s="54"/>
      <c r="O1292" s="54"/>
      <c r="P1292" s="54"/>
      <c r="Q1292" s="54"/>
      <c r="R1292" s="54"/>
      <c r="S1292" s="54"/>
      <c r="T1292" s="54"/>
    </row>
    <row r="1293" spans="1:20" ht="15" customHeight="1" x14ac:dyDescent="0.2">
      <c r="A1293" s="48"/>
      <c r="B1293" s="148"/>
      <c r="C1293" s="148" t="s">
        <v>1033</v>
      </c>
      <c r="D1293" s="148" t="s">
        <v>225</v>
      </c>
      <c r="E1293" s="154">
        <v>1</v>
      </c>
      <c r="F1293" s="144" t="str">
        <f>IF(AND(ISNA(VLOOKUP(D1293,A:A,1,FALSE())),ISNA(VLOOKUP(D1293,BaseType!A:A,1,FALSE())),D1293&lt;&gt;"Struct"),"N","Y")</f>
        <v>Y</v>
      </c>
      <c r="G1293" s="150" t="s">
        <v>1037</v>
      </c>
      <c r="H1293" s="141"/>
      <c r="I1293" s="141"/>
      <c r="J1293" s="141"/>
      <c r="K1293" s="141"/>
      <c r="L1293" s="141"/>
      <c r="M1293" s="141"/>
      <c r="N1293" s="54"/>
      <c r="O1293" s="54"/>
      <c r="P1293" s="54"/>
      <c r="Q1293" s="54"/>
      <c r="R1293" s="54"/>
      <c r="S1293" s="54"/>
      <c r="T1293" s="54"/>
    </row>
    <row r="1294" spans="1:20" ht="15" customHeight="1" x14ac:dyDescent="0.2">
      <c r="A1294" s="48"/>
      <c r="B1294" s="148"/>
      <c r="C1294" s="148" t="s">
        <v>2014</v>
      </c>
      <c r="D1294" s="148" t="s">
        <v>225</v>
      </c>
      <c r="E1294" s="154">
        <v>1</v>
      </c>
      <c r="F1294" s="144" t="str">
        <f>IF(AND(ISNA(VLOOKUP(D1294,A:A,1,FALSE())),ISNA(VLOOKUP(D1294,BaseType!A:A,1,FALSE())),D1294&lt;&gt;"Struct"),"N","Y")</f>
        <v>Y</v>
      </c>
      <c r="G1294" s="150" t="s">
        <v>2058</v>
      </c>
      <c r="H1294" s="141"/>
      <c r="I1294" s="141"/>
      <c r="J1294" s="141"/>
      <c r="K1294" s="141"/>
      <c r="L1294" s="141"/>
      <c r="M1294" s="141"/>
      <c r="N1294" s="54"/>
      <c r="O1294" s="54"/>
      <c r="P1294" s="54"/>
      <c r="Q1294" s="54"/>
      <c r="R1294" s="54"/>
      <c r="S1294" s="54"/>
      <c r="T1294" s="54"/>
    </row>
    <row r="1295" spans="1:20" ht="15" customHeight="1" x14ac:dyDescent="0.2">
      <c r="A1295" s="48"/>
      <c r="B1295" s="148"/>
      <c r="C1295" s="148" t="s">
        <v>1034</v>
      </c>
      <c r="D1295" s="148" t="s">
        <v>225</v>
      </c>
      <c r="E1295" s="154">
        <v>1</v>
      </c>
      <c r="F1295" s="144" t="str">
        <f>IF(AND(ISNA(VLOOKUP(D1295,A:A,1,FALSE())),ISNA(VLOOKUP(D1295,BaseType!A:A,1,FALSE())),D1295&lt;&gt;"Struct"),"N","Y")</f>
        <v>Y</v>
      </c>
      <c r="G1295" s="150" t="s">
        <v>980</v>
      </c>
      <c r="H1295" s="141"/>
      <c r="I1295" s="141"/>
      <c r="J1295" s="141"/>
      <c r="K1295" s="141"/>
      <c r="L1295" s="141"/>
      <c r="M1295" s="141"/>
      <c r="N1295" s="54"/>
      <c r="O1295" s="54"/>
      <c r="P1295" s="54"/>
      <c r="Q1295" s="54"/>
      <c r="R1295" s="54"/>
      <c r="S1295" s="54"/>
      <c r="T1295" s="54"/>
    </row>
    <row r="1296" spans="1:20" ht="15" customHeight="1" x14ac:dyDescent="0.2">
      <c r="A1296" s="48"/>
      <c r="B1296" s="148"/>
      <c r="C1296" s="148" t="s">
        <v>1036</v>
      </c>
      <c r="D1296" s="148" t="s">
        <v>225</v>
      </c>
      <c r="E1296" s="154">
        <v>1</v>
      </c>
      <c r="F1296" s="144" t="str">
        <f>IF(AND(ISNA(VLOOKUP(D1296,A:A,1,FALSE())),ISNA(VLOOKUP(D1296,BaseType!A:A,1,FALSE())),D1296&lt;&gt;"Struct"),"N","Y")</f>
        <v>Y</v>
      </c>
      <c r="G1296" s="150" t="s">
        <v>982</v>
      </c>
      <c r="H1296" s="141"/>
      <c r="I1296" s="141"/>
      <c r="J1296" s="141"/>
      <c r="K1296" s="141"/>
      <c r="L1296" s="141"/>
      <c r="M1296" s="141"/>
      <c r="N1296" s="54"/>
      <c r="O1296" s="54"/>
      <c r="P1296" s="54"/>
      <c r="Q1296" s="54"/>
      <c r="R1296" s="54"/>
      <c r="S1296" s="54"/>
      <c r="T1296" s="54"/>
    </row>
    <row r="1297" spans="1:20" ht="15" customHeight="1" x14ac:dyDescent="0.2">
      <c r="A1297" s="48"/>
      <c r="B1297" s="148"/>
      <c r="C1297" s="148" t="s">
        <v>2059</v>
      </c>
      <c r="D1297" s="148" t="s">
        <v>225</v>
      </c>
      <c r="E1297" s="154">
        <v>1</v>
      </c>
      <c r="F1297" s="144" t="str">
        <f>IF(AND(ISNA(VLOOKUP(D1297,A:A,1,FALSE())),ISNA(VLOOKUP(D1297,BaseType!A:A,1,FALSE())),D1297&lt;&gt;"Struct"),"N","Y")</f>
        <v>Y</v>
      </c>
      <c r="G1297" s="150" t="s">
        <v>988</v>
      </c>
      <c r="H1297" s="141"/>
      <c r="I1297" s="141"/>
      <c r="J1297" s="141"/>
      <c r="K1297" s="141"/>
      <c r="L1297" s="141"/>
      <c r="M1297" s="141"/>
      <c r="N1297" s="54"/>
      <c r="O1297" s="54"/>
      <c r="P1297" s="54"/>
      <c r="Q1297" s="54"/>
      <c r="R1297" s="54"/>
      <c r="S1297" s="54"/>
      <c r="T1297" s="54"/>
    </row>
    <row r="1298" spans="1:20" ht="15" customHeight="1" x14ac:dyDescent="0.2">
      <c r="A1298" s="48"/>
      <c r="B1298" s="148"/>
      <c r="C1298" s="148" t="s">
        <v>2060</v>
      </c>
      <c r="D1298" s="148" t="s">
        <v>225</v>
      </c>
      <c r="E1298" s="154">
        <v>1</v>
      </c>
      <c r="F1298" s="144" t="str">
        <f>IF(AND(ISNA(VLOOKUP(D1298,A:A,1,FALSE())),ISNA(VLOOKUP(D1298,BaseType!A:A,1,FALSE())),D1298&lt;&gt;"Struct"),"N","Y")</f>
        <v>Y</v>
      </c>
      <c r="G1298" s="150" t="s">
        <v>2061</v>
      </c>
      <c r="H1298" s="141"/>
      <c r="I1298" s="141"/>
      <c r="J1298" s="141"/>
      <c r="K1298" s="141"/>
      <c r="L1298" s="141"/>
      <c r="M1298" s="141"/>
      <c r="N1298" s="54"/>
      <c r="O1298" s="54"/>
      <c r="P1298" s="54"/>
      <c r="Q1298" s="54"/>
      <c r="R1298" s="54"/>
      <c r="S1298" s="54"/>
      <c r="T1298" s="54"/>
    </row>
    <row r="1299" spans="1:20" ht="15" customHeight="1" x14ac:dyDescent="0.2">
      <c r="A1299" s="48"/>
      <c r="B1299" s="148"/>
      <c r="C1299" s="149" t="s">
        <v>1038</v>
      </c>
      <c r="D1299" s="148" t="s">
        <v>225</v>
      </c>
      <c r="E1299" s="154">
        <v>1</v>
      </c>
      <c r="F1299" s="144" t="str">
        <f>IF(AND(ISNA(VLOOKUP(D1299,A:A,1,FALSE())),ISNA(VLOOKUP(D1299,BaseType!A:A,1,FALSE())),D1299&lt;&gt;"Struct"),"N","Y")</f>
        <v>Y</v>
      </c>
      <c r="G1299" s="150" t="s">
        <v>988</v>
      </c>
      <c r="H1299" s="141"/>
      <c r="I1299" s="141"/>
      <c r="J1299" s="141"/>
      <c r="K1299" s="141"/>
      <c r="L1299" s="141"/>
      <c r="M1299" s="141"/>
      <c r="N1299" s="54"/>
      <c r="O1299" s="54"/>
      <c r="P1299" s="54"/>
      <c r="Q1299" s="54"/>
      <c r="R1299" s="54"/>
      <c r="S1299" s="54"/>
      <c r="T1299" s="54"/>
    </row>
    <row r="1300" spans="1:20" ht="15" customHeight="1" x14ac:dyDescent="0.2">
      <c r="A1300" s="48"/>
      <c r="B1300" s="148"/>
      <c r="C1300" s="148" t="s">
        <v>1039</v>
      </c>
      <c r="D1300" s="148" t="s">
        <v>225</v>
      </c>
      <c r="E1300" s="154">
        <v>1</v>
      </c>
      <c r="F1300" s="144" t="str">
        <f>IF(AND(ISNA(VLOOKUP(D1300,A:A,1,FALSE())),ISNA(VLOOKUP(D1300,BaseType!A:A,1,FALSE())),D1300&lt;&gt;"Struct"),"N","Y")</f>
        <v>Y</v>
      </c>
      <c r="G1300" s="150" t="s">
        <v>990</v>
      </c>
      <c r="H1300" s="141"/>
      <c r="I1300" s="141"/>
      <c r="J1300" s="141"/>
      <c r="K1300" s="141"/>
      <c r="L1300" s="141"/>
      <c r="M1300" s="141"/>
      <c r="N1300" s="54"/>
      <c r="O1300" s="54"/>
      <c r="P1300" s="54"/>
      <c r="Q1300" s="54"/>
      <c r="R1300" s="54"/>
      <c r="S1300" s="54"/>
      <c r="T1300" s="54"/>
    </row>
    <row r="1301" spans="1:20" ht="15" customHeight="1" x14ac:dyDescent="0.2">
      <c r="A1301" s="48"/>
      <c r="B1301" s="148"/>
      <c r="C1301" s="148" t="s">
        <v>1040</v>
      </c>
      <c r="D1301" s="148" t="s">
        <v>631</v>
      </c>
      <c r="E1301" s="154">
        <v>1</v>
      </c>
      <c r="F1301" s="144" t="str">
        <f>IF(AND(ISNA(VLOOKUP(D1301,A:A,1,FALSE())),ISNA(VLOOKUP(D1301,BaseType!A:A,1,FALSE())),D1301&lt;&gt;"Struct"),"N","Y")</f>
        <v>Y</v>
      </c>
      <c r="G1301" s="150" t="s">
        <v>2062</v>
      </c>
      <c r="H1301" s="141"/>
      <c r="I1301" s="141"/>
      <c r="J1301" s="141"/>
      <c r="K1301" s="141"/>
      <c r="L1301" s="141"/>
      <c r="M1301" s="141"/>
      <c r="N1301" s="54"/>
      <c r="O1301" s="54"/>
      <c r="P1301" s="54"/>
      <c r="Q1301" s="54"/>
      <c r="R1301" s="54"/>
      <c r="S1301" s="54"/>
      <c r="T1301" s="54"/>
    </row>
    <row r="1302" spans="1:20" ht="15" customHeight="1" x14ac:dyDescent="0.2">
      <c r="A1302" s="48"/>
      <c r="B1302" s="148"/>
      <c r="C1302" s="148" t="s">
        <v>1946</v>
      </c>
      <c r="D1302" s="148" t="s">
        <v>298</v>
      </c>
      <c r="E1302" s="154">
        <v>1</v>
      </c>
      <c r="F1302" s="144" t="str">
        <f>IF(AND(ISNA(VLOOKUP(D1302,A:A,1,FALSE())),ISNA(VLOOKUP(D1302,BaseType!A:A,1,FALSE())),D1302&lt;&gt;"Struct"),"N","Y")</f>
        <v>Y</v>
      </c>
      <c r="G1302" s="150" t="s">
        <v>2063</v>
      </c>
      <c r="H1302" s="141"/>
      <c r="I1302" s="141"/>
      <c r="J1302" s="141"/>
      <c r="K1302" s="141"/>
      <c r="L1302" s="141"/>
      <c r="M1302" s="141"/>
      <c r="N1302" s="54"/>
      <c r="O1302" s="54"/>
      <c r="P1302" s="54"/>
      <c r="Q1302" s="54"/>
      <c r="R1302" s="54"/>
      <c r="S1302" s="54"/>
      <c r="T1302" s="54"/>
    </row>
    <row r="1303" spans="1:20" ht="15" customHeight="1" x14ac:dyDescent="0.2">
      <c r="A1303" s="48"/>
      <c r="B1303" s="148"/>
      <c r="C1303" s="148" t="s">
        <v>1042</v>
      </c>
      <c r="D1303" s="148" t="s">
        <v>225</v>
      </c>
      <c r="E1303" s="154">
        <v>1</v>
      </c>
      <c r="F1303" s="144" t="str">
        <f>IF(AND(ISNA(VLOOKUP(D1303,A:A,1,FALSE())),ISNA(VLOOKUP(D1303,BaseType!A:A,1,FALSE())),D1303&lt;&gt;"Struct"),"N","Y")</f>
        <v>Y</v>
      </c>
      <c r="G1303" s="150" t="s">
        <v>1043</v>
      </c>
      <c r="H1303" s="141"/>
      <c r="I1303" s="141"/>
      <c r="J1303" s="141"/>
      <c r="K1303" s="141"/>
      <c r="L1303" s="141"/>
      <c r="M1303" s="141"/>
      <c r="N1303" s="54"/>
      <c r="O1303" s="54"/>
      <c r="P1303" s="54"/>
      <c r="Q1303" s="54"/>
      <c r="R1303" s="54"/>
      <c r="S1303" s="54"/>
      <c r="T1303" s="54"/>
    </row>
    <row r="1304" spans="1:20" ht="15" customHeight="1" x14ac:dyDescent="0.2">
      <c r="A1304" s="48"/>
      <c r="B1304" s="148"/>
      <c r="C1304" s="148" t="s">
        <v>1044</v>
      </c>
      <c r="D1304" s="148" t="s">
        <v>225</v>
      </c>
      <c r="E1304" s="154">
        <v>1</v>
      </c>
      <c r="F1304" s="144" t="str">
        <f>IF(AND(ISNA(VLOOKUP(D1304,A:A,1,FALSE())),ISNA(VLOOKUP(D1304,BaseType!A:A,1,FALSE())),D1304&lt;&gt;"Struct"),"N","Y")</f>
        <v>Y</v>
      </c>
      <c r="G1304" s="150" t="s">
        <v>1043</v>
      </c>
      <c r="H1304" s="141"/>
      <c r="I1304" s="141"/>
      <c r="J1304" s="141"/>
      <c r="K1304" s="141"/>
      <c r="L1304" s="141"/>
      <c r="M1304" s="141"/>
      <c r="N1304" s="54"/>
      <c r="O1304" s="54"/>
      <c r="P1304" s="54"/>
      <c r="Q1304" s="54"/>
      <c r="R1304" s="54"/>
      <c r="S1304" s="54"/>
      <c r="T1304" s="54"/>
    </row>
    <row r="1305" spans="1:20" ht="15" customHeight="1" x14ac:dyDescent="0.2">
      <c r="A1305" s="48"/>
      <c r="B1305" s="148"/>
      <c r="C1305" s="148" t="s">
        <v>1045</v>
      </c>
      <c r="D1305" s="148" t="s">
        <v>225</v>
      </c>
      <c r="E1305" s="154">
        <v>1</v>
      </c>
      <c r="F1305" s="144" t="str">
        <f>IF(AND(ISNA(VLOOKUP(D1305,A:A,1,FALSE())),ISNA(VLOOKUP(D1305,BaseType!A:A,1,FALSE())),D1305&lt;&gt;"Struct"),"N","Y")</f>
        <v>Y</v>
      </c>
      <c r="G1305" s="150" t="s">
        <v>1046</v>
      </c>
      <c r="H1305" s="141"/>
      <c r="I1305" s="141"/>
      <c r="J1305" s="141"/>
      <c r="K1305" s="141"/>
      <c r="L1305" s="141"/>
      <c r="M1305" s="141"/>
      <c r="N1305" s="54"/>
      <c r="O1305" s="54"/>
      <c r="P1305" s="54"/>
      <c r="Q1305" s="54"/>
      <c r="R1305" s="54"/>
      <c r="S1305" s="54"/>
      <c r="T1305" s="54"/>
    </row>
    <row r="1306" spans="1:20" ht="15" customHeight="1" x14ac:dyDescent="0.2">
      <c r="A1306" s="48"/>
      <c r="B1306" s="148"/>
      <c r="C1306" s="148" t="s">
        <v>1047</v>
      </c>
      <c r="D1306" s="148" t="s">
        <v>225</v>
      </c>
      <c r="E1306" s="154">
        <v>1</v>
      </c>
      <c r="F1306" s="144" t="str">
        <f>IF(AND(ISNA(VLOOKUP(D1306,A:A,1,FALSE())),ISNA(VLOOKUP(D1306,BaseType!A:A,1,FALSE())),D1306&lt;&gt;"Struct"),"N","Y")</f>
        <v>Y</v>
      </c>
      <c r="G1306" s="150" t="s">
        <v>1046</v>
      </c>
      <c r="H1306" s="141"/>
      <c r="I1306" s="141"/>
      <c r="J1306" s="141"/>
      <c r="K1306" s="141"/>
      <c r="L1306" s="141"/>
      <c r="M1306" s="141"/>
      <c r="N1306" s="54"/>
      <c r="O1306" s="54"/>
      <c r="P1306" s="54"/>
      <c r="Q1306" s="54"/>
      <c r="R1306" s="54"/>
      <c r="S1306" s="54"/>
      <c r="T1306" s="54"/>
    </row>
    <row r="1307" spans="1:20" ht="15" customHeight="1" x14ac:dyDescent="0.2">
      <c r="A1307" s="48"/>
      <c r="B1307" s="148"/>
      <c r="C1307" s="148" t="s">
        <v>1048</v>
      </c>
      <c r="D1307" s="148" t="s">
        <v>225</v>
      </c>
      <c r="E1307" s="154">
        <v>1</v>
      </c>
      <c r="F1307" s="144" t="str">
        <f>IF(AND(ISNA(VLOOKUP(D1307,A:A,1,FALSE())),ISNA(VLOOKUP(D1307,BaseType!A:A,1,FALSE())),D1307&lt;&gt;"Struct"),"N","Y")</f>
        <v>Y</v>
      </c>
      <c r="G1307" s="150" t="s">
        <v>1049</v>
      </c>
      <c r="H1307" s="141"/>
      <c r="I1307" s="141"/>
      <c r="J1307" s="141"/>
      <c r="K1307" s="141"/>
      <c r="L1307" s="141"/>
      <c r="M1307" s="141"/>
      <c r="N1307" s="54"/>
      <c r="O1307" s="54"/>
      <c r="P1307" s="54"/>
      <c r="Q1307" s="54"/>
      <c r="R1307" s="54"/>
      <c r="S1307" s="54"/>
      <c r="T1307" s="54"/>
    </row>
    <row r="1308" spans="1:20" ht="15" customHeight="1" x14ac:dyDescent="0.2">
      <c r="A1308" s="48"/>
      <c r="B1308" s="148"/>
      <c r="C1308" s="148" t="s">
        <v>1050</v>
      </c>
      <c r="D1308" s="148" t="s">
        <v>225</v>
      </c>
      <c r="E1308" s="154">
        <v>1</v>
      </c>
      <c r="F1308" s="144" t="str">
        <f>IF(AND(ISNA(VLOOKUP(D1308,A:A,1,FALSE())),ISNA(VLOOKUP(D1308,BaseType!A:A,1,FALSE())),D1308&lt;&gt;"Struct"),"N","Y")</f>
        <v>Y</v>
      </c>
      <c r="G1308" s="150" t="s">
        <v>1049</v>
      </c>
      <c r="H1308" s="141"/>
      <c r="I1308" s="141"/>
      <c r="J1308" s="141"/>
      <c r="K1308" s="141"/>
      <c r="L1308" s="141"/>
      <c r="M1308" s="141"/>
      <c r="N1308" s="54"/>
      <c r="O1308" s="54"/>
      <c r="P1308" s="54"/>
      <c r="Q1308" s="54"/>
      <c r="R1308" s="54"/>
      <c r="S1308" s="54"/>
      <c r="T1308" s="54"/>
    </row>
    <row r="1309" spans="1:20" ht="15" customHeight="1" x14ac:dyDescent="0.2">
      <c r="A1309" s="48"/>
      <c r="B1309" s="148"/>
      <c r="C1309" s="148" t="s">
        <v>1051</v>
      </c>
      <c r="D1309" s="148" t="s">
        <v>225</v>
      </c>
      <c r="E1309" s="154">
        <v>1</v>
      </c>
      <c r="F1309" s="144" t="str">
        <f>IF(AND(ISNA(VLOOKUP(D1309,A:A,1,FALSE())),ISNA(VLOOKUP(D1309,BaseType!A:A,1,FALSE())),D1309&lt;&gt;"Struct"),"N","Y")</f>
        <v>Y</v>
      </c>
      <c r="G1309" s="150" t="s">
        <v>1052</v>
      </c>
      <c r="H1309" s="141"/>
      <c r="I1309" s="141"/>
      <c r="J1309" s="141"/>
      <c r="K1309" s="141"/>
      <c r="L1309" s="141"/>
      <c r="M1309" s="141"/>
      <c r="N1309" s="54"/>
      <c r="O1309" s="54"/>
      <c r="P1309" s="54"/>
      <c r="Q1309" s="54"/>
      <c r="R1309" s="54"/>
      <c r="S1309" s="54"/>
      <c r="T1309" s="54"/>
    </row>
    <row r="1310" spans="1:20" ht="15" customHeight="1" x14ac:dyDescent="0.2">
      <c r="A1310" s="48"/>
      <c r="B1310" s="148"/>
      <c r="C1310" s="148" t="s">
        <v>1053</v>
      </c>
      <c r="D1310" s="148" t="s">
        <v>225</v>
      </c>
      <c r="E1310" s="154">
        <v>1</v>
      </c>
      <c r="F1310" s="144" t="str">
        <f>IF(AND(ISNA(VLOOKUP(D1310,A:A,1,FALSE())),ISNA(VLOOKUP(D1310,BaseType!A:A,1,FALSE())),D1310&lt;&gt;"Struct"),"N","Y")</f>
        <v>Y</v>
      </c>
      <c r="G1310" s="150" t="s">
        <v>1052</v>
      </c>
      <c r="H1310" s="141"/>
      <c r="I1310" s="141"/>
      <c r="J1310" s="141"/>
      <c r="K1310" s="141"/>
      <c r="L1310" s="141"/>
      <c r="M1310" s="141"/>
      <c r="N1310" s="54"/>
      <c r="O1310" s="54"/>
      <c r="P1310" s="54"/>
      <c r="Q1310" s="54"/>
      <c r="R1310" s="54"/>
      <c r="S1310" s="54"/>
      <c r="T1310" s="54"/>
    </row>
    <row r="1311" spans="1:20" ht="15" customHeight="1" x14ac:dyDescent="0.2">
      <c r="A1311" s="48"/>
      <c r="B1311" s="148"/>
      <c r="C1311" s="148" t="s">
        <v>1054</v>
      </c>
      <c r="D1311" s="148" t="s">
        <v>293</v>
      </c>
      <c r="E1311" s="154">
        <v>1</v>
      </c>
      <c r="F1311" s="144" t="str">
        <f>IF(AND(ISNA(VLOOKUP(D1311,A:A,1,FALSE())),ISNA(VLOOKUP(D1311,BaseType!A:A,1,FALSE())),D1311&lt;&gt;"Struct"),"N","Y")</f>
        <v>Y</v>
      </c>
      <c r="G1311" s="150" t="s">
        <v>1055</v>
      </c>
      <c r="H1311" s="141"/>
      <c r="I1311" s="141"/>
      <c r="J1311" s="141"/>
      <c r="K1311" s="141"/>
      <c r="L1311" s="141"/>
      <c r="M1311" s="141"/>
      <c r="N1311" s="54"/>
      <c r="O1311" s="54"/>
      <c r="P1311" s="54"/>
      <c r="Q1311" s="54"/>
      <c r="R1311" s="54"/>
      <c r="S1311" s="54"/>
      <c r="T1311" s="54"/>
    </row>
    <row r="1312" spans="1:20" ht="15" customHeight="1" x14ac:dyDescent="0.2">
      <c r="A1312" s="48"/>
      <c r="B1312" s="148"/>
      <c r="C1312" s="148" t="s">
        <v>1056</v>
      </c>
      <c r="D1312" s="148" t="s">
        <v>293</v>
      </c>
      <c r="E1312" s="154">
        <v>1</v>
      </c>
      <c r="F1312" s="144" t="str">
        <f>IF(AND(ISNA(VLOOKUP(D1312,A:A,1,FALSE())),ISNA(VLOOKUP(D1312,BaseType!A:A,1,FALSE())),D1312&lt;&gt;"Struct"),"N","Y")</f>
        <v>Y</v>
      </c>
      <c r="G1312" s="150" t="s">
        <v>1057</v>
      </c>
      <c r="H1312" s="141"/>
      <c r="I1312" s="141"/>
      <c r="J1312" s="141"/>
      <c r="K1312" s="141"/>
      <c r="L1312" s="141"/>
      <c r="M1312" s="141"/>
      <c r="N1312" s="54"/>
      <c r="O1312" s="54"/>
      <c r="P1312" s="54"/>
      <c r="Q1312" s="54"/>
      <c r="R1312" s="54"/>
      <c r="S1312" s="54"/>
      <c r="T1312" s="54"/>
    </row>
    <row r="1313" spans="1:20" ht="15" customHeight="1" x14ac:dyDescent="0.2">
      <c r="A1313" s="48"/>
      <c r="B1313" s="148"/>
      <c r="C1313" s="148" t="s">
        <v>1058</v>
      </c>
      <c r="D1313" s="148" t="s">
        <v>293</v>
      </c>
      <c r="E1313" s="154">
        <v>1</v>
      </c>
      <c r="F1313" s="144" t="str">
        <f>IF(AND(ISNA(VLOOKUP(D1313,A:A,1,FALSE())),ISNA(VLOOKUP(D1313,BaseType!A:A,1,FALSE())),D1313&lt;&gt;"Struct"),"N","Y")</f>
        <v>Y</v>
      </c>
      <c r="G1313" s="150" t="s">
        <v>1059</v>
      </c>
      <c r="H1313" s="141"/>
      <c r="I1313" s="141"/>
      <c r="J1313" s="141"/>
      <c r="K1313" s="141"/>
      <c r="L1313" s="141"/>
      <c r="M1313" s="141"/>
      <c r="N1313" s="54"/>
      <c r="O1313" s="54"/>
      <c r="P1313" s="54"/>
      <c r="Q1313" s="54"/>
      <c r="R1313" s="54"/>
      <c r="S1313" s="54"/>
      <c r="T1313" s="54"/>
    </row>
    <row r="1314" spans="1:20" ht="15" customHeight="1" x14ac:dyDescent="0.2">
      <c r="A1314" s="48"/>
      <c r="B1314" s="148"/>
      <c r="C1314" s="148" t="s">
        <v>1060</v>
      </c>
      <c r="D1314" s="148" t="s">
        <v>193</v>
      </c>
      <c r="E1314" s="154">
        <v>1</v>
      </c>
      <c r="F1314" s="144" t="str">
        <f>IF(AND(ISNA(VLOOKUP(D1314,A:A,1,FALSE())),ISNA(VLOOKUP(D1314,BaseType!A:A,1,FALSE())),D1314&lt;&gt;"Struct"),"N","Y")</f>
        <v>Y</v>
      </c>
      <c r="G1314" s="150" t="s">
        <v>1061</v>
      </c>
      <c r="H1314" s="141"/>
      <c r="I1314" s="141"/>
      <c r="J1314" s="141"/>
      <c r="K1314" s="141"/>
      <c r="L1314" s="141"/>
      <c r="M1314" s="141"/>
      <c r="N1314" s="54"/>
      <c r="O1314" s="54"/>
      <c r="P1314" s="54"/>
      <c r="Q1314" s="54"/>
      <c r="R1314" s="54"/>
      <c r="S1314" s="54"/>
      <c r="T1314" s="54"/>
    </row>
    <row r="1315" spans="1:20" ht="15" customHeight="1" x14ac:dyDescent="0.2">
      <c r="A1315" s="48"/>
      <c r="B1315" s="48"/>
      <c r="C1315" s="48" t="s">
        <v>2035</v>
      </c>
      <c r="D1315" s="148" t="s">
        <v>193</v>
      </c>
      <c r="E1315" s="46">
        <v>1</v>
      </c>
      <c r="F1315" s="144" t="str">
        <f>IF(AND(ISNA(VLOOKUP(D1315,A:A,1,FALSE())),ISNA(VLOOKUP(D1315,BaseType!A:A,1,FALSE())),D1315&lt;&gt;"Struct"),"N","Y")</f>
        <v>Y</v>
      </c>
      <c r="G1315" s="151" t="s">
        <v>2064</v>
      </c>
      <c r="H1315" s="141"/>
      <c r="I1315" s="141"/>
      <c r="J1315" s="141"/>
      <c r="K1315" s="141"/>
      <c r="L1315" s="141"/>
      <c r="M1315" s="141"/>
      <c r="N1315" s="54"/>
      <c r="O1315" s="54"/>
      <c r="P1315" s="54"/>
      <c r="Q1315" s="54"/>
      <c r="R1315" s="54"/>
      <c r="S1315" s="54"/>
      <c r="T1315" s="54"/>
    </row>
    <row r="1316" spans="1:20" ht="15" customHeight="1" x14ac:dyDescent="0.2">
      <c r="A1316" s="48"/>
      <c r="B1316" s="48"/>
      <c r="C1316" s="48" t="s">
        <v>2065</v>
      </c>
      <c r="D1316" s="48" t="s">
        <v>193</v>
      </c>
      <c r="E1316" s="46">
        <v>1</v>
      </c>
      <c r="F1316" s="144" t="str">
        <f>IF(AND(ISNA(VLOOKUP(D1316,A:A,1,FALSE())),ISNA(VLOOKUP(D1316,BaseType!A:A,1,FALSE())),D1316&lt;&gt;"Struct"),"N","Y")</f>
        <v>Y</v>
      </c>
      <c r="G1316" s="151" t="s">
        <v>2064</v>
      </c>
      <c r="H1316" s="141"/>
      <c r="I1316" s="141"/>
      <c r="J1316" s="141"/>
      <c r="K1316" s="141"/>
      <c r="L1316" s="141"/>
      <c r="M1316" s="141"/>
      <c r="N1316" s="54"/>
      <c r="O1316" s="54"/>
      <c r="P1316" s="54"/>
      <c r="Q1316" s="54"/>
      <c r="R1316" s="54"/>
      <c r="S1316" s="54"/>
      <c r="T1316" s="54"/>
    </row>
    <row r="1317" spans="1:20" ht="15" customHeight="1" x14ac:dyDescent="0.2">
      <c r="A1317" s="48"/>
      <c r="B1317" s="48"/>
      <c r="C1317" s="48" t="s">
        <v>2066</v>
      </c>
      <c r="D1317" s="48" t="s">
        <v>193</v>
      </c>
      <c r="E1317" s="46">
        <v>1</v>
      </c>
      <c r="F1317" s="144" t="str">
        <f>IF(AND(ISNA(VLOOKUP(D1317,A:A,1,FALSE())),ISNA(VLOOKUP(D1317,BaseType!A:A,1,FALSE())),D1317&lt;&gt;"Struct"),"N","Y")</f>
        <v>Y</v>
      </c>
      <c r="G1317" s="151" t="s">
        <v>2064</v>
      </c>
      <c r="H1317" s="141"/>
      <c r="I1317" s="141"/>
      <c r="J1317" s="141"/>
      <c r="K1317" s="141"/>
      <c r="L1317" s="141"/>
      <c r="M1317" s="141"/>
      <c r="N1317" s="54"/>
      <c r="O1317" s="54"/>
      <c r="P1317" s="54"/>
      <c r="Q1317" s="54"/>
      <c r="R1317" s="54"/>
      <c r="S1317" s="54"/>
      <c r="T1317" s="54"/>
    </row>
    <row r="1318" spans="1:20" ht="15" customHeight="1" x14ac:dyDescent="0.2">
      <c r="A1318" s="48"/>
      <c r="B1318" s="48"/>
      <c r="C1318" s="48" t="s">
        <v>2067</v>
      </c>
      <c r="D1318" s="48" t="s">
        <v>193</v>
      </c>
      <c r="E1318" s="46">
        <v>1</v>
      </c>
      <c r="F1318" s="144" t="str">
        <f>IF(AND(ISNA(VLOOKUP(D1318,A:A,1,FALSE())),ISNA(VLOOKUP(D1318,BaseType!A:A,1,FALSE())),D1318&lt;&gt;"Struct"),"N","Y")</f>
        <v>Y</v>
      </c>
      <c r="G1318" s="151" t="s">
        <v>2064</v>
      </c>
      <c r="H1318" s="141"/>
      <c r="I1318" s="141"/>
      <c r="J1318" s="141"/>
      <c r="K1318" s="141"/>
      <c r="L1318" s="141"/>
      <c r="M1318" s="141"/>
      <c r="N1318" s="54"/>
      <c r="O1318" s="54"/>
      <c r="P1318" s="54"/>
      <c r="Q1318" s="54"/>
      <c r="R1318" s="54"/>
      <c r="S1318" s="54"/>
      <c r="T1318" s="54"/>
    </row>
    <row r="1319" spans="1:20" ht="15" customHeight="1" x14ac:dyDescent="0.2">
      <c r="A1319" s="48"/>
      <c r="B1319" s="48"/>
      <c r="C1319" s="48" t="s">
        <v>2068</v>
      </c>
      <c r="D1319" s="48" t="s">
        <v>631</v>
      </c>
      <c r="E1319" s="46">
        <v>1</v>
      </c>
      <c r="F1319" s="144" t="str">
        <f>IF(AND(ISNA(VLOOKUP(D1319,A:A,1,FALSE())),ISNA(VLOOKUP(D1319,BaseType!A:A,1,FALSE())),D1319&lt;&gt;"Struct"),"N","Y")</f>
        <v>Y</v>
      </c>
      <c r="G1319" s="151" t="s">
        <v>2069</v>
      </c>
      <c r="H1319" s="141"/>
      <c r="I1319" s="141"/>
      <c r="J1319" s="141"/>
      <c r="K1319" s="141"/>
      <c r="L1319" s="141"/>
      <c r="M1319" s="141"/>
      <c r="N1319" s="54"/>
      <c r="O1319" s="54"/>
      <c r="P1319" s="54"/>
      <c r="Q1319" s="54"/>
      <c r="R1319" s="54"/>
      <c r="S1319" s="54"/>
      <c r="T1319" s="54"/>
    </row>
    <row r="1320" spans="1:20" ht="15" customHeight="1" x14ac:dyDescent="0.2">
      <c r="A1320" s="48"/>
      <c r="B1320" s="48"/>
      <c r="C1320" s="48" t="s">
        <v>1861</v>
      </c>
      <c r="D1320" s="48" t="s">
        <v>1249</v>
      </c>
      <c r="E1320" s="46">
        <v>1</v>
      </c>
      <c r="F1320" s="144" t="s">
        <v>388</v>
      </c>
      <c r="G1320" s="151" t="s">
        <v>7</v>
      </c>
      <c r="H1320" s="141"/>
      <c r="I1320" s="141"/>
      <c r="J1320" s="141"/>
      <c r="K1320" s="141"/>
      <c r="L1320" s="141"/>
      <c r="M1320" s="141"/>
      <c r="N1320" s="54"/>
      <c r="O1320" s="54"/>
      <c r="P1320" s="54"/>
      <c r="Q1320" s="54"/>
      <c r="R1320" s="54"/>
      <c r="S1320" s="54"/>
      <c r="T1320" s="54"/>
    </row>
    <row r="1321" spans="1:20" ht="15" customHeight="1" x14ac:dyDescent="0.2">
      <c r="A1321" s="48"/>
      <c r="B1321" s="48"/>
      <c r="C1321" s="48" t="s">
        <v>1858</v>
      </c>
      <c r="D1321" s="48" t="s">
        <v>193</v>
      </c>
      <c r="E1321" s="46">
        <v>1</v>
      </c>
      <c r="F1321" s="144" t="s">
        <v>388</v>
      </c>
      <c r="G1321" s="151" t="s">
        <v>7</v>
      </c>
      <c r="H1321" s="141"/>
      <c r="I1321" s="141"/>
      <c r="J1321" s="141"/>
      <c r="K1321" s="141"/>
      <c r="L1321" s="141"/>
      <c r="M1321" s="141"/>
      <c r="N1321" s="54"/>
      <c r="O1321" s="54"/>
      <c r="P1321" s="54"/>
      <c r="Q1321" s="54"/>
      <c r="R1321" s="54"/>
      <c r="S1321" s="54"/>
      <c r="T1321" s="54"/>
    </row>
    <row r="1322" spans="1:20" ht="15" customHeight="1" x14ac:dyDescent="0.2">
      <c r="A1322" s="48" t="s">
        <v>2070</v>
      </c>
      <c r="B1322" s="143" t="str">
        <f>IF(ISBLANK(A1322),"",IF(AND(ISNA(VLOOKUP(A1322,Interface_Platform!E:E,1,FALSE())),ISNA(VLOOKUP(A1322,D:D,1,FALSE()))),"N","Y"))</f>
        <v>Y</v>
      </c>
      <c r="C1322" s="48"/>
      <c r="D1322" s="48" t="s">
        <v>484</v>
      </c>
      <c r="E1322" s="46"/>
      <c r="F1322" s="144"/>
      <c r="G1322" s="151"/>
      <c r="H1322" s="141"/>
      <c r="I1322" s="141"/>
      <c r="J1322" s="141"/>
      <c r="K1322" s="141"/>
      <c r="L1322" s="141"/>
      <c r="M1322" s="141"/>
      <c r="N1322" s="54"/>
      <c r="O1322" s="54"/>
      <c r="P1322" s="54"/>
      <c r="Q1322" s="54"/>
      <c r="R1322" s="54"/>
      <c r="S1322" s="54"/>
      <c r="T1322" s="54"/>
    </row>
    <row r="1323" spans="1:20" ht="15" customHeight="1" x14ac:dyDescent="0.2">
      <c r="A1323" s="48"/>
      <c r="B1323" s="48"/>
      <c r="C1323" s="48" t="s">
        <v>2071</v>
      </c>
      <c r="D1323" s="48" t="s">
        <v>193</v>
      </c>
      <c r="E1323" s="46">
        <v>1</v>
      </c>
      <c r="F1323" s="144" t="s">
        <v>388</v>
      </c>
      <c r="G1323" s="151"/>
      <c r="H1323" s="141"/>
      <c r="I1323" s="141"/>
      <c r="J1323" s="141"/>
      <c r="K1323" s="141"/>
      <c r="L1323" s="141"/>
      <c r="M1323" s="141"/>
      <c r="N1323" s="54"/>
      <c r="O1323" s="54"/>
      <c r="P1323" s="54"/>
      <c r="Q1323" s="54"/>
      <c r="R1323" s="54"/>
      <c r="S1323" s="54"/>
      <c r="T1323" s="54"/>
    </row>
    <row r="1324" spans="1:20" ht="15" customHeight="1" x14ac:dyDescent="0.2">
      <c r="A1324" s="48"/>
      <c r="B1324" s="48"/>
      <c r="C1324" s="48" t="s">
        <v>2072</v>
      </c>
      <c r="D1324" s="48" t="s">
        <v>193</v>
      </c>
      <c r="E1324" s="46">
        <v>1</v>
      </c>
      <c r="F1324" s="144" t="s">
        <v>388</v>
      </c>
      <c r="G1324" s="151"/>
      <c r="H1324" s="141"/>
      <c r="I1324" s="141"/>
      <c r="J1324" s="141"/>
      <c r="K1324" s="141"/>
      <c r="L1324" s="141"/>
      <c r="M1324" s="141"/>
      <c r="N1324" s="54"/>
      <c r="O1324" s="54"/>
      <c r="P1324" s="54"/>
      <c r="Q1324" s="54"/>
      <c r="R1324" s="54"/>
      <c r="S1324" s="54"/>
      <c r="T1324" s="54"/>
    </row>
    <row r="1325" spans="1:20" ht="15" customHeight="1" x14ac:dyDescent="0.2">
      <c r="A1325" s="48"/>
      <c r="B1325" s="48"/>
      <c r="C1325" s="48" t="s">
        <v>2073</v>
      </c>
      <c r="D1325" s="48" t="s">
        <v>193</v>
      </c>
      <c r="E1325" s="46">
        <v>1</v>
      </c>
      <c r="F1325" s="144" t="s">
        <v>388</v>
      </c>
      <c r="G1325" s="151"/>
      <c r="H1325" s="141"/>
      <c r="I1325" s="141"/>
      <c r="J1325" s="141"/>
      <c r="K1325" s="141"/>
      <c r="L1325" s="141"/>
      <c r="M1325" s="141"/>
      <c r="N1325" s="54"/>
      <c r="O1325" s="54"/>
      <c r="P1325" s="54"/>
      <c r="Q1325" s="54"/>
      <c r="R1325" s="54"/>
      <c r="S1325" s="54"/>
      <c r="T1325" s="54"/>
    </row>
    <row r="1326" spans="1:20" ht="15" customHeight="1" x14ac:dyDescent="0.2">
      <c r="A1326" s="48"/>
      <c r="B1326" s="48"/>
      <c r="C1326" s="48" t="s">
        <v>2074</v>
      </c>
      <c r="D1326" s="48" t="s">
        <v>193</v>
      </c>
      <c r="E1326" s="46">
        <v>2</v>
      </c>
      <c r="F1326" s="144" t="s">
        <v>388</v>
      </c>
      <c r="G1326" s="151"/>
      <c r="H1326" s="141"/>
      <c r="I1326" s="141"/>
      <c r="J1326" s="141"/>
      <c r="K1326" s="141"/>
      <c r="L1326" s="141"/>
      <c r="M1326" s="141"/>
      <c r="N1326" s="54"/>
      <c r="O1326" s="54"/>
      <c r="P1326" s="54"/>
      <c r="Q1326" s="54"/>
      <c r="R1326" s="54"/>
      <c r="S1326" s="54"/>
      <c r="T1326" s="54"/>
    </row>
    <row r="1327" spans="1:20" ht="15" customHeight="1" x14ac:dyDescent="0.2">
      <c r="A1327" s="48"/>
      <c r="B1327" s="48"/>
      <c r="C1327" s="48" t="s">
        <v>2075</v>
      </c>
      <c r="D1327" s="48" t="s">
        <v>298</v>
      </c>
      <c r="E1327" s="46">
        <v>1</v>
      </c>
      <c r="F1327" s="144" t="s">
        <v>388</v>
      </c>
      <c r="G1327" s="151"/>
      <c r="H1327" s="141"/>
      <c r="I1327" s="141"/>
      <c r="J1327" s="141"/>
      <c r="K1327" s="141"/>
      <c r="L1327" s="141"/>
      <c r="M1327" s="141"/>
      <c r="N1327" s="54"/>
      <c r="O1327" s="54"/>
      <c r="P1327" s="54"/>
      <c r="Q1327" s="54"/>
      <c r="R1327" s="54"/>
      <c r="S1327" s="54"/>
      <c r="T1327" s="54"/>
    </row>
    <row r="1328" spans="1:20" ht="15" customHeight="1" x14ac:dyDescent="0.2">
      <c r="A1328" s="48"/>
      <c r="B1328" s="48"/>
      <c r="C1328" s="48" t="s">
        <v>2076</v>
      </c>
      <c r="D1328" s="48" t="s">
        <v>298</v>
      </c>
      <c r="E1328" s="46">
        <v>1</v>
      </c>
      <c r="F1328" s="144" t="s">
        <v>388</v>
      </c>
      <c r="G1328" s="151"/>
      <c r="H1328" s="141"/>
      <c r="I1328" s="141"/>
      <c r="J1328" s="141"/>
      <c r="K1328" s="141"/>
      <c r="L1328" s="141"/>
      <c r="M1328" s="141"/>
      <c r="N1328" s="54"/>
      <c r="O1328" s="54"/>
      <c r="P1328" s="54"/>
      <c r="Q1328" s="54"/>
      <c r="R1328" s="54"/>
      <c r="S1328" s="54"/>
      <c r="T1328" s="54"/>
    </row>
    <row r="1329" spans="1:20" ht="15" customHeight="1" x14ac:dyDescent="0.2">
      <c r="A1329" s="48"/>
      <c r="B1329" s="48"/>
      <c r="C1329" s="48" t="s">
        <v>2077</v>
      </c>
      <c r="D1329" s="48" t="s">
        <v>298</v>
      </c>
      <c r="E1329" s="46">
        <v>1</v>
      </c>
      <c r="F1329" s="144" t="s">
        <v>388</v>
      </c>
      <c r="G1329" s="151"/>
      <c r="H1329" s="141"/>
      <c r="I1329" s="141"/>
      <c r="J1329" s="141"/>
      <c r="K1329" s="141"/>
      <c r="L1329" s="141"/>
      <c r="M1329" s="141"/>
      <c r="N1329" s="54"/>
      <c r="O1329" s="54"/>
      <c r="P1329" s="54"/>
      <c r="Q1329" s="54"/>
      <c r="R1329" s="54"/>
      <c r="S1329" s="54"/>
      <c r="T1329" s="54"/>
    </row>
    <row r="1330" spans="1:20" ht="15" customHeight="1" x14ac:dyDescent="0.2">
      <c r="A1330" s="48"/>
      <c r="B1330" s="48"/>
      <c r="C1330" s="48" t="s">
        <v>2078</v>
      </c>
      <c r="D1330" s="48" t="s">
        <v>298</v>
      </c>
      <c r="E1330" s="46">
        <v>1</v>
      </c>
      <c r="F1330" s="144" t="s">
        <v>388</v>
      </c>
      <c r="G1330" s="151"/>
      <c r="H1330" s="141"/>
      <c r="I1330" s="141"/>
      <c r="J1330" s="141"/>
      <c r="K1330" s="141"/>
      <c r="L1330" s="141"/>
      <c r="M1330" s="141"/>
      <c r="N1330" s="54"/>
      <c r="O1330" s="54"/>
      <c r="P1330" s="54"/>
      <c r="Q1330" s="54"/>
      <c r="R1330" s="54"/>
      <c r="S1330" s="54"/>
      <c r="T1330" s="54"/>
    </row>
    <row r="1331" spans="1:20" ht="15" customHeight="1" x14ac:dyDescent="0.2">
      <c r="A1331" s="48"/>
      <c r="B1331" s="48"/>
      <c r="C1331" s="48" t="s">
        <v>2079</v>
      </c>
      <c r="D1331" s="48" t="s">
        <v>298</v>
      </c>
      <c r="E1331" s="46">
        <v>5</v>
      </c>
      <c r="F1331" s="144" t="s">
        <v>388</v>
      </c>
      <c r="G1331" s="151"/>
      <c r="H1331" s="141"/>
      <c r="I1331" s="141"/>
      <c r="J1331" s="141"/>
      <c r="K1331" s="141"/>
      <c r="L1331" s="141"/>
      <c r="M1331" s="141"/>
      <c r="N1331" s="54"/>
      <c r="O1331" s="54"/>
      <c r="P1331" s="54"/>
      <c r="Q1331" s="54"/>
      <c r="R1331" s="54"/>
      <c r="S1331" s="54"/>
      <c r="T1331" s="54"/>
    </row>
    <row r="1332" spans="1:20" ht="15" customHeight="1" x14ac:dyDescent="0.2">
      <c r="A1332" s="48" t="s">
        <v>2080</v>
      </c>
      <c r="B1332" s="143" t="str">
        <f>IF(ISBLANK(A1332),"",IF(AND(ISNA(VLOOKUP(A1332,Interface_Platform!E:E,1,FALSE())),ISNA(VLOOKUP(A1332,D:D,1,FALSE()))),"N","Y"))</f>
        <v>Y</v>
      </c>
      <c r="C1332" s="48"/>
      <c r="D1332" s="164" t="s">
        <v>1333</v>
      </c>
      <c r="E1332" s="46"/>
      <c r="F1332" s="144"/>
      <c r="G1332" s="151"/>
      <c r="H1332" s="141"/>
      <c r="I1332" s="141"/>
      <c r="J1332" s="141"/>
      <c r="K1332" s="141"/>
      <c r="L1332" s="141"/>
      <c r="M1332" s="141"/>
      <c r="N1332" s="54"/>
      <c r="O1332" s="54"/>
      <c r="P1332" s="54"/>
      <c r="Q1332" s="54"/>
      <c r="R1332" s="54"/>
      <c r="S1332" s="54"/>
      <c r="T1332" s="54"/>
    </row>
    <row r="1333" spans="1:20" ht="15" customHeight="1" x14ac:dyDescent="0.2">
      <c r="A1333" s="48"/>
      <c r="B1333" s="143"/>
      <c r="C1333" s="148" t="s">
        <v>2081</v>
      </c>
      <c r="D1333" s="143">
        <v>0</v>
      </c>
      <c r="E1333" s="46"/>
      <c r="F1333" s="144"/>
      <c r="G1333" s="151" t="s">
        <v>2082</v>
      </c>
      <c r="H1333" s="141"/>
      <c r="I1333" s="141"/>
      <c r="J1333" s="141"/>
      <c r="K1333" s="141"/>
      <c r="L1333" s="141"/>
      <c r="M1333" s="141"/>
      <c r="N1333" s="54"/>
      <c r="O1333" s="54"/>
      <c r="P1333" s="54"/>
      <c r="Q1333" s="54"/>
      <c r="R1333" s="54"/>
      <c r="S1333" s="54"/>
      <c r="T1333" s="54"/>
    </row>
    <row r="1334" spans="1:20" ht="15" customHeight="1" x14ac:dyDescent="0.2">
      <c r="A1334" s="48"/>
      <c r="B1334" s="143"/>
      <c r="C1334" s="148" t="s">
        <v>2083</v>
      </c>
      <c r="D1334" s="143">
        <v>1</v>
      </c>
      <c r="E1334" s="46"/>
      <c r="F1334" s="144"/>
      <c r="G1334" s="151" t="s">
        <v>2084</v>
      </c>
      <c r="H1334" s="141"/>
      <c r="I1334" s="141"/>
      <c r="J1334" s="141"/>
      <c r="K1334" s="141"/>
      <c r="L1334" s="141"/>
      <c r="M1334" s="141"/>
      <c r="N1334" s="54"/>
      <c r="O1334" s="54"/>
      <c r="P1334" s="54"/>
      <c r="Q1334" s="54"/>
      <c r="R1334" s="54"/>
      <c r="S1334" s="54"/>
      <c r="T1334" s="54"/>
    </row>
    <row r="1335" spans="1:20" ht="15" customHeight="1" x14ac:dyDescent="0.2">
      <c r="A1335" s="48"/>
      <c r="B1335" s="143"/>
      <c r="C1335" s="148" t="s">
        <v>2085</v>
      </c>
      <c r="D1335" s="143">
        <v>2</v>
      </c>
      <c r="E1335" s="46"/>
      <c r="F1335" s="144"/>
      <c r="G1335" s="151" t="s">
        <v>2086</v>
      </c>
      <c r="H1335" s="141"/>
      <c r="I1335" s="141"/>
      <c r="J1335" s="141"/>
      <c r="K1335" s="141"/>
      <c r="L1335" s="141"/>
      <c r="M1335" s="141"/>
      <c r="N1335" s="54"/>
      <c r="O1335" s="54"/>
      <c r="P1335" s="54"/>
      <c r="Q1335" s="54"/>
      <c r="R1335" s="54"/>
      <c r="S1335" s="54"/>
      <c r="T1335" s="54"/>
    </row>
    <row r="1336" spans="1:20" ht="15" customHeight="1" x14ac:dyDescent="0.2">
      <c r="A1336" s="48"/>
      <c r="B1336" s="143"/>
      <c r="C1336" s="148" t="s">
        <v>2087</v>
      </c>
      <c r="D1336" s="143">
        <v>3</v>
      </c>
      <c r="E1336" s="46"/>
      <c r="F1336" s="144"/>
      <c r="G1336" s="151" t="s">
        <v>2088</v>
      </c>
      <c r="H1336" s="141"/>
      <c r="I1336" s="141"/>
      <c r="J1336" s="141"/>
      <c r="K1336" s="141"/>
      <c r="L1336" s="141"/>
      <c r="M1336" s="141"/>
      <c r="N1336" s="54"/>
      <c r="O1336" s="54"/>
      <c r="P1336" s="54"/>
      <c r="Q1336" s="54"/>
      <c r="R1336" s="54"/>
      <c r="S1336" s="54"/>
      <c r="T1336" s="54"/>
    </row>
    <row r="1337" spans="1:20" ht="15" customHeight="1" x14ac:dyDescent="0.2">
      <c r="A1337" s="48" t="s">
        <v>246</v>
      </c>
      <c r="B1337" s="143" t="str">
        <f>IF(ISBLANK(A1337),"",IF(AND(ISNA(VLOOKUP(A1337,Interface_Platform!E:E,1,FALSE())),ISNA(VLOOKUP(A1337,D:D,1,FALSE()))),"N","Y"))</f>
        <v>Y</v>
      </c>
      <c r="C1337" s="141"/>
      <c r="D1337" s="174" t="s">
        <v>484</v>
      </c>
      <c r="E1337" s="46"/>
      <c r="F1337" s="144" t="str">
        <f>IF(AND(ISNA(VLOOKUP(D1337,A:A,1,FALSE())),ISNA(VLOOKUP(D1337,BaseType!A:A,1,FALSE())),D1337&lt;&gt;"Struct"),"N","Y")</f>
        <v>Y</v>
      </c>
      <c r="G1337" s="151"/>
      <c r="H1337" s="141"/>
      <c r="I1337" s="141"/>
      <c r="J1337" s="141"/>
      <c r="K1337" s="141"/>
      <c r="L1337" s="141"/>
      <c r="M1337" s="141"/>
      <c r="N1337" s="54"/>
      <c r="O1337" s="54"/>
      <c r="P1337" s="54"/>
      <c r="Q1337" s="54"/>
      <c r="R1337" s="54"/>
      <c r="S1337" s="54"/>
      <c r="T1337" s="54"/>
    </row>
    <row r="1338" spans="1:20" ht="15" customHeight="1" x14ac:dyDescent="0.2">
      <c r="A1338" s="48"/>
      <c r="B1338" s="48"/>
      <c r="C1338" s="48" t="s">
        <v>2089</v>
      </c>
      <c r="D1338" s="48" t="s">
        <v>193</v>
      </c>
      <c r="E1338" s="46">
        <v>1</v>
      </c>
      <c r="F1338" s="144" t="str">
        <f>IF(AND(ISNA(VLOOKUP(D1338,A:A,1,FALSE())),ISNA(VLOOKUP(D1338,BaseType!A:A,1,FALSE())),D1338&lt;&gt;"Struct"),"N","Y")</f>
        <v>Y</v>
      </c>
      <c r="G1338" s="151"/>
      <c r="H1338" s="141"/>
      <c r="I1338" s="141"/>
      <c r="J1338" s="141"/>
      <c r="K1338" s="141"/>
      <c r="L1338" s="141"/>
      <c r="M1338" s="141"/>
      <c r="N1338" s="54"/>
      <c r="O1338" s="54"/>
      <c r="P1338" s="54"/>
      <c r="Q1338" s="54"/>
      <c r="R1338" s="54"/>
      <c r="S1338" s="54"/>
      <c r="T1338" s="54"/>
    </row>
    <row r="1339" spans="1:20" ht="15" customHeight="1" x14ac:dyDescent="0.2">
      <c r="A1339" s="48"/>
      <c r="B1339" s="48"/>
      <c r="C1339" s="48" t="s">
        <v>2090</v>
      </c>
      <c r="D1339" s="48" t="s">
        <v>193</v>
      </c>
      <c r="E1339" s="46">
        <v>1</v>
      </c>
      <c r="F1339" s="144" t="str">
        <f>IF(AND(ISNA(VLOOKUP(D1339,A:A,1,FALSE())),ISNA(VLOOKUP(D1339,BaseType!A:A,1,FALSE())),D1339&lt;&gt;"Struct"),"N","Y")</f>
        <v>Y</v>
      </c>
      <c r="G1339" s="151" t="s">
        <v>2091</v>
      </c>
      <c r="H1339" s="141"/>
      <c r="I1339" s="141"/>
      <c r="J1339" s="141"/>
      <c r="K1339" s="141"/>
      <c r="L1339" s="141"/>
      <c r="M1339" s="141"/>
      <c r="N1339" s="54"/>
      <c r="O1339" s="54"/>
      <c r="P1339" s="54"/>
      <c r="Q1339" s="54"/>
      <c r="R1339" s="54"/>
      <c r="S1339" s="54"/>
      <c r="T1339" s="54"/>
    </row>
    <row r="1340" spans="1:20" ht="15" customHeight="1" x14ac:dyDescent="0.2">
      <c r="A1340" s="141"/>
      <c r="B1340" s="141"/>
      <c r="C1340" s="48" t="s">
        <v>2092</v>
      </c>
      <c r="D1340" s="48" t="s">
        <v>2080</v>
      </c>
      <c r="E1340" s="46">
        <v>1</v>
      </c>
      <c r="F1340" s="144" t="str">
        <f>IF(AND(ISNA(VLOOKUP(D1340,A:A,1,FALSE())),ISNA(VLOOKUP(D1340,BaseType!A:A,1,FALSE())),D1340&lt;&gt;"Struct"),"N","Y")</f>
        <v>Y</v>
      </c>
      <c r="G1340" s="145"/>
      <c r="H1340" s="141"/>
      <c r="I1340" s="141"/>
      <c r="J1340" s="141"/>
      <c r="K1340" s="141"/>
      <c r="L1340" s="141"/>
      <c r="M1340" s="141"/>
      <c r="N1340" s="54"/>
      <c r="O1340" s="54"/>
      <c r="P1340" s="54"/>
      <c r="Q1340" s="54"/>
      <c r="R1340" s="54"/>
      <c r="S1340" s="54"/>
      <c r="T1340" s="54"/>
    </row>
    <row r="1341" spans="1:20" ht="15" customHeight="1" x14ac:dyDescent="0.2">
      <c r="A1341" s="141"/>
      <c r="B1341" s="141"/>
      <c r="C1341" s="48" t="s">
        <v>2093</v>
      </c>
      <c r="D1341" s="48" t="s">
        <v>298</v>
      </c>
      <c r="E1341" s="46">
        <v>1</v>
      </c>
      <c r="F1341" s="144" t="str">
        <f>IF(AND(ISNA(VLOOKUP(D1341,A:A,1,FALSE())),ISNA(VLOOKUP(D1341,BaseType!A:A,1,FALSE())),D1341&lt;&gt;"Struct"),"N","Y")</f>
        <v>Y</v>
      </c>
      <c r="G1341" s="145" t="s">
        <v>11</v>
      </c>
      <c r="H1341" s="141"/>
      <c r="I1341" s="141"/>
      <c r="J1341" s="141"/>
      <c r="K1341" s="141"/>
      <c r="L1341" s="141"/>
      <c r="M1341" s="141"/>
      <c r="N1341" s="54"/>
      <c r="O1341" s="54"/>
      <c r="P1341" s="54"/>
      <c r="Q1341" s="54"/>
      <c r="R1341" s="54"/>
      <c r="S1341" s="54"/>
      <c r="T1341" s="54"/>
    </row>
    <row r="1342" spans="1:20" ht="15" customHeight="1" x14ac:dyDescent="0.2">
      <c r="A1342" s="48" t="s">
        <v>2094</v>
      </c>
      <c r="B1342" s="143" t="str">
        <f>IF(ISBLANK(A1342),"",IF(AND(ISNA(VLOOKUP(A1342,Interface_Platform!E:E,1,FALSE())),ISNA(VLOOKUP(A1342,D:D,1,FALSE()))),"N","Y"))</f>
        <v>Y</v>
      </c>
      <c r="C1342" s="148"/>
      <c r="D1342" s="143" t="s">
        <v>484</v>
      </c>
      <c r="E1342" s="46"/>
      <c r="F1342" s="144" t="str">
        <f>IF(AND(ISNA(VLOOKUP(D1342,A:A,1,FALSE())),ISNA(VLOOKUP(D1342,BaseType!A:A,1,FALSE())),D1342&lt;&gt;"Struct"),"N","Y")</f>
        <v>Y</v>
      </c>
      <c r="G1342" s="145"/>
      <c r="H1342" s="141"/>
      <c r="I1342" s="141"/>
      <c r="J1342" s="141"/>
      <c r="K1342" s="141"/>
      <c r="L1342" s="141"/>
      <c r="M1342" s="141"/>
      <c r="N1342" s="54"/>
      <c r="O1342" s="54"/>
      <c r="P1342" s="54"/>
      <c r="Q1342" s="54"/>
      <c r="R1342" s="54"/>
      <c r="S1342" s="54"/>
      <c r="T1342" s="54"/>
    </row>
    <row r="1343" spans="1:20" ht="15" customHeight="1" x14ac:dyDescent="0.2">
      <c r="A1343" s="48"/>
      <c r="B1343" s="143"/>
      <c r="C1343" s="148" t="s">
        <v>2095</v>
      </c>
      <c r="D1343" s="48" t="s">
        <v>193</v>
      </c>
      <c r="E1343" s="46">
        <v>1</v>
      </c>
      <c r="F1343" s="144" t="str">
        <f>IF(AND(ISNA(VLOOKUP(D1343,A:A,1,FALSE())),ISNA(VLOOKUP(D1343,BaseType!A:A,1,FALSE())),D1343&lt;&gt;"Struct"),"N","Y")</f>
        <v>Y</v>
      </c>
      <c r="G1343" s="145"/>
      <c r="H1343" s="141"/>
      <c r="I1343" s="141"/>
      <c r="J1343" s="141"/>
      <c r="K1343" s="141"/>
      <c r="L1343" s="141"/>
      <c r="M1343" s="141"/>
      <c r="N1343" s="54"/>
      <c r="O1343" s="54"/>
      <c r="P1343" s="54"/>
      <c r="Q1343" s="54"/>
      <c r="R1343" s="54"/>
      <c r="S1343" s="54"/>
      <c r="T1343" s="54"/>
    </row>
    <row r="1344" spans="1:20" ht="15" customHeight="1" x14ac:dyDescent="0.2">
      <c r="A1344" s="48"/>
      <c r="B1344" s="143"/>
      <c r="C1344" s="148" t="s">
        <v>2096</v>
      </c>
      <c r="D1344" s="148" t="s">
        <v>193</v>
      </c>
      <c r="E1344" s="46">
        <v>1</v>
      </c>
      <c r="F1344" s="144" t="str">
        <f>IF(AND(ISNA(VLOOKUP(D1344,A:A,1,FALSE())),ISNA(VLOOKUP(D1344,BaseType!A:A,1,FALSE())),D1344&lt;&gt;"Struct"),"N","Y")</f>
        <v>Y</v>
      </c>
      <c r="G1344" s="145"/>
      <c r="H1344" s="141"/>
      <c r="I1344" s="141"/>
      <c r="J1344" s="141"/>
      <c r="K1344" s="141"/>
      <c r="L1344" s="141"/>
      <c r="M1344" s="141"/>
      <c r="N1344" s="54"/>
      <c r="O1344" s="54"/>
      <c r="P1344" s="54"/>
      <c r="Q1344" s="54"/>
      <c r="R1344" s="54"/>
      <c r="S1344" s="54"/>
      <c r="T1344" s="54"/>
    </row>
    <row r="1345" spans="1:20" ht="15" customHeight="1" x14ac:dyDescent="0.2">
      <c r="A1345" s="48"/>
      <c r="B1345" s="143"/>
      <c r="C1345" s="148" t="s">
        <v>2097</v>
      </c>
      <c r="D1345" s="148" t="s">
        <v>193</v>
      </c>
      <c r="E1345" s="46">
        <v>1</v>
      </c>
      <c r="F1345" s="144" t="str">
        <f>IF(AND(ISNA(VLOOKUP(D1345,A:A,1,FALSE())),ISNA(VLOOKUP(D1345,BaseType!A:A,1,FALSE())),D1345&lt;&gt;"Struct"),"N","Y")</f>
        <v>Y</v>
      </c>
      <c r="G1345" s="145"/>
      <c r="H1345" s="141"/>
      <c r="I1345" s="141"/>
      <c r="J1345" s="141"/>
      <c r="K1345" s="141"/>
      <c r="L1345" s="141"/>
      <c r="M1345" s="141"/>
      <c r="N1345" s="54"/>
      <c r="O1345" s="54"/>
      <c r="P1345" s="54"/>
      <c r="Q1345" s="54"/>
      <c r="R1345" s="54"/>
      <c r="S1345" s="54"/>
      <c r="T1345" s="54"/>
    </row>
    <row r="1346" spans="1:20" ht="15" customHeight="1" x14ac:dyDescent="0.2">
      <c r="A1346" s="141" t="s">
        <v>2098</v>
      </c>
      <c r="B1346" s="143" t="str">
        <f>IF(ISBLANK(A1346),"",IF(AND(ISNA(VLOOKUP(A1346,Interface_Platform!E:E,1,FALSE())),ISNA(VLOOKUP(A1346,D:D,1,FALSE()))),"N","Y"))</f>
        <v>Y</v>
      </c>
      <c r="C1346" s="48"/>
      <c r="D1346" s="143" t="s">
        <v>484</v>
      </c>
      <c r="E1346" s="46"/>
      <c r="F1346" s="144" t="str">
        <f>IF(AND(ISNA(VLOOKUP(D1346,A:A,1,FALSE())),ISNA(VLOOKUP(D1346,BaseType!A:A,1,FALSE())),D1346&lt;&gt;"Struct"),"N","Y")</f>
        <v>Y</v>
      </c>
      <c r="G1346" s="145"/>
      <c r="H1346" s="141"/>
      <c r="I1346" s="141"/>
      <c r="J1346" s="141"/>
      <c r="K1346" s="141"/>
      <c r="L1346" s="141"/>
      <c r="M1346" s="141"/>
      <c r="N1346" s="54"/>
      <c r="O1346" s="54"/>
      <c r="P1346" s="54"/>
      <c r="Q1346" s="54"/>
      <c r="R1346" s="54"/>
      <c r="S1346" s="54"/>
      <c r="T1346" s="54"/>
    </row>
    <row r="1347" spans="1:20" ht="15" customHeight="1" x14ac:dyDescent="0.2">
      <c r="A1347" s="141"/>
      <c r="B1347" s="141"/>
      <c r="C1347" s="48" t="s">
        <v>2099</v>
      </c>
      <c r="D1347" s="48" t="s">
        <v>298</v>
      </c>
      <c r="E1347" s="46">
        <v>1</v>
      </c>
      <c r="F1347" s="144" t="str">
        <f>IF(AND(ISNA(VLOOKUP(D1347,A:A,1,FALSE())),ISNA(VLOOKUP(D1347,BaseType!A:A,1,FALSE())),D1347&lt;&gt;"Struct"),"N","Y")</f>
        <v>Y</v>
      </c>
      <c r="G1347" s="145"/>
      <c r="H1347" s="141"/>
      <c r="I1347" s="141"/>
      <c r="J1347" s="141"/>
      <c r="K1347" s="141"/>
      <c r="L1347" s="141"/>
      <c r="M1347" s="141"/>
      <c r="N1347" s="54"/>
      <c r="O1347" s="54"/>
      <c r="P1347" s="54"/>
      <c r="Q1347" s="54"/>
      <c r="R1347" s="54"/>
      <c r="S1347" s="54"/>
      <c r="T1347" s="54"/>
    </row>
    <row r="1348" spans="1:20" ht="15" customHeight="1" x14ac:dyDescent="0.2">
      <c r="A1348" s="141"/>
      <c r="B1348" s="141"/>
      <c r="C1348" s="48" t="s">
        <v>2100</v>
      </c>
      <c r="D1348" s="48" t="s">
        <v>246</v>
      </c>
      <c r="E1348" s="46">
        <v>1</v>
      </c>
      <c r="F1348" s="144" t="str">
        <f>IF(AND(ISNA(VLOOKUP(D1348,A:A,1,FALSE())),ISNA(VLOOKUP(D1348,BaseType!A:A,1,FALSE())),D1348&lt;&gt;"Struct"),"N","Y")</f>
        <v>Y</v>
      </c>
      <c r="G1348" s="145"/>
      <c r="H1348" s="141"/>
      <c r="I1348" s="141"/>
      <c r="J1348" s="141"/>
      <c r="K1348" s="141"/>
      <c r="L1348" s="141"/>
      <c r="M1348" s="141"/>
      <c r="N1348" s="54"/>
      <c r="O1348" s="54"/>
      <c r="P1348" s="54"/>
      <c r="Q1348" s="54"/>
      <c r="R1348" s="54"/>
      <c r="S1348" s="54"/>
      <c r="T1348" s="54"/>
    </row>
    <row r="1349" spans="1:20" ht="15" customHeight="1" x14ac:dyDescent="0.2">
      <c r="A1349" s="141" t="s">
        <v>411</v>
      </c>
      <c r="B1349" s="143" t="str">
        <f>IF(ISBLANK(A1349),"",IF(AND(ISNA(VLOOKUP(A1349,Interface_Platform!E:E,1,FALSE())),ISNA(VLOOKUP(A1349,D:D,1,FALSE()))),"N","Y"))</f>
        <v>Y</v>
      </c>
      <c r="C1349" s="48"/>
      <c r="D1349" s="48" t="s">
        <v>484</v>
      </c>
      <c r="E1349" s="46"/>
      <c r="F1349" s="144" t="str">
        <f>IF(AND(ISNA(VLOOKUP(D1349,A:A,1,FALSE())),ISNA(VLOOKUP(D1349,BaseType!A:A,1,FALSE())),D1349&lt;&gt;"Struct"),"N","Y")</f>
        <v>Y</v>
      </c>
      <c r="G1349" s="145"/>
      <c r="H1349" s="141"/>
      <c r="I1349" s="141"/>
      <c r="J1349" s="141"/>
      <c r="K1349" s="141"/>
      <c r="L1349" s="141"/>
      <c r="M1349" s="141"/>
      <c r="N1349" s="54"/>
      <c r="O1349" s="54"/>
      <c r="P1349" s="54"/>
      <c r="Q1349" s="54"/>
      <c r="R1349" s="54"/>
      <c r="S1349" s="54"/>
      <c r="T1349" s="54"/>
    </row>
    <row r="1350" spans="1:20" ht="15" customHeight="1" x14ac:dyDescent="0.2">
      <c r="A1350" s="141"/>
      <c r="B1350" s="141"/>
      <c r="C1350" s="48" t="s">
        <v>2101</v>
      </c>
      <c r="D1350" s="48" t="s">
        <v>193</v>
      </c>
      <c r="E1350" s="46">
        <v>12</v>
      </c>
      <c r="F1350" s="144" t="str">
        <f>IF(AND(ISNA(VLOOKUP(D1350,A:A,1,FALSE())),ISNA(VLOOKUP(D1350,BaseType!A:A,1,FALSE())),D1350&lt;&gt;"Struct"),"N","Y")</f>
        <v>Y</v>
      </c>
      <c r="G1350" s="145"/>
      <c r="H1350" s="141"/>
      <c r="I1350" s="141"/>
      <c r="J1350" s="141"/>
      <c r="K1350" s="141"/>
      <c r="L1350" s="141"/>
      <c r="M1350" s="141"/>
      <c r="N1350" s="54"/>
      <c r="O1350" s="54"/>
      <c r="P1350" s="54"/>
      <c r="Q1350" s="54"/>
      <c r="R1350" s="54"/>
      <c r="S1350" s="54"/>
      <c r="T1350" s="54"/>
    </row>
    <row r="1351" spans="1:20" ht="15" customHeight="1" x14ac:dyDescent="0.2">
      <c r="A1351" s="141"/>
      <c r="B1351" s="141"/>
      <c r="C1351" s="48" t="s">
        <v>2102</v>
      </c>
      <c r="D1351" s="48" t="s">
        <v>193</v>
      </c>
      <c r="E1351" s="46">
        <v>12</v>
      </c>
      <c r="F1351" s="144" t="str">
        <f>IF(AND(ISNA(VLOOKUP(D1351,A:A,1,FALSE())),ISNA(VLOOKUP(D1351,BaseType!A:A,1,FALSE())),D1351&lt;&gt;"Struct"),"N","Y")</f>
        <v>Y</v>
      </c>
      <c r="G1351" s="145"/>
      <c r="H1351" s="141"/>
      <c r="I1351" s="141"/>
      <c r="J1351" s="141"/>
      <c r="K1351" s="141"/>
      <c r="L1351" s="141"/>
      <c r="M1351" s="141"/>
      <c r="N1351" s="54"/>
      <c r="O1351" s="54"/>
      <c r="P1351" s="54"/>
      <c r="Q1351" s="54"/>
      <c r="R1351" s="54"/>
      <c r="S1351" s="54"/>
      <c r="T1351" s="54"/>
    </row>
    <row r="1352" spans="1:20" ht="15" customHeight="1" x14ac:dyDescent="0.2">
      <c r="A1352" s="141"/>
      <c r="B1352" s="141"/>
      <c r="C1352" s="48" t="s">
        <v>2103</v>
      </c>
      <c r="D1352" s="48" t="s">
        <v>193</v>
      </c>
      <c r="E1352" s="46">
        <v>12</v>
      </c>
      <c r="F1352" s="144" t="str">
        <f>IF(AND(ISNA(VLOOKUP(D1352,A:A,1,FALSE())),ISNA(VLOOKUP(D1352,BaseType!A:A,1,FALSE())),D1352&lt;&gt;"Struct"),"N","Y")</f>
        <v>Y</v>
      </c>
      <c r="G1352" s="145"/>
      <c r="H1352" s="141"/>
      <c r="I1352" s="141"/>
      <c r="J1352" s="141"/>
      <c r="K1352" s="141"/>
      <c r="L1352" s="141"/>
      <c r="M1352" s="141"/>
      <c r="N1352" s="54"/>
      <c r="O1352" s="54"/>
      <c r="P1352" s="54"/>
      <c r="Q1352" s="54"/>
      <c r="R1352" s="54"/>
      <c r="S1352" s="54"/>
      <c r="T1352" s="54"/>
    </row>
    <row r="1353" spans="1:20" ht="15" customHeight="1" x14ac:dyDescent="0.2">
      <c r="A1353" s="141"/>
      <c r="B1353" s="141"/>
      <c r="C1353" s="48" t="s">
        <v>2104</v>
      </c>
      <c r="D1353" s="48" t="s">
        <v>193</v>
      </c>
      <c r="E1353" s="46">
        <v>24</v>
      </c>
      <c r="F1353" s="144" t="str">
        <f>IF(AND(ISNA(VLOOKUP(D1353,A:A,1,FALSE())),ISNA(VLOOKUP(D1353,BaseType!A:A,1,FALSE())),D1353&lt;&gt;"Struct"),"N","Y")</f>
        <v>Y</v>
      </c>
      <c r="G1353" s="145"/>
      <c r="H1353" s="141"/>
      <c r="I1353" s="141"/>
      <c r="J1353" s="141"/>
      <c r="K1353" s="141"/>
      <c r="L1353" s="141"/>
      <c r="M1353" s="141"/>
      <c r="N1353" s="54"/>
      <c r="O1353" s="54"/>
      <c r="P1353" s="54"/>
      <c r="Q1353" s="54"/>
      <c r="R1353" s="54"/>
      <c r="S1353" s="54"/>
      <c r="T1353" s="54"/>
    </row>
    <row r="1354" spans="1:20" ht="15" customHeight="1" x14ac:dyDescent="0.2">
      <c r="A1354" s="141"/>
      <c r="B1354" s="141"/>
      <c r="C1354" s="48" t="s">
        <v>2105</v>
      </c>
      <c r="D1354" s="48" t="s">
        <v>298</v>
      </c>
      <c r="E1354" s="46">
        <v>1</v>
      </c>
      <c r="F1354" s="144" t="str">
        <f>IF(AND(ISNA(VLOOKUP(D1354,A:A,1,FALSE())),ISNA(VLOOKUP(D1354,BaseType!A:A,1,FALSE())),D1354&lt;&gt;"Struct"),"N","Y")</f>
        <v>Y</v>
      </c>
      <c r="G1354" s="145"/>
      <c r="H1354" s="141"/>
      <c r="I1354" s="141"/>
      <c r="J1354" s="141"/>
      <c r="K1354" s="141"/>
      <c r="L1354" s="141"/>
      <c r="M1354" s="141"/>
      <c r="N1354" s="54"/>
      <c r="O1354" s="54"/>
      <c r="P1354" s="54"/>
      <c r="Q1354" s="54"/>
      <c r="R1354" s="54"/>
      <c r="S1354" s="54"/>
      <c r="T1354" s="54"/>
    </row>
    <row r="1355" spans="1:20" ht="15" customHeight="1" x14ac:dyDescent="0.2">
      <c r="A1355" s="141"/>
      <c r="B1355" s="141"/>
      <c r="C1355" s="48" t="s">
        <v>2106</v>
      </c>
      <c r="D1355" s="48" t="s">
        <v>2094</v>
      </c>
      <c r="E1355" s="46">
        <v>4</v>
      </c>
      <c r="F1355" s="144" t="str">
        <f>IF(AND(ISNA(VLOOKUP(D1355,A:A,1,FALSE())),ISNA(VLOOKUP(D1355,BaseType!A:A,1,FALSE())),D1355&lt;&gt;"Struct"),"N","Y")</f>
        <v>Y</v>
      </c>
      <c r="G1355" s="145"/>
      <c r="H1355" s="141"/>
      <c r="I1355" s="141"/>
      <c r="J1355" s="141"/>
      <c r="K1355" s="141"/>
      <c r="L1355" s="141"/>
      <c r="M1355" s="141"/>
      <c r="N1355" s="54"/>
      <c r="O1355" s="54"/>
      <c r="P1355" s="54"/>
      <c r="Q1355" s="54"/>
      <c r="R1355" s="54"/>
      <c r="S1355" s="54"/>
      <c r="T1355" s="54"/>
    </row>
    <row r="1356" spans="1:20" ht="15" customHeight="1" x14ac:dyDescent="0.2">
      <c r="A1356" s="141"/>
      <c r="B1356" s="141"/>
      <c r="C1356" s="48" t="s">
        <v>2107</v>
      </c>
      <c r="D1356" s="48" t="s">
        <v>2070</v>
      </c>
      <c r="E1356" s="46">
        <v>1</v>
      </c>
      <c r="F1356" s="144" t="str">
        <f>IF(AND(ISNA(VLOOKUP(D1356,A:A,1,FALSE())),ISNA(VLOOKUP(D1356,BaseType!A:A,1,FALSE())),D1356&lt;&gt;"Struct"),"N","Y")</f>
        <v>Y</v>
      </c>
      <c r="G1356" s="145"/>
      <c r="H1356" s="141"/>
      <c r="I1356" s="141"/>
      <c r="J1356" s="141"/>
      <c r="K1356" s="141"/>
      <c r="L1356" s="141"/>
      <c r="M1356" s="141"/>
      <c r="N1356" s="54"/>
      <c r="O1356" s="54"/>
      <c r="P1356" s="54"/>
      <c r="Q1356" s="54"/>
      <c r="R1356" s="54"/>
      <c r="S1356" s="54"/>
      <c r="T1356" s="54"/>
    </row>
    <row r="1357" spans="1:20" ht="15" customHeight="1" x14ac:dyDescent="0.2">
      <c r="A1357" s="141"/>
      <c r="B1357" s="141"/>
      <c r="C1357" s="48" t="s">
        <v>2108</v>
      </c>
      <c r="D1357" s="48" t="s">
        <v>2098</v>
      </c>
      <c r="E1357" s="46">
        <v>24</v>
      </c>
      <c r="F1357" s="144" t="str">
        <f>IF(AND(ISNA(VLOOKUP(D1357,A:A,1,FALSE())),ISNA(VLOOKUP(D1357,BaseType!A:A,1,FALSE())),D1357&lt;&gt;"Struct"),"N","Y")</f>
        <v>Y</v>
      </c>
      <c r="G1357" s="145"/>
      <c r="H1357" s="141"/>
      <c r="I1357" s="141"/>
      <c r="J1357" s="141"/>
      <c r="K1357" s="141"/>
      <c r="L1357" s="141"/>
      <c r="M1357" s="141"/>
      <c r="N1357" s="54"/>
      <c r="O1357" s="54"/>
      <c r="P1357" s="54"/>
      <c r="Q1357" s="54"/>
      <c r="R1357" s="54"/>
      <c r="S1357" s="54"/>
      <c r="T1357" s="54"/>
    </row>
    <row r="1358" spans="1:20" ht="15" customHeight="1" x14ac:dyDescent="0.2">
      <c r="A1358" s="48" t="s">
        <v>2109</v>
      </c>
      <c r="B1358" s="143" t="str">
        <f>IF(ISBLANK(A1358),"",IF(AND(ISNA(VLOOKUP(A1358,Interface_Platform!E:E,1,FALSE())),ISNA(VLOOKUP(A1358,D:D,1,FALSE()))),"N","Y"))</f>
        <v>Y</v>
      </c>
      <c r="C1358" s="48"/>
      <c r="D1358" s="200" t="s">
        <v>1333</v>
      </c>
      <c r="E1358" s="46"/>
      <c r="F1358" s="144"/>
      <c r="G1358" s="145"/>
      <c r="H1358" s="141"/>
      <c r="I1358" s="141"/>
      <c r="J1358" s="141"/>
      <c r="K1358" s="141"/>
      <c r="L1358" s="141"/>
      <c r="M1358" s="141"/>
      <c r="N1358" s="54"/>
      <c r="O1358" s="54"/>
      <c r="P1358" s="54"/>
      <c r="Q1358" s="54"/>
      <c r="R1358" s="54"/>
      <c r="S1358" s="54"/>
      <c r="T1358" s="54"/>
    </row>
    <row r="1359" spans="1:20" ht="15" customHeight="1" x14ac:dyDescent="0.2">
      <c r="A1359" s="48"/>
      <c r="B1359" s="143"/>
      <c r="C1359" s="48" t="s">
        <v>2110</v>
      </c>
      <c r="D1359" s="143">
        <v>0</v>
      </c>
      <c r="E1359" s="46">
        <v>1</v>
      </c>
      <c r="F1359" s="144"/>
      <c r="G1359" s="145"/>
      <c r="H1359" s="141"/>
      <c r="I1359" s="141"/>
      <c r="J1359" s="141"/>
      <c r="K1359" s="141"/>
      <c r="L1359" s="141"/>
      <c r="M1359" s="141"/>
      <c r="N1359" s="54"/>
      <c r="O1359" s="54"/>
      <c r="P1359" s="54"/>
      <c r="Q1359" s="54"/>
      <c r="R1359" s="54"/>
      <c r="S1359" s="54"/>
      <c r="T1359" s="54"/>
    </row>
    <row r="1360" spans="1:20" ht="15" customHeight="1" x14ac:dyDescent="0.2">
      <c r="A1360" s="48"/>
      <c r="B1360" s="143"/>
      <c r="C1360" s="48" t="s">
        <v>2111</v>
      </c>
      <c r="D1360" s="143">
        <v>1</v>
      </c>
      <c r="E1360" s="46">
        <v>1</v>
      </c>
      <c r="F1360" s="144"/>
      <c r="G1360" s="145"/>
      <c r="H1360" s="141"/>
      <c r="I1360" s="141"/>
      <c r="J1360" s="141"/>
      <c r="K1360" s="141"/>
      <c r="L1360" s="141"/>
      <c r="M1360" s="141"/>
      <c r="N1360" s="54"/>
      <c r="O1360" s="54"/>
      <c r="P1360" s="54"/>
      <c r="Q1360" s="54"/>
      <c r="R1360" s="54"/>
      <c r="S1360" s="54"/>
      <c r="T1360" s="54"/>
    </row>
    <row r="1361" spans="1:20" ht="15" customHeight="1" x14ac:dyDescent="0.2">
      <c r="A1361" s="141"/>
      <c r="B1361" s="141"/>
      <c r="C1361" s="48" t="s">
        <v>2112</v>
      </c>
      <c r="D1361" s="143">
        <v>2</v>
      </c>
      <c r="E1361" s="46">
        <v>1</v>
      </c>
      <c r="F1361" s="144"/>
      <c r="G1361" s="145"/>
      <c r="H1361" s="141"/>
      <c r="I1361" s="141"/>
      <c r="J1361" s="141"/>
      <c r="K1361" s="141"/>
      <c r="L1361" s="141"/>
      <c r="M1361" s="141"/>
      <c r="N1361" s="54"/>
      <c r="O1361" s="54"/>
      <c r="P1361" s="54"/>
      <c r="Q1361" s="54"/>
      <c r="R1361" s="54"/>
      <c r="S1361" s="54"/>
      <c r="T1361" s="54"/>
    </row>
    <row r="1362" spans="1:20" ht="15" customHeight="1" x14ac:dyDescent="0.2">
      <c r="A1362" s="141"/>
      <c r="B1362" s="141"/>
      <c r="C1362" s="48" t="s">
        <v>2113</v>
      </c>
      <c r="D1362" s="143">
        <v>3</v>
      </c>
      <c r="E1362" s="46">
        <v>1</v>
      </c>
      <c r="F1362" s="144"/>
      <c r="G1362" s="145"/>
      <c r="H1362" s="141"/>
      <c r="I1362" s="141"/>
      <c r="J1362" s="141"/>
      <c r="K1362" s="141"/>
      <c r="L1362" s="141"/>
      <c r="M1362" s="141"/>
      <c r="N1362" s="54"/>
      <c r="O1362" s="54"/>
      <c r="P1362" s="54"/>
      <c r="Q1362" s="54"/>
      <c r="R1362" s="54"/>
      <c r="S1362" s="54"/>
      <c r="T1362" s="54"/>
    </row>
    <row r="1363" spans="1:20" ht="15" customHeight="1" x14ac:dyDescent="0.2">
      <c r="A1363" s="141"/>
      <c r="B1363" s="141"/>
      <c r="C1363" s="48" t="s">
        <v>2114</v>
      </c>
      <c r="D1363" s="143">
        <v>4</v>
      </c>
      <c r="E1363" s="46">
        <v>1</v>
      </c>
      <c r="F1363" s="144"/>
      <c r="G1363" s="145"/>
      <c r="H1363" s="141"/>
      <c r="I1363" s="141"/>
      <c r="J1363" s="141"/>
      <c r="K1363" s="141"/>
      <c r="L1363" s="141"/>
      <c r="M1363" s="141"/>
      <c r="N1363" s="54"/>
      <c r="O1363" s="54"/>
      <c r="P1363" s="54"/>
      <c r="Q1363" s="54"/>
      <c r="R1363" s="54"/>
      <c r="S1363" s="54"/>
      <c r="T1363" s="54"/>
    </row>
    <row r="1364" spans="1:20" ht="15" customHeight="1" x14ac:dyDescent="0.2">
      <c r="A1364" s="141"/>
      <c r="B1364" s="141"/>
      <c r="C1364" s="48" t="s">
        <v>2115</v>
      </c>
      <c r="D1364" s="143">
        <v>5</v>
      </c>
      <c r="E1364" s="46">
        <v>1</v>
      </c>
      <c r="F1364" s="144"/>
      <c r="G1364" s="145"/>
      <c r="H1364" s="141"/>
      <c r="I1364" s="141"/>
      <c r="J1364" s="141"/>
      <c r="K1364" s="141"/>
      <c r="L1364" s="141"/>
      <c r="M1364" s="141"/>
      <c r="N1364" s="54"/>
      <c r="O1364" s="54"/>
      <c r="P1364" s="54"/>
      <c r="Q1364" s="54"/>
      <c r="R1364" s="54"/>
      <c r="S1364" s="54"/>
      <c r="T1364" s="54"/>
    </row>
    <row r="1365" spans="1:20" ht="15" customHeight="1" x14ac:dyDescent="0.2">
      <c r="A1365" s="141"/>
      <c r="B1365" s="141"/>
      <c r="C1365" s="48" t="s">
        <v>2116</v>
      </c>
      <c r="D1365" s="143">
        <v>6</v>
      </c>
      <c r="E1365" s="46">
        <v>1</v>
      </c>
      <c r="F1365" s="144"/>
      <c r="G1365" s="145"/>
      <c r="H1365" s="141"/>
      <c r="I1365" s="141"/>
      <c r="J1365" s="141"/>
      <c r="K1365" s="141"/>
      <c r="L1365" s="141"/>
      <c r="M1365" s="141"/>
      <c r="N1365" s="54"/>
      <c r="O1365" s="54"/>
      <c r="P1365" s="54"/>
      <c r="Q1365" s="54"/>
      <c r="R1365" s="54"/>
      <c r="S1365" s="54"/>
      <c r="T1365" s="54"/>
    </row>
    <row r="1366" spans="1:20" ht="15" customHeight="1" x14ac:dyDescent="0.2">
      <c r="A1366" s="141"/>
      <c r="B1366" s="141"/>
      <c r="C1366" s="48" t="s">
        <v>2117</v>
      </c>
      <c r="D1366" s="143">
        <v>7</v>
      </c>
      <c r="E1366" s="46">
        <v>1</v>
      </c>
      <c r="F1366" s="144"/>
      <c r="G1366" s="145"/>
      <c r="H1366" s="141"/>
      <c r="I1366" s="141"/>
      <c r="J1366" s="141"/>
      <c r="K1366" s="141"/>
      <c r="L1366" s="141"/>
      <c r="M1366" s="141"/>
      <c r="N1366" s="54"/>
      <c r="O1366" s="54"/>
      <c r="P1366" s="54"/>
      <c r="Q1366" s="54"/>
      <c r="R1366" s="54"/>
      <c r="S1366" s="54"/>
      <c r="T1366" s="54"/>
    </row>
    <row r="1367" spans="1:20" ht="15" customHeight="1" x14ac:dyDescent="0.2">
      <c r="A1367" s="141"/>
      <c r="B1367" s="141"/>
      <c r="C1367" s="48" t="s">
        <v>2118</v>
      </c>
      <c r="D1367" s="143">
        <v>8</v>
      </c>
      <c r="E1367" s="46">
        <v>1</v>
      </c>
      <c r="F1367" s="144"/>
      <c r="G1367" s="145"/>
      <c r="H1367" s="141"/>
      <c r="I1367" s="141"/>
      <c r="J1367" s="141"/>
      <c r="K1367" s="141"/>
      <c r="L1367" s="141"/>
      <c r="M1367" s="141"/>
      <c r="N1367" s="54"/>
      <c r="O1367" s="54"/>
      <c r="P1367" s="54"/>
      <c r="Q1367" s="54"/>
      <c r="R1367" s="54"/>
      <c r="S1367" s="54"/>
      <c r="T1367" s="54"/>
    </row>
    <row r="1368" spans="1:20" ht="15" customHeight="1" x14ac:dyDescent="0.2">
      <c r="A1368" s="141"/>
      <c r="B1368" s="141"/>
      <c r="C1368" s="48" t="s">
        <v>2119</v>
      </c>
      <c r="D1368" s="143">
        <v>9</v>
      </c>
      <c r="E1368" s="46">
        <v>1</v>
      </c>
      <c r="F1368" s="144"/>
      <c r="G1368" s="145"/>
      <c r="H1368" s="141"/>
      <c r="I1368" s="141"/>
      <c r="J1368" s="141"/>
      <c r="K1368" s="141"/>
      <c r="L1368" s="141"/>
      <c r="M1368" s="141"/>
      <c r="N1368" s="54"/>
      <c r="O1368" s="54"/>
      <c r="P1368" s="54"/>
      <c r="Q1368" s="54"/>
      <c r="R1368" s="54"/>
      <c r="S1368" s="54"/>
      <c r="T1368" s="54"/>
    </row>
    <row r="1369" spans="1:20" ht="15" customHeight="1" x14ac:dyDescent="0.2">
      <c r="A1369" s="141"/>
      <c r="B1369" s="141"/>
      <c r="C1369" s="48" t="s">
        <v>2120</v>
      </c>
      <c r="D1369" s="143">
        <v>10</v>
      </c>
      <c r="E1369" s="46">
        <v>1</v>
      </c>
      <c r="F1369" s="144"/>
      <c r="G1369" s="145"/>
      <c r="H1369" s="141"/>
      <c r="I1369" s="141"/>
      <c r="J1369" s="141"/>
      <c r="K1369" s="141"/>
      <c r="L1369" s="141"/>
      <c r="M1369" s="141"/>
      <c r="N1369" s="54"/>
      <c r="O1369" s="54"/>
      <c r="P1369" s="54"/>
      <c r="Q1369" s="54"/>
      <c r="R1369" s="54"/>
      <c r="S1369" s="54"/>
      <c r="T1369" s="54"/>
    </row>
    <row r="1370" spans="1:20" ht="15" customHeight="1" x14ac:dyDescent="0.2">
      <c r="A1370" s="141"/>
      <c r="B1370" s="141"/>
      <c r="C1370" s="48" t="s">
        <v>2121</v>
      </c>
      <c r="D1370" s="143">
        <v>11</v>
      </c>
      <c r="E1370" s="46">
        <v>1</v>
      </c>
      <c r="F1370" s="144"/>
      <c r="G1370" s="145"/>
      <c r="H1370" s="141"/>
      <c r="I1370" s="141"/>
      <c r="J1370" s="141"/>
      <c r="K1370" s="141"/>
      <c r="L1370" s="141"/>
      <c r="M1370" s="141"/>
      <c r="N1370" s="54"/>
      <c r="O1370" s="54"/>
      <c r="P1370" s="54"/>
      <c r="Q1370" s="54"/>
      <c r="R1370" s="54"/>
      <c r="S1370" s="54"/>
      <c r="T1370" s="54"/>
    </row>
    <row r="1371" spans="1:20" ht="15" customHeight="1" x14ac:dyDescent="0.2">
      <c r="A1371" s="141"/>
      <c r="B1371" s="141"/>
      <c r="C1371" s="48" t="s">
        <v>2122</v>
      </c>
      <c r="D1371" s="143">
        <v>12</v>
      </c>
      <c r="E1371" s="46">
        <v>1</v>
      </c>
      <c r="F1371" s="144"/>
      <c r="G1371" s="145"/>
      <c r="H1371" s="141"/>
      <c r="I1371" s="141"/>
      <c r="J1371" s="141"/>
      <c r="K1371" s="141"/>
      <c r="L1371" s="141"/>
      <c r="M1371" s="141"/>
      <c r="N1371" s="54"/>
      <c r="O1371" s="54"/>
      <c r="P1371" s="54"/>
      <c r="Q1371" s="54"/>
      <c r="R1371" s="54"/>
      <c r="S1371" s="54"/>
      <c r="T1371" s="54"/>
    </row>
    <row r="1372" spans="1:20" ht="15" customHeight="1" x14ac:dyDescent="0.2">
      <c r="A1372" s="141"/>
      <c r="B1372" s="141"/>
      <c r="C1372" s="48" t="s">
        <v>2123</v>
      </c>
      <c r="D1372" s="143">
        <v>13</v>
      </c>
      <c r="E1372" s="46">
        <v>1</v>
      </c>
      <c r="F1372" s="144"/>
      <c r="G1372" s="145"/>
      <c r="H1372" s="141"/>
      <c r="I1372" s="141"/>
      <c r="J1372" s="141"/>
      <c r="K1372" s="141"/>
      <c r="L1372" s="141"/>
      <c r="M1372" s="141"/>
      <c r="N1372" s="54"/>
      <c r="O1372" s="54"/>
      <c r="P1372" s="54"/>
      <c r="Q1372" s="54"/>
      <c r="R1372" s="54"/>
      <c r="S1372" s="54"/>
      <c r="T1372" s="54"/>
    </row>
    <row r="1373" spans="1:20" ht="15" customHeight="1" x14ac:dyDescent="0.2">
      <c r="A1373" s="141"/>
      <c r="B1373" s="141"/>
      <c r="C1373" s="48" t="s">
        <v>2124</v>
      </c>
      <c r="D1373" s="143">
        <v>14</v>
      </c>
      <c r="E1373" s="46">
        <v>1</v>
      </c>
      <c r="F1373" s="144"/>
      <c r="G1373" s="145"/>
      <c r="H1373" s="141"/>
      <c r="I1373" s="141"/>
      <c r="J1373" s="141"/>
      <c r="K1373" s="141"/>
      <c r="L1373" s="141"/>
      <c r="M1373" s="141"/>
      <c r="N1373" s="54"/>
      <c r="O1373" s="54"/>
      <c r="P1373" s="54"/>
      <c r="Q1373" s="54"/>
      <c r="R1373" s="54"/>
      <c r="S1373" s="54"/>
      <c r="T1373" s="54"/>
    </row>
    <row r="1374" spans="1:20" ht="15" customHeight="1" x14ac:dyDescent="0.2">
      <c r="A1374" s="141"/>
      <c r="B1374" s="141"/>
      <c r="C1374" s="48" t="s">
        <v>2125</v>
      </c>
      <c r="D1374" s="143">
        <v>15</v>
      </c>
      <c r="E1374" s="46">
        <v>1</v>
      </c>
      <c r="F1374" s="144"/>
      <c r="G1374" s="145"/>
      <c r="H1374" s="141"/>
      <c r="I1374" s="141"/>
      <c r="J1374" s="141"/>
      <c r="K1374" s="141"/>
      <c r="L1374" s="141"/>
      <c r="M1374" s="141"/>
      <c r="N1374" s="54"/>
      <c r="O1374" s="54"/>
      <c r="P1374" s="54"/>
      <c r="Q1374" s="54"/>
      <c r="R1374" s="54"/>
      <c r="S1374" s="54"/>
      <c r="T1374" s="54"/>
    </row>
    <row r="1375" spans="1:20" ht="15" customHeight="1" x14ac:dyDescent="0.2">
      <c r="A1375" s="141"/>
      <c r="B1375" s="141"/>
      <c r="C1375" s="48" t="s">
        <v>2126</v>
      </c>
      <c r="D1375" s="143">
        <v>16</v>
      </c>
      <c r="E1375" s="46">
        <v>1</v>
      </c>
      <c r="F1375" s="144"/>
      <c r="G1375" s="145"/>
      <c r="H1375" s="141"/>
      <c r="I1375" s="141"/>
      <c r="J1375" s="141"/>
      <c r="K1375" s="141"/>
      <c r="L1375" s="141"/>
      <c r="M1375" s="141"/>
      <c r="N1375" s="54"/>
      <c r="O1375" s="54"/>
      <c r="P1375" s="54"/>
      <c r="Q1375" s="54"/>
      <c r="R1375" s="54"/>
      <c r="S1375" s="54"/>
      <c r="T1375" s="54"/>
    </row>
    <row r="1376" spans="1:20" ht="15" customHeight="1" x14ac:dyDescent="0.2">
      <c r="A1376" s="141"/>
      <c r="B1376" s="141"/>
      <c r="C1376" s="48" t="s">
        <v>2127</v>
      </c>
      <c r="D1376" s="143">
        <v>17</v>
      </c>
      <c r="E1376" s="46">
        <v>1</v>
      </c>
      <c r="F1376" s="144"/>
      <c r="G1376" s="145"/>
      <c r="H1376" s="141"/>
      <c r="I1376" s="141"/>
      <c r="J1376" s="141"/>
      <c r="K1376" s="141"/>
      <c r="L1376" s="141"/>
      <c r="M1376" s="141"/>
      <c r="N1376" s="54"/>
      <c r="O1376" s="54"/>
      <c r="P1376" s="54"/>
      <c r="Q1376" s="54"/>
      <c r="R1376" s="54"/>
      <c r="S1376" s="54"/>
      <c r="T1376" s="54"/>
    </row>
    <row r="1377" spans="1:20" ht="15" customHeight="1" x14ac:dyDescent="0.2">
      <c r="A1377" s="141"/>
      <c r="B1377" s="141"/>
      <c r="C1377" s="48" t="s">
        <v>2128</v>
      </c>
      <c r="D1377" s="143">
        <v>99</v>
      </c>
      <c r="E1377" s="46">
        <v>1</v>
      </c>
      <c r="F1377" s="144"/>
      <c r="G1377" s="145"/>
      <c r="H1377" s="141"/>
      <c r="I1377" s="141"/>
      <c r="J1377" s="141"/>
      <c r="K1377" s="141"/>
      <c r="L1377" s="141"/>
      <c r="M1377" s="141"/>
      <c r="N1377" s="54"/>
      <c r="O1377" s="54"/>
      <c r="P1377" s="54"/>
      <c r="Q1377" s="54"/>
      <c r="R1377" s="54"/>
      <c r="S1377" s="54"/>
      <c r="T1377" s="54"/>
    </row>
    <row r="1378" spans="1:20" ht="15" customHeight="1" x14ac:dyDescent="0.2">
      <c r="A1378" s="48" t="s">
        <v>2129</v>
      </c>
      <c r="B1378" s="143" t="str">
        <f>IF(ISBLANK(A1378),"",IF(AND(ISNA(VLOOKUP(A1378,Interface_Platform!E:E,1,FALSE())),ISNA(VLOOKUP(A1378,D:D,1,FALSE()))),"N","Y"))</f>
        <v>Y</v>
      </c>
      <c r="C1378" s="141"/>
      <c r="D1378" s="174" t="s">
        <v>484</v>
      </c>
      <c r="E1378" s="46"/>
      <c r="F1378" s="144" t="str">
        <f>IF(AND(ISNA(VLOOKUP(D1378,A:A,1,FALSE())),ISNA(VLOOKUP(D1378,BaseType!A:A,1,FALSE())),D1378&lt;&gt;"Struct"),"N","Y")</f>
        <v>Y</v>
      </c>
      <c r="G1378" s="145"/>
      <c r="H1378" s="141"/>
      <c r="I1378" s="141"/>
      <c r="J1378" s="141"/>
      <c r="K1378" s="141"/>
      <c r="L1378" s="141"/>
      <c r="M1378" s="141"/>
      <c r="N1378" s="54"/>
      <c r="O1378" s="54"/>
      <c r="P1378" s="54"/>
      <c r="Q1378" s="54"/>
      <c r="R1378" s="54"/>
      <c r="S1378" s="54"/>
      <c r="T1378" s="54"/>
    </row>
    <row r="1379" spans="1:20" ht="15" customHeight="1" x14ac:dyDescent="0.2">
      <c r="A1379" s="48"/>
      <c r="B1379" s="48"/>
      <c r="C1379" s="48" t="s">
        <v>2130</v>
      </c>
      <c r="D1379" s="48" t="s">
        <v>298</v>
      </c>
      <c r="E1379" s="46">
        <v>1</v>
      </c>
      <c r="F1379" s="144" t="str">
        <f>IF(AND(ISNA(VLOOKUP(D1379,A:A,1,FALSE())),ISNA(VLOOKUP(D1379,BaseType!A:A,1,FALSE())),D1379&lt;&gt;"Struct"),"N","Y")</f>
        <v>Y</v>
      </c>
      <c r="G1379" s="145"/>
      <c r="H1379" s="141"/>
      <c r="I1379" s="141"/>
      <c r="J1379" s="141"/>
      <c r="K1379" s="141"/>
      <c r="L1379" s="141"/>
      <c r="M1379" s="141"/>
      <c r="N1379" s="54"/>
      <c r="O1379" s="54"/>
      <c r="P1379" s="54"/>
      <c r="Q1379" s="54"/>
      <c r="R1379" s="54"/>
      <c r="S1379" s="54"/>
      <c r="T1379" s="54"/>
    </row>
    <row r="1380" spans="1:20" ht="15" customHeight="1" x14ac:dyDescent="0.2">
      <c r="A1380" s="141"/>
      <c r="B1380" s="141"/>
      <c r="C1380" s="48" t="s">
        <v>2131</v>
      </c>
      <c r="D1380" s="48" t="s">
        <v>2109</v>
      </c>
      <c r="E1380" s="46">
        <v>1</v>
      </c>
      <c r="F1380" s="144" t="str">
        <f>IF(AND(ISNA(VLOOKUP(D1380,A:A,1,FALSE())),ISNA(VLOOKUP(D1380,BaseType!A:A,1,FALSE())),D1380&lt;&gt;"Struct"),"N","Y")</f>
        <v>Y</v>
      </c>
      <c r="G1380" s="145"/>
      <c r="H1380" s="141"/>
      <c r="I1380" s="141"/>
      <c r="J1380" s="141"/>
      <c r="K1380" s="141"/>
      <c r="L1380" s="141"/>
      <c r="M1380" s="141"/>
      <c r="N1380" s="54"/>
      <c r="O1380" s="54"/>
      <c r="P1380" s="54"/>
      <c r="Q1380" s="54"/>
      <c r="R1380" s="54"/>
      <c r="S1380" s="54"/>
      <c r="T1380" s="54"/>
    </row>
    <row r="1381" spans="1:20" ht="15" customHeight="1" x14ac:dyDescent="0.2">
      <c r="A1381" s="141"/>
      <c r="B1381" s="141"/>
      <c r="C1381" s="48" t="s">
        <v>2132</v>
      </c>
      <c r="D1381" s="48" t="s">
        <v>764</v>
      </c>
      <c r="E1381" s="46">
        <v>1</v>
      </c>
      <c r="F1381" s="144" t="str">
        <f>IF(AND(ISNA(VLOOKUP(D1381,A:A,1,FALSE())),ISNA(VLOOKUP(D1381,BaseType!A:A,1,FALSE())),D1381&lt;&gt;"Struct"),"N","Y")</f>
        <v>Y</v>
      </c>
      <c r="G1381" s="145"/>
      <c r="H1381" s="141"/>
      <c r="I1381" s="141"/>
      <c r="J1381" s="141"/>
      <c r="K1381" s="141"/>
      <c r="L1381" s="141"/>
      <c r="M1381" s="141"/>
      <c r="N1381" s="54"/>
      <c r="O1381" s="54"/>
      <c r="P1381" s="54"/>
      <c r="Q1381" s="54"/>
      <c r="R1381" s="54"/>
      <c r="S1381" s="54"/>
      <c r="T1381" s="54"/>
    </row>
    <row r="1382" spans="1:20" ht="15" customHeight="1" x14ac:dyDescent="0.2">
      <c r="A1382" s="141"/>
      <c r="B1382" s="141"/>
      <c r="C1382" s="48" t="s">
        <v>2064</v>
      </c>
      <c r="D1382" s="48" t="s">
        <v>193</v>
      </c>
      <c r="E1382" s="46">
        <v>1</v>
      </c>
      <c r="F1382" s="144" t="str">
        <f>IF(AND(ISNA(VLOOKUP(D1382,A:A,1,FALSE())),ISNA(VLOOKUP(D1382,BaseType!A:A,1,FALSE())),D1382&lt;&gt;"Struct"),"N","Y")</f>
        <v>Y</v>
      </c>
      <c r="G1382" s="145"/>
      <c r="H1382" s="141"/>
      <c r="I1382" s="141"/>
      <c r="J1382" s="141"/>
      <c r="K1382" s="141"/>
      <c r="L1382" s="141"/>
      <c r="M1382" s="141"/>
      <c r="N1382" s="54"/>
      <c r="O1382" s="54"/>
      <c r="P1382" s="54"/>
      <c r="Q1382" s="54"/>
      <c r="R1382" s="54"/>
      <c r="S1382" s="54"/>
      <c r="T1382" s="54"/>
    </row>
    <row r="1383" spans="1:20" ht="15" customHeight="1" x14ac:dyDescent="0.2">
      <c r="A1383" s="141"/>
      <c r="B1383" s="141"/>
      <c r="C1383" s="48" t="s">
        <v>2133</v>
      </c>
      <c r="D1383" s="143" t="s">
        <v>631</v>
      </c>
      <c r="E1383" s="46">
        <v>1</v>
      </c>
      <c r="F1383" s="144" t="str">
        <f>IF(AND(ISNA(VLOOKUP(D1383,A:A,1,FALSE())),ISNA(VLOOKUP(D1383,BaseType!A:A,1,FALSE())),D1383&lt;&gt;"Struct"),"N","Y")</f>
        <v>Y</v>
      </c>
      <c r="G1383" s="145"/>
      <c r="H1383" s="141"/>
      <c r="I1383" s="141"/>
      <c r="J1383" s="141"/>
      <c r="K1383" s="141"/>
      <c r="L1383" s="141"/>
      <c r="M1383" s="141"/>
      <c r="N1383" s="54"/>
      <c r="O1383" s="54"/>
      <c r="P1383" s="54"/>
      <c r="Q1383" s="54"/>
      <c r="R1383" s="54"/>
      <c r="S1383" s="54"/>
      <c r="T1383" s="54"/>
    </row>
    <row r="1384" spans="1:20" ht="15" customHeight="1" x14ac:dyDescent="0.2">
      <c r="A1384" s="141"/>
      <c r="B1384" s="141"/>
      <c r="C1384" s="48" t="s">
        <v>2134</v>
      </c>
      <c r="D1384" s="143" t="s">
        <v>631</v>
      </c>
      <c r="E1384" s="46">
        <v>1</v>
      </c>
      <c r="F1384" s="144" t="str">
        <f>IF(AND(ISNA(VLOOKUP(D1384,A:A,1,FALSE())),ISNA(VLOOKUP(D1384,BaseType!A:A,1,FALSE())),D1384&lt;&gt;"Struct"),"N","Y")</f>
        <v>Y</v>
      </c>
      <c r="G1384" s="145"/>
      <c r="H1384" s="141"/>
      <c r="I1384" s="141"/>
      <c r="J1384" s="141"/>
      <c r="K1384" s="141"/>
      <c r="L1384" s="141"/>
      <c r="M1384" s="141"/>
      <c r="N1384" s="54"/>
      <c r="O1384" s="54"/>
      <c r="P1384" s="54"/>
      <c r="Q1384" s="54"/>
      <c r="R1384" s="54"/>
      <c r="S1384" s="54"/>
      <c r="T1384" s="54"/>
    </row>
    <row r="1385" spans="1:20" ht="15" customHeight="1" x14ac:dyDescent="0.2">
      <c r="A1385" s="141"/>
      <c r="B1385" s="141"/>
      <c r="C1385" s="48" t="s">
        <v>2135</v>
      </c>
      <c r="D1385" s="143" t="s">
        <v>631</v>
      </c>
      <c r="E1385" s="46">
        <v>1</v>
      </c>
      <c r="F1385" s="144" t="str">
        <f>IF(AND(ISNA(VLOOKUP(D1385,A:A,1,FALSE())),ISNA(VLOOKUP(D1385,BaseType!A:A,1,FALSE())),D1385&lt;&gt;"Struct"),"N","Y")</f>
        <v>Y</v>
      </c>
      <c r="G1385" s="145"/>
      <c r="H1385" s="141"/>
      <c r="I1385" s="141"/>
      <c r="J1385" s="141"/>
      <c r="K1385" s="141"/>
      <c r="L1385" s="141"/>
      <c r="M1385" s="141"/>
      <c r="N1385" s="54"/>
      <c r="O1385" s="54"/>
      <c r="P1385" s="54"/>
      <c r="Q1385" s="54"/>
      <c r="R1385" s="54"/>
      <c r="S1385" s="54"/>
      <c r="T1385" s="54"/>
    </row>
    <row r="1386" spans="1:20" ht="15" customHeight="1" x14ac:dyDescent="0.2">
      <c r="A1386" s="48" t="s">
        <v>414</v>
      </c>
      <c r="B1386" s="143" t="str">
        <f>IF(ISBLANK(A1386),"",IF(AND(ISNA(VLOOKUP(A1386,Interface_Platform!E:E,1,FALSE())),ISNA(VLOOKUP(A1386,D:D,1,FALSE()))),"N","Y"))</f>
        <v>Y</v>
      </c>
      <c r="C1386" s="141"/>
      <c r="D1386" s="174" t="s">
        <v>484</v>
      </c>
      <c r="E1386" s="46"/>
      <c r="F1386" s="144" t="str">
        <f>IF(AND(ISNA(VLOOKUP(D1386,A:A,1,FALSE())),ISNA(VLOOKUP(D1386,BaseType!A:A,1,FALSE())),D1386&lt;&gt;"Struct"),"N","Y")</f>
        <v>Y</v>
      </c>
      <c r="G1386" s="145"/>
      <c r="H1386" s="141"/>
      <c r="I1386" s="141"/>
      <c r="J1386" s="141"/>
      <c r="K1386" s="141"/>
      <c r="L1386" s="141"/>
      <c r="M1386" s="141"/>
      <c r="N1386" s="54"/>
      <c r="O1386" s="54"/>
      <c r="P1386" s="54"/>
      <c r="Q1386" s="54"/>
      <c r="R1386" s="54"/>
      <c r="S1386" s="54"/>
      <c r="T1386" s="54"/>
    </row>
    <row r="1387" spans="1:20" ht="15" customHeight="1" x14ac:dyDescent="0.2">
      <c r="A1387" s="48"/>
      <c r="B1387" s="48"/>
      <c r="C1387" s="48" t="s">
        <v>1966</v>
      </c>
      <c r="D1387" s="48" t="s">
        <v>2129</v>
      </c>
      <c r="E1387" s="46">
        <v>1</v>
      </c>
      <c r="F1387" s="144" t="str">
        <f>IF(AND(ISNA(VLOOKUP(D1387,A:A,1,FALSE())),ISNA(VLOOKUP(D1387,BaseType!A:A,1,FALSE())),D1387&lt;&gt;"Struct"),"N","Y")</f>
        <v>Y</v>
      </c>
      <c r="G1387" s="145"/>
      <c r="H1387" s="141"/>
      <c r="I1387" s="141"/>
      <c r="J1387" s="141"/>
      <c r="K1387" s="141"/>
      <c r="L1387" s="141"/>
      <c r="M1387" s="141"/>
      <c r="N1387" s="54"/>
      <c r="O1387" s="54"/>
      <c r="P1387" s="54"/>
      <c r="Q1387" s="54"/>
      <c r="R1387" s="54"/>
      <c r="S1387" s="54"/>
      <c r="T1387" s="54"/>
    </row>
    <row r="1388" spans="1:20" ht="15" customHeight="1" x14ac:dyDescent="0.2">
      <c r="A1388" s="141"/>
      <c r="B1388" s="141"/>
      <c r="C1388" s="48" t="s">
        <v>2136</v>
      </c>
      <c r="D1388" s="48" t="s">
        <v>193</v>
      </c>
      <c r="E1388" s="46">
        <v>180</v>
      </c>
      <c r="F1388" s="144" t="str">
        <f>IF(AND(ISNA(VLOOKUP(D1388,A:A,1,FALSE())),ISNA(VLOOKUP(D1388,BaseType!A:A,1,FALSE())),D1388&lt;&gt;"Struct"),"N","Y")</f>
        <v>Y</v>
      </c>
      <c r="G1388" s="145"/>
      <c r="H1388" s="141"/>
      <c r="I1388" s="141"/>
      <c r="J1388" s="141"/>
      <c r="K1388" s="141"/>
      <c r="L1388" s="141"/>
      <c r="M1388" s="141"/>
      <c r="N1388" s="54"/>
      <c r="O1388" s="54"/>
      <c r="P1388" s="54"/>
      <c r="Q1388" s="54"/>
      <c r="R1388" s="54"/>
      <c r="S1388" s="54"/>
      <c r="T1388" s="54"/>
    </row>
    <row r="1389" spans="1:20" ht="15" customHeight="1" x14ac:dyDescent="0.2">
      <c r="A1389" s="48" t="s">
        <v>416</v>
      </c>
      <c r="B1389" s="143" t="str">
        <f>IF(ISBLANK(A1389),"",IF(AND(ISNA(VLOOKUP(A1389,Interface_Platform!E:E,1,FALSE())),ISNA(VLOOKUP(A1389,D:D,1,FALSE()))),"N","Y"))</f>
        <v>Y</v>
      </c>
      <c r="C1389" s="141"/>
      <c r="D1389" s="174" t="s">
        <v>484</v>
      </c>
      <c r="E1389" s="46"/>
      <c r="F1389" s="144" t="str">
        <f>IF(AND(ISNA(VLOOKUP(D1389,A:A,1,FALSE())),ISNA(VLOOKUP(D1389,BaseType!A:A,1,FALSE())),D1389&lt;&gt;"Struct"),"N","Y")</f>
        <v>Y</v>
      </c>
      <c r="G1389" s="145"/>
      <c r="H1389" s="141"/>
      <c r="I1389" s="141"/>
      <c r="J1389" s="141"/>
      <c r="K1389" s="141"/>
      <c r="L1389" s="141"/>
      <c r="M1389" s="141"/>
      <c r="N1389" s="54"/>
      <c r="O1389" s="54"/>
      <c r="P1389" s="54"/>
      <c r="Q1389" s="54"/>
      <c r="R1389" s="54"/>
      <c r="S1389" s="54"/>
      <c r="T1389" s="54"/>
    </row>
    <row r="1390" spans="1:20" ht="15" customHeight="1" x14ac:dyDescent="0.2">
      <c r="A1390" s="48"/>
      <c r="B1390" s="48"/>
      <c r="C1390" s="48" t="s">
        <v>1966</v>
      </c>
      <c r="D1390" s="48" t="s">
        <v>2129</v>
      </c>
      <c r="E1390" s="46">
        <v>1</v>
      </c>
      <c r="F1390" s="144" t="str">
        <f>IF(AND(ISNA(VLOOKUP(D1390,A:A,1,FALSE())),ISNA(VLOOKUP(D1390,BaseType!A:A,1,FALSE())),D1390&lt;&gt;"Struct"),"N","Y")</f>
        <v>Y</v>
      </c>
      <c r="G1390" s="145"/>
      <c r="H1390" s="141"/>
      <c r="I1390" s="141"/>
      <c r="J1390" s="141"/>
      <c r="K1390" s="141"/>
      <c r="L1390" s="141"/>
      <c r="M1390" s="141"/>
      <c r="N1390" s="54"/>
      <c r="O1390" s="54"/>
      <c r="P1390" s="54"/>
      <c r="Q1390" s="54"/>
      <c r="R1390" s="54"/>
      <c r="S1390" s="54"/>
      <c r="T1390" s="54"/>
    </row>
    <row r="1391" spans="1:20" ht="15" customHeight="1" x14ac:dyDescent="0.2">
      <c r="A1391" s="141"/>
      <c r="B1391" s="141"/>
      <c r="C1391" s="48" t="s">
        <v>2137</v>
      </c>
      <c r="D1391" s="48" t="s">
        <v>193</v>
      </c>
      <c r="E1391" s="46">
        <v>1</v>
      </c>
      <c r="F1391" s="144" t="str">
        <f>IF(AND(ISNA(VLOOKUP(D1391,A:A,1,FALSE())),ISNA(VLOOKUP(D1391,BaseType!A:A,1,FALSE())),D1391&lt;&gt;"Struct"),"N","Y")</f>
        <v>Y</v>
      </c>
      <c r="G1391" s="145"/>
      <c r="H1391" s="141"/>
      <c r="I1391" s="141"/>
      <c r="J1391" s="141"/>
      <c r="K1391" s="141"/>
      <c r="L1391" s="141"/>
      <c r="M1391" s="141"/>
      <c r="N1391" s="54"/>
      <c r="O1391" s="54"/>
      <c r="P1391" s="54"/>
      <c r="Q1391" s="54"/>
      <c r="R1391" s="54"/>
      <c r="S1391" s="54"/>
      <c r="T1391" s="54"/>
    </row>
    <row r="1392" spans="1:20" ht="15" customHeight="1" x14ac:dyDescent="0.2">
      <c r="A1392" s="141"/>
      <c r="B1392" s="141"/>
      <c r="C1392" s="48" t="s">
        <v>2138</v>
      </c>
      <c r="D1392" s="48" t="s">
        <v>193</v>
      </c>
      <c r="E1392" s="46">
        <v>1</v>
      </c>
      <c r="F1392" s="144" t="str">
        <f>IF(AND(ISNA(VLOOKUP(D1392,A:A,1,FALSE())),ISNA(VLOOKUP(D1392,BaseType!A:A,1,FALSE())),D1392&lt;&gt;"Struct"),"N","Y")</f>
        <v>Y</v>
      </c>
      <c r="G1392" s="145"/>
      <c r="H1392" s="141"/>
      <c r="I1392" s="141"/>
      <c r="J1392" s="141"/>
      <c r="K1392" s="141"/>
      <c r="L1392" s="141"/>
      <c r="M1392" s="141"/>
      <c r="N1392" s="54"/>
      <c r="O1392" s="54"/>
      <c r="P1392" s="54"/>
      <c r="Q1392" s="54"/>
      <c r="R1392" s="54"/>
      <c r="S1392" s="54"/>
      <c r="T1392" s="54"/>
    </row>
    <row r="1393" spans="1:20" ht="15" customHeight="1" x14ac:dyDescent="0.2">
      <c r="A1393" s="141"/>
      <c r="B1393" s="141"/>
      <c r="C1393" s="48" t="s">
        <v>2139</v>
      </c>
      <c r="D1393" s="48" t="s">
        <v>193</v>
      </c>
      <c r="E1393" s="46">
        <v>1</v>
      </c>
      <c r="F1393" s="144" t="str">
        <f>IF(AND(ISNA(VLOOKUP(D1393,A:A,1,FALSE())),ISNA(VLOOKUP(D1393,BaseType!A:A,1,FALSE())),D1393&lt;&gt;"Struct"),"N","Y")</f>
        <v>Y</v>
      </c>
      <c r="G1393" s="145"/>
      <c r="H1393" s="141"/>
      <c r="I1393" s="141"/>
      <c r="J1393" s="141"/>
      <c r="K1393" s="141"/>
      <c r="L1393" s="141"/>
      <c r="M1393" s="141"/>
      <c r="N1393" s="54"/>
      <c r="O1393" s="54"/>
      <c r="P1393" s="54"/>
      <c r="Q1393" s="54"/>
      <c r="R1393" s="54"/>
      <c r="S1393" s="54"/>
      <c r="T1393" s="54"/>
    </row>
    <row r="1394" spans="1:20" ht="15" customHeight="1" x14ac:dyDescent="0.2">
      <c r="A1394" s="141"/>
      <c r="B1394" s="141"/>
      <c r="C1394" s="48" t="s">
        <v>2064</v>
      </c>
      <c r="D1394" s="48" t="s">
        <v>193</v>
      </c>
      <c r="E1394" s="46">
        <v>1</v>
      </c>
      <c r="F1394" s="144" t="str">
        <f>IF(AND(ISNA(VLOOKUP(D1394,A:A,1,FALSE())),ISNA(VLOOKUP(D1394,BaseType!A:A,1,FALSE())),D1394&lt;&gt;"Struct"),"N","Y")</f>
        <v>Y</v>
      </c>
      <c r="G1394" s="145"/>
      <c r="H1394" s="141"/>
      <c r="I1394" s="141"/>
      <c r="J1394" s="141"/>
      <c r="K1394" s="141"/>
      <c r="L1394" s="141"/>
      <c r="M1394" s="141"/>
      <c r="N1394" s="54"/>
      <c r="O1394" s="54"/>
      <c r="P1394" s="54"/>
      <c r="Q1394" s="54"/>
      <c r="R1394" s="54"/>
      <c r="S1394" s="54"/>
      <c r="T1394" s="54"/>
    </row>
    <row r="1395" spans="1:20" ht="15" customHeight="1" x14ac:dyDescent="0.2">
      <c r="A1395" s="141"/>
      <c r="B1395" s="141"/>
      <c r="C1395" s="48" t="s">
        <v>2140</v>
      </c>
      <c r="D1395" s="48" t="s">
        <v>764</v>
      </c>
      <c r="E1395" s="46">
        <v>1</v>
      </c>
      <c r="F1395" s="144" t="str">
        <f>IF(AND(ISNA(VLOOKUP(D1395,A:A,1,FALSE())),ISNA(VLOOKUP(D1395,BaseType!A:A,1,FALSE())),D1395&lt;&gt;"Struct"),"N","Y")</f>
        <v>Y</v>
      </c>
      <c r="G1395" s="145"/>
      <c r="H1395" s="141"/>
      <c r="I1395" s="141"/>
      <c r="J1395" s="141"/>
      <c r="K1395" s="141"/>
      <c r="L1395" s="141"/>
      <c r="M1395" s="141"/>
      <c r="N1395" s="54"/>
      <c r="O1395" s="54"/>
      <c r="P1395" s="54"/>
      <c r="Q1395" s="54"/>
      <c r="R1395" s="54"/>
      <c r="S1395" s="54"/>
      <c r="T1395" s="54"/>
    </row>
    <row r="1396" spans="1:20" ht="15" customHeight="1" x14ac:dyDescent="0.2">
      <c r="A1396" s="141"/>
      <c r="B1396" s="141"/>
      <c r="C1396" s="48" t="s">
        <v>2141</v>
      </c>
      <c r="D1396" s="48" t="s">
        <v>764</v>
      </c>
      <c r="E1396" s="46">
        <v>1</v>
      </c>
      <c r="F1396" s="144" t="str">
        <f>IF(AND(ISNA(VLOOKUP(D1396,A:A,1,FALSE())),ISNA(VLOOKUP(D1396,BaseType!A:A,1,FALSE())),D1396&lt;&gt;"Struct"),"N","Y")</f>
        <v>Y</v>
      </c>
      <c r="G1396" s="145"/>
      <c r="H1396" s="141"/>
      <c r="I1396" s="141"/>
      <c r="J1396" s="141"/>
      <c r="K1396" s="141"/>
      <c r="L1396" s="141"/>
      <c r="M1396" s="141"/>
      <c r="N1396" s="54"/>
      <c r="O1396" s="54"/>
      <c r="P1396" s="54"/>
      <c r="Q1396" s="54"/>
      <c r="R1396" s="54"/>
      <c r="S1396" s="54"/>
      <c r="T1396" s="54"/>
    </row>
    <row r="1397" spans="1:20" ht="15" customHeight="1" x14ac:dyDescent="0.2">
      <c r="A1397" s="141"/>
      <c r="B1397" s="141"/>
      <c r="C1397" s="48" t="s">
        <v>2142</v>
      </c>
      <c r="D1397" s="48" t="s">
        <v>193</v>
      </c>
      <c r="E1397" s="46">
        <v>1</v>
      </c>
      <c r="F1397" s="144" t="str">
        <f>IF(AND(ISNA(VLOOKUP(D1397,A:A,1,FALSE())),ISNA(VLOOKUP(D1397,BaseType!A:A,1,FALSE())),D1397&lt;&gt;"Struct"),"N","Y")</f>
        <v>Y</v>
      </c>
      <c r="G1397" s="145"/>
      <c r="H1397" s="141"/>
      <c r="I1397" s="141"/>
      <c r="J1397" s="141"/>
      <c r="K1397" s="141"/>
      <c r="L1397" s="141"/>
      <c r="M1397" s="141"/>
      <c r="N1397" s="54"/>
      <c r="O1397" s="54"/>
      <c r="P1397" s="54"/>
      <c r="Q1397" s="54"/>
      <c r="R1397" s="54"/>
      <c r="S1397" s="54"/>
      <c r="T1397" s="54"/>
    </row>
    <row r="1398" spans="1:20" ht="15" customHeight="1" x14ac:dyDescent="0.2">
      <c r="A1398" s="141"/>
      <c r="B1398" s="141"/>
      <c r="C1398" s="48" t="s">
        <v>2143</v>
      </c>
      <c r="D1398" s="48" t="s">
        <v>193</v>
      </c>
      <c r="E1398" s="46">
        <v>1</v>
      </c>
      <c r="F1398" s="144" t="str">
        <f>IF(AND(ISNA(VLOOKUP(D1398,A:A,1,FALSE())),ISNA(VLOOKUP(D1398,BaseType!A:A,1,FALSE())),D1398&lt;&gt;"Struct"),"N","Y")</f>
        <v>Y</v>
      </c>
      <c r="G1398" s="145"/>
      <c r="H1398" s="141"/>
      <c r="I1398" s="141"/>
      <c r="J1398" s="141"/>
      <c r="K1398" s="141"/>
      <c r="L1398" s="141"/>
      <c r="M1398" s="141"/>
      <c r="N1398" s="54"/>
      <c r="O1398" s="54"/>
      <c r="P1398" s="54"/>
      <c r="Q1398" s="54"/>
      <c r="R1398" s="54"/>
      <c r="S1398" s="54"/>
      <c r="T1398" s="54"/>
    </row>
    <row r="1399" spans="1:20" ht="15" customHeight="1" x14ac:dyDescent="0.2">
      <c r="A1399" s="141"/>
      <c r="B1399" s="141"/>
      <c r="C1399" s="48" t="s">
        <v>2144</v>
      </c>
      <c r="D1399" s="48" t="s">
        <v>193</v>
      </c>
      <c r="E1399" s="46">
        <v>1</v>
      </c>
      <c r="F1399" s="144" t="str">
        <f>IF(AND(ISNA(VLOOKUP(D1399,A:A,1,FALSE())),ISNA(VLOOKUP(D1399,BaseType!A:A,1,FALSE())),D1399&lt;&gt;"Struct"),"N","Y")</f>
        <v>Y</v>
      </c>
      <c r="G1399" s="145"/>
      <c r="H1399" s="141"/>
      <c r="I1399" s="141"/>
      <c r="J1399" s="141"/>
      <c r="K1399" s="141"/>
      <c r="L1399" s="141"/>
      <c r="M1399" s="141"/>
      <c r="N1399" s="54"/>
      <c r="O1399" s="54"/>
      <c r="P1399" s="54"/>
      <c r="Q1399" s="54"/>
      <c r="R1399" s="54"/>
      <c r="S1399" s="54"/>
      <c r="T1399" s="54"/>
    </row>
    <row r="1400" spans="1:20" ht="15" customHeight="1" x14ac:dyDescent="0.2">
      <c r="A1400" s="141"/>
      <c r="B1400" s="141"/>
      <c r="C1400" s="48" t="s">
        <v>2145</v>
      </c>
      <c r="D1400" s="48" t="s">
        <v>193</v>
      </c>
      <c r="E1400" s="46">
        <v>1</v>
      </c>
      <c r="F1400" s="144" t="str">
        <f>IF(AND(ISNA(VLOOKUP(D1400,A:A,1,FALSE())),ISNA(VLOOKUP(D1400,BaseType!A:A,1,FALSE())),D1400&lt;&gt;"Struct"),"N","Y")</f>
        <v>Y</v>
      </c>
      <c r="G1400" s="145"/>
      <c r="H1400" s="141"/>
      <c r="I1400" s="141"/>
      <c r="J1400" s="141"/>
      <c r="K1400" s="141"/>
      <c r="L1400" s="141"/>
      <c r="M1400" s="141"/>
      <c r="N1400" s="54"/>
      <c r="O1400" s="54"/>
      <c r="P1400" s="54"/>
      <c r="Q1400" s="54"/>
      <c r="R1400" s="54"/>
      <c r="S1400" s="54"/>
      <c r="T1400" s="54"/>
    </row>
    <row r="1401" spans="1:20" ht="15" customHeight="1" x14ac:dyDescent="0.2">
      <c r="A1401" s="141"/>
      <c r="B1401" s="141"/>
      <c r="C1401" s="48" t="s">
        <v>2146</v>
      </c>
      <c r="D1401" s="48" t="s">
        <v>298</v>
      </c>
      <c r="E1401" s="46">
        <v>1</v>
      </c>
      <c r="F1401" s="144" t="str">
        <f>IF(AND(ISNA(VLOOKUP(D1401,A:A,1,FALSE())),ISNA(VLOOKUP(D1401,BaseType!A:A,1,FALSE())),D1401&lt;&gt;"Struct"),"N","Y")</f>
        <v>Y</v>
      </c>
      <c r="G1401" s="145"/>
      <c r="H1401" s="141"/>
      <c r="I1401" s="141"/>
      <c r="J1401" s="141"/>
      <c r="K1401" s="141"/>
      <c r="L1401" s="141"/>
      <c r="M1401" s="141"/>
      <c r="N1401" s="54"/>
      <c r="O1401" s="54"/>
      <c r="P1401" s="54"/>
      <c r="Q1401" s="54"/>
      <c r="R1401" s="54"/>
      <c r="S1401" s="54"/>
      <c r="T1401" s="54"/>
    </row>
    <row r="1402" spans="1:20" ht="15" customHeight="1" x14ac:dyDescent="0.2">
      <c r="A1402" s="141"/>
      <c r="B1402" s="141"/>
      <c r="C1402" s="48" t="s">
        <v>2090</v>
      </c>
      <c r="D1402" s="48" t="s">
        <v>298</v>
      </c>
      <c r="E1402" s="46">
        <v>1</v>
      </c>
      <c r="F1402" s="144" t="str">
        <f>IF(AND(ISNA(VLOOKUP(D1402,A:A,1,FALSE())),ISNA(VLOOKUP(D1402,BaseType!A:A,1,FALSE())),D1402&lt;&gt;"Struct"),"N","Y")</f>
        <v>Y</v>
      </c>
      <c r="G1402" s="145"/>
      <c r="H1402" s="141"/>
      <c r="I1402" s="141"/>
      <c r="J1402" s="141"/>
      <c r="K1402" s="141"/>
      <c r="L1402" s="141"/>
      <c r="M1402" s="141"/>
      <c r="N1402" s="54"/>
      <c r="O1402" s="54"/>
      <c r="P1402" s="54"/>
      <c r="Q1402" s="54"/>
      <c r="R1402" s="54"/>
      <c r="S1402" s="54"/>
      <c r="T1402" s="54"/>
    </row>
    <row r="1403" spans="1:20" ht="15" customHeight="1" x14ac:dyDescent="0.2">
      <c r="A1403" s="48" t="s">
        <v>418</v>
      </c>
      <c r="B1403" s="143" t="str">
        <f>IF(ISBLANK(A1403),"",IF(AND(ISNA(VLOOKUP(A1403,Interface_Platform!E:E,1,FALSE())),ISNA(VLOOKUP(A1403,D:D,1,FALSE()))),"N","Y"))</f>
        <v>Y</v>
      </c>
      <c r="C1403" s="141"/>
      <c r="D1403" s="174" t="s">
        <v>484</v>
      </c>
      <c r="E1403" s="46"/>
      <c r="F1403" s="144" t="str">
        <f>IF(AND(ISNA(VLOOKUP(D1403,A:A,1,FALSE())),ISNA(VLOOKUP(D1403,BaseType!A:A,1,FALSE())),D1403&lt;&gt;"Struct"),"N","Y")</f>
        <v>Y</v>
      </c>
      <c r="G1403" s="145"/>
      <c r="H1403" s="141"/>
      <c r="I1403" s="141"/>
      <c r="J1403" s="141"/>
      <c r="K1403" s="141"/>
      <c r="L1403" s="141"/>
      <c r="M1403" s="141"/>
      <c r="N1403" s="54"/>
      <c r="O1403" s="54"/>
      <c r="P1403" s="54"/>
      <c r="Q1403" s="54"/>
      <c r="R1403" s="54"/>
      <c r="S1403" s="54"/>
      <c r="T1403" s="54"/>
    </row>
    <row r="1404" spans="1:20" ht="15" customHeight="1" x14ac:dyDescent="0.2">
      <c r="A1404" s="48"/>
      <c r="B1404" s="48"/>
      <c r="C1404" s="48" t="s">
        <v>1966</v>
      </c>
      <c r="D1404" s="48" t="s">
        <v>2129</v>
      </c>
      <c r="E1404" s="46">
        <v>1</v>
      </c>
      <c r="F1404" s="144" t="str">
        <f>IF(AND(ISNA(VLOOKUP(D1404,A:A,1,FALSE())),ISNA(VLOOKUP(D1404,BaseType!A:A,1,FALSE())),D1404&lt;&gt;"Struct"),"N","Y")</f>
        <v>Y</v>
      </c>
      <c r="G1404" s="145"/>
      <c r="H1404" s="141"/>
      <c r="I1404" s="141"/>
      <c r="J1404" s="141"/>
      <c r="K1404" s="141"/>
      <c r="L1404" s="141"/>
      <c r="M1404" s="141"/>
      <c r="N1404" s="54"/>
      <c r="O1404" s="54"/>
      <c r="P1404" s="54"/>
      <c r="Q1404" s="54"/>
      <c r="R1404" s="54"/>
      <c r="S1404" s="54"/>
      <c r="T1404" s="54"/>
    </row>
    <row r="1405" spans="1:20" ht="15" customHeight="1" x14ac:dyDescent="0.2">
      <c r="A1405" s="141"/>
      <c r="B1405" s="141"/>
      <c r="C1405" s="48" t="s">
        <v>2137</v>
      </c>
      <c r="D1405" s="48" t="s">
        <v>193</v>
      </c>
      <c r="E1405" s="46">
        <v>1</v>
      </c>
      <c r="F1405" s="144" t="str">
        <f>IF(AND(ISNA(VLOOKUP(D1405,A:A,1,FALSE())),ISNA(VLOOKUP(D1405,BaseType!A:A,1,FALSE())),D1405&lt;&gt;"Struct"),"N","Y")</f>
        <v>Y</v>
      </c>
      <c r="G1405" s="145"/>
      <c r="H1405" s="141"/>
      <c r="I1405" s="141"/>
      <c r="J1405" s="141"/>
      <c r="K1405" s="141"/>
      <c r="L1405" s="141"/>
      <c r="M1405" s="141"/>
      <c r="N1405" s="54"/>
      <c r="O1405" s="54"/>
      <c r="P1405" s="54"/>
      <c r="Q1405" s="54"/>
      <c r="R1405" s="54"/>
      <c r="S1405" s="54"/>
      <c r="T1405" s="54"/>
    </row>
    <row r="1406" spans="1:20" ht="15" customHeight="1" x14ac:dyDescent="0.2">
      <c r="A1406" s="141"/>
      <c r="B1406" s="141"/>
      <c r="C1406" s="48" t="s">
        <v>2147</v>
      </c>
      <c r="D1406" s="48" t="s">
        <v>193</v>
      </c>
      <c r="E1406" s="46">
        <v>1</v>
      </c>
      <c r="F1406" s="144" t="str">
        <f>IF(AND(ISNA(VLOOKUP(D1406,A:A,1,FALSE())),ISNA(VLOOKUP(D1406,BaseType!A:A,1,FALSE())),D1406&lt;&gt;"Struct"),"N","Y")</f>
        <v>Y</v>
      </c>
      <c r="G1406" s="145"/>
      <c r="H1406" s="141"/>
      <c r="I1406" s="141"/>
      <c r="J1406" s="141"/>
      <c r="K1406" s="141"/>
      <c r="L1406" s="141"/>
      <c r="M1406" s="141"/>
      <c r="N1406" s="54"/>
      <c r="O1406" s="54"/>
      <c r="P1406" s="54"/>
      <c r="Q1406" s="54"/>
      <c r="R1406" s="54"/>
      <c r="S1406" s="54"/>
      <c r="T1406" s="54"/>
    </row>
    <row r="1407" spans="1:20" ht="15" customHeight="1" x14ac:dyDescent="0.2">
      <c r="A1407" s="141"/>
      <c r="B1407" s="141"/>
      <c r="C1407" s="48" t="s">
        <v>2138</v>
      </c>
      <c r="D1407" s="48" t="s">
        <v>193</v>
      </c>
      <c r="E1407" s="46">
        <v>1</v>
      </c>
      <c r="F1407" s="144" t="str">
        <f>IF(AND(ISNA(VLOOKUP(D1407,A:A,1,FALSE())),ISNA(VLOOKUP(D1407,BaseType!A:A,1,FALSE())),D1407&lt;&gt;"Struct"),"N","Y")</f>
        <v>Y</v>
      </c>
      <c r="G1407" s="145"/>
      <c r="H1407" s="141"/>
      <c r="I1407" s="141"/>
      <c r="J1407" s="141"/>
      <c r="K1407" s="141"/>
      <c r="L1407" s="141"/>
      <c r="M1407" s="141"/>
      <c r="N1407" s="54"/>
      <c r="O1407" s="54"/>
      <c r="P1407" s="54"/>
      <c r="Q1407" s="54"/>
      <c r="R1407" s="54"/>
      <c r="S1407" s="54"/>
      <c r="T1407" s="54"/>
    </row>
    <row r="1408" spans="1:20" ht="15" customHeight="1" x14ac:dyDescent="0.2">
      <c r="A1408" s="141"/>
      <c r="B1408" s="141"/>
      <c r="C1408" s="48" t="s">
        <v>2148</v>
      </c>
      <c r="D1408" s="48" t="s">
        <v>193</v>
      </c>
      <c r="E1408" s="46">
        <v>1</v>
      </c>
      <c r="F1408" s="144" t="str">
        <f>IF(AND(ISNA(VLOOKUP(D1408,A:A,1,FALSE())),ISNA(VLOOKUP(D1408,BaseType!A:A,1,FALSE())),D1408&lt;&gt;"Struct"),"N","Y")</f>
        <v>Y</v>
      </c>
      <c r="G1408" s="145"/>
      <c r="H1408" s="141"/>
      <c r="I1408" s="141"/>
      <c r="J1408" s="141"/>
      <c r="K1408" s="141"/>
      <c r="L1408" s="141"/>
      <c r="M1408" s="141"/>
      <c r="N1408" s="54"/>
      <c r="O1408" s="54"/>
      <c r="P1408" s="54"/>
      <c r="Q1408" s="54"/>
      <c r="R1408" s="54"/>
      <c r="S1408" s="54"/>
      <c r="T1408" s="54"/>
    </row>
    <row r="1409" spans="1:20" ht="15" customHeight="1" x14ac:dyDescent="0.2">
      <c r="A1409" s="141"/>
      <c r="B1409" s="141"/>
      <c r="C1409" s="48" t="s">
        <v>2146</v>
      </c>
      <c r="D1409" s="48" t="s">
        <v>298</v>
      </c>
      <c r="E1409" s="46">
        <v>1</v>
      </c>
      <c r="F1409" s="144" t="str">
        <f>IF(AND(ISNA(VLOOKUP(D1409,A:A,1,FALSE())),ISNA(VLOOKUP(D1409,BaseType!A:A,1,FALSE())),D1409&lt;&gt;"Struct"),"N","Y")</f>
        <v>Y</v>
      </c>
      <c r="G1409" s="145"/>
      <c r="H1409" s="141"/>
      <c r="I1409" s="141"/>
      <c r="J1409" s="141"/>
      <c r="K1409" s="141"/>
      <c r="L1409" s="141"/>
      <c r="M1409" s="141"/>
      <c r="N1409" s="54"/>
      <c r="O1409" s="54"/>
      <c r="P1409" s="54"/>
      <c r="Q1409" s="54"/>
      <c r="R1409" s="54"/>
      <c r="S1409" s="54"/>
      <c r="T1409" s="54"/>
    </row>
    <row r="1410" spans="1:20" ht="15" customHeight="1" x14ac:dyDescent="0.2">
      <c r="A1410" s="141"/>
      <c r="B1410" s="141"/>
      <c r="C1410" s="48" t="s">
        <v>2149</v>
      </c>
      <c r="D1410" s="48" t="s">
        <v>193</v>
      </c>
      <c r="E1410" s="46">
        <v>1</v>
      </c>
      <c r="F1410" s="144" t="str">
        <f>IF(AND(ISNA(VLOOKUP(D1410,A:A,1,FALSE())),ISNA(VLOOKUP(D1410,BaseType!A:A,1,FALSE())),D1410&lt;&gt;"Struct"),"N","Y")</f>
        <v>Y</v>
      </c>
      <c r="G1410" s="145"/>
      <c r="H1410" s="141"/>
      <c r="I1410" s="141"/>
      <c r="J1410" s="141"/>
      <c r="K1410" s="141"/>
      <c r="L1410" s="141"/>
      <c r="M1410" s="141"/>
      <c r="N1410" s="54"/>
      <c r="O1410" s="54"/>
      <c r="P1410" s="54"/>
      <c r="Q1410" s="54"/>
      <c r="R1410" s="54"/>
      <c r="S1410" s="54"/>
      <c r="T1410" s="54"/>
    </row>
    <row r="1411" spans="1:20" ht="15" customHeight="1" x14ac:dyDescent="0.2">
      <c r="A1411" s="141"/>
      <c r="B1411" s="141"/>
      <c r="C1411" s="48" t="s">
        <v>2150</v>
      </c>
      <c r="D1411" s="48" t="s">
        <v>193</v>
      </c>
      <c r="E1411" s="46">
        <v>1</v>
      </c>
      <c r="F1411" s="144" t="str">
        <f>IF(AND(ISNA(VLOOKUP(D1411,A:A,1,FALSE())),ISNA(VLOOKUP(D1411,BaseType!A:A,1,FALSE())),D1411&lt;&gt;"Struct"),"N","Y")</f>
        <v>Y</v>
      </c>
      <c r="G1411" s="145"/>
      <c r="H1411" s="141"/>
      <c r="I1411" s="141"/>
      <c r="J1411" s="141"/>
      <c r="K1411" s="141"/>
      <c r="L1411" s="141"/>
      <c r="M1411" s="141"/>
      <c r="N1411" s="54"/>
      <c r="O1411" s="54"/>
      <c r="P1411" s="54"/>
      <c r="Q1411" s="54"/>
      <c r="R1411" s="54"/>
      <c r="S1411" s="54"/>
      <c r="T1411" s="54"/>
    </row>
    <row r="1412" spans="1:20" ht="15" customHeight="1" x14ac:dyDescent="0.2">
      <c r="A1412" s="141"/>
      <c r="B1412" s="141"/>
      <c r="C1412" s="48" t="s">
        <v>2151</v>
      </c>
      <c r="D1412" s="48" t="s">
        <v>193</v>
      </c>
      <c r="E1412" s="46">
        <v>1</v>
      </c>
      <c r="F1412" s="144" t="str">
        <f>IF(AND(ISNA(VLOOKUP(D1412,A:A,1,FALSE())),ISNA(VLOOKUP(D1412,BaseType!A:A,1,FALSE())),D1412&lt;&gt;"Struct"),"N","Y")</f>
        <v>Y</v>
      </c>
      <c r="G1412" s="145"/>
      <c r="H1412" s="141"/>
      <c r="I1412" s="141"/>
      <c r="J1412" s="141"/>
      <c r="K1412" s="141"/>
      <c r="L1412" s="141"/>
      <c r="M1412" s="141"/>
      <c r="N1412" s="54"/>
      <c r="O1412" s="54"/>
      <c r="P1412" s="54"/>
      <c r="Q1412" s="54"/>
      <c r="R1412" s="54"/>
      <c r="S1412" s="54"/>
      <c r="T1412" s="54"/>
    </row>
    <row r="1413" spans="1:20" ht="15" customHeight="1" x14ac:dyDescent="0.2">
      <c r="A1413" s="141"/>
      <c r="B1413" s="141"/>
      <c r="C1413" s="48" t="s">
        <v>2152</v>
      </c>
      <c r="D1413" s="48" t="s">
        <v>193</v>
      </c>
      <c r="E1413" s="46">
        <v>1</v>
      </c>
      <c r="F1413" s="144" t="str">
        <f>IF(AND(ISNA(VLOOKUP(D1413,A:A,1,FALSE())),ISNA(VLOOKUP(D1413,BaseType!A:A,1,FALSE())),D1413&lt;&gt;"Struct"),"N","Y")</f>
        <v>Y</v>
      </c>
      <c r="G1413" s="145"/>
      <c r="H1413" s="141"/>
      <c r="I1413" s="141"/>
      <c r="J1413" s="141"/>
      <c r="K1413" s="141"/>
      <c r="L1413" s="141"/>
      <c r="M1413" s="141"/>
      <c r="N1413" s="54"/>
      <c r="O1413" s="54"/>
      <c r="P1413" s="54"/>
      <c r="Q1413" s="54"/>
      <c r="R1413" s="54"/>
      <c r="S1413" s="54"/>
      <c r="T1413" s="54"/>
    </row>
    <row r="1414" spans="1:20" ht="15" customHeight="1" x14ac:dyDescent="0.2">
      <c r="A1414" s="141"/>
      <c r="B1414" s="141"/>
      <c r="C1414" s="48" t="s">
        <v>2153</v>
      </c>
      <c r="D1414" s="48" t="s">
        <v>193</v>
      </c>
      <c r="E1414" s="46">
        <v>1</v>
      </c>
      <c r="F1414" s="144" t="str">
        <f>IF(AND(ISNA(VLOOKUP(D1414,A:A,1,FALSE())),ISNA(VLOOKUP(D1414,BaseType!A:A,1,FALSE())),D1414&lt;&gt;"Struct"),"N","Y")</f>
        <v>Y</v>
      </c>
      <c r="G1414" s="145"/>
      <c r="H1414" s="141"/>
      <c r="I1414" s="141"/>
      <c r="J1414" s="141"/>
      <c r="K1414" s="141"/>
      <c r="L1414" s="141"/>
      <c r="M1414" s="141"/>
      <c r="N1414" s="54"/>
      <c r="O1414" s="54"/>
      <c r="P1414" s="54"/>
      <c r="Q1414" s="54"/>
      <c r="R1414" s="54"/>
      <c r="S1414" s="54"/>
      <c r="T1414" s="54"/>
    </row>
    <row r="1415" spans="1:20" ht="15" customHeight="1" x14ac:dyDescent="0.2">
      <c r="A1415" s="141"/>
      <c r="B1415" s="141"/>
      <c r="C1415" s="48" t="s">
        <v>2154</v>
      </c>
      <c r="D1415" s="48" t="s">
        <v>193</v>
      </c>
      <c r="E1415" s="46">
        <v>1</v>
      </c>
      <c r="F1415" s="144" t="str">
        <f>IF(AND(ISNA(VLOOKUP(D1415,A:A,1,FALSE())),ISNA(VLOOKUP(D1415,BaseType!A:A,1,FALSE())),D1415&lt;&gt;"Struct"),"N","Y")</f>
        <v>Y</v>
      </c>
      <c r="G1415" s="145"/>
      <c r="H1415" s="141"/>
      <c r="I1415" s="141"/>
      <c r="J1415" s="141"/>
      <c r="K1415" s="141"/>
      <c r="L1415" s="141"/>
      <c r="M1415" s="141"/>
      <c r="N1415" s="54"/>
      <c r="O1415" s="54"/>
      <c r="P1415" s="54"/>
      <c r="Q1415" s="54"/>
      <c r="R1415" s="54"/>
      <c r="S1415" s="54"/>
      <c r="T1415" s="54"/>
    </row>
    <row r="1416" spans="1:20" ht="15" customHeight="1" x14ac:dyDescent="0.2">
      <c r="A1416" s="141"/>
      <c r="B1416" s="141"/>
      <c r="C1416" s="48" t="s">
        <v>2155</v>
      </c>
      <c r="D1416" s="48" t="s">
        <v>193</v>
      </c>
      <c r="E1416" s="46">
        <v>1</v>
      </c>
      <c r="F1416" s="144" t="str">
        <f>IF(AND(ISNA(VLOOKUP(D1416,A:A,1,FALSE())),ISNA(VLOOKUP(D1416,BaseType!A:A,1,FALSE())),D1416&lt;&gt;"Struct"),"N","Y")</f>
        <v>Y</v>
      </c>
      <c r="G1416" s="145"/>
      <c r="H1416" s="141"/>
      <c r="I1416" s="141"/>
      <c r="J1416" s="141"/>
      <c r="K1416" s="141"/>
      <c r="L1416" s="141"/>
      <c r="M1416" s="141"/>
      <c r="N1416" s="54"/>
      <c r="O1416" s="54"/>
      <c r="P1416" s="54"/>
      <c r="Q1416" s="54"/>
      <c r="R1416" s="54"/>
      <c r="S1416" s="54"/>
      <c r="T1416" s="54"/>
    </row>
    <row r="1417" spans="1:20" ht="15" customHeight="1" x14ac:dyDescent="0.2">
      <c r="A1417" s="141"/>
      <c r="B1417" s="141"/>
      <c r="C1417" s="48" t="s">
        <v>2156</v>
      </c>
      <c r="D1417" s="48" t="s">
        <v>193</v>
      </c>
      <c r="E1417" s="46">
        <v>1</v>
      </c>
      <c r="F1417" s="144" t="str">
        <f>IF(AND(ISNA(VLOOKUP(D1417,A:A,1,FALSE())),ISNA(VLOOKUP(D1417,BaseType!A:A,1,FALSE())),D1417&lt;&gt;"Struct"),"N","Y")</f>
        <v>Y</v>
      </c>
      <c r="G1417" s="145"/>
      <c r="H1417" s="141"/>
      <c r="I1417" s="141"/>
      <c r="J1417" s="141"/>
      <c r="K1417" s="141"/>
      <c r="L1417" s="141"/>
      <c r="M1417" s="141"/>
      <c r="N1417" s="54"/>
      <c r="O1417" s="54"/>
      <c r="P1417" s="54"/>
      <c r="Q1417" s="54"/>
      <c r="R1417" s="54"/>
      <c r="S1417" s="54"/>
      <c r="T1417" s="54"/>
    </row>
    <row r="1418" spans="1:20" ht="15" customHeight="1" x14ac:dyDescent="0.2">
      <c r="A1418" s="141"/>
      <c r="B1418" s="141"/>
      <c r="C1418" s="48" t="s">
        <v>2157</v>
      </c>
      <c r="D1418" s="48" t="s">
        <v>193</v>
      </c>
      <c r="E1418" s="46">
        <v>1</v>
      </c>
      <c r="F1418" s="144" t="str">
        <f>IF(AND(ISNA(VLOOKUP(D1418,A:A,1,FALSE())),ISNA(VLOOKUP(D1418,BaseType!A:A,1,FALSE())),D1418&lt;&gt;"Struct"),"N","Y")</f>
        <v>Y</v>
      </c>
      <c r="G1418" s="145"/>
      <c r="H1418" s="141"/>
      <c r="I1418" s="141"/>
      <c r="J1418" s="141"/>
      <c r="K1418" s="141"/>
      <c r="L1418" s="141"/>
      <c r="M1418" s="141"/>
      <c r="N1418" s="54"/>
      <c r="O1418" s="54"/>
      <c r="P1418" s="54"/>
      <c r="Q1418" s="54"/>
      <c r="R1418" s="54"/>
      <c r="S1418" s="54"/>
      <c r="T1418" s="54"/>
    </row>
    <row r="1419" spans="1:20" ht="15" customHeight="1" x14ac:dyDescent="0.2">
      <c r="A1419" s="141"/>
      <c r="B1419" s="141"/>
      <c r="C1419" s="48" t="s">
        <v>2158</v>
      </c>
      <c r="D1419" s="48" t="s">
        <v>193</v>
      </c>
      <c r="E1419" s="46">
        <v>1</v>
      </c>
      <c r="F1419" s="144" t="str">
        <f>IF(AND(ISNA(VLOOKUP(D1419,A:A,1,FALSE())),ISNA(VLOOKUP(D1419,BaseType!A:A,1,FALSE())),D1419&lt;&gt;"Struct"),"N","Y")</f>
        <v>Y</v>
      </c>
      <c r="G1419" s="145"/>
      <c r="H1419" s="141"/>
      <c r="I1419" s="141"/>
      <c r="J1419" s="141"/>
      <c r="K1419" s="141"/>
      <c r="L1419" s="141"/>
      <c r="M1419" s="141"/>
      <c r="N1419" s="54"/>
      <c r="O1419" s="54"/>
      <c r="P1419" s="54"/>
      <c r="Q1419" s="54"/>
      <c r="R1419" s="54"/>
      <c r="S1419" s="54"/>
      <c r="T1419" s="54"/>
    </row>
    <row r="1420" spans="1:20" ht="15" customHeight="1" x14ac:dyDescent="0.2">
      <c r="A1420" s="141"/>
      <c r="B1420" s="141"/>
      <c r="C1420" s="48" t="s">
        <v>2159</v>
      </c>
      <c r="D1420" s="48" t="s">
        <v>193</v>
      </c>
      <c r="E1420" s="46">
        <v>1</v>
      </c>
      <c r="F1420" s="144" t="str">
        <f>IF(AND(ISNA(VLOOKUP(D1420,A:A,1,FALSE())),ISNA(VLOOKUP(D1420,BaseType!A:A,1,FALSE())),D1420&lt;&gt;"Struct"),"N","Y")</f>
        <v>Y</v>
      </c>
      <c r="G1420" s="145"/>
      <c r="H1420" s="141"/>
      <c r="I1420" s="141"/>
      <c r="J1420" s="141"/>
      <c r="K1420" s="141"/>
      <c r="L1420" s="141"/>
      <c r="M1420" s="141"/>
      <c r="N1420" s="54"/>
      <c r="O1420" s="54"/>
      <c r="P1420" s="54"/>
      <c r="Q1420" s="54"/>
      <c r="R1420" s="54"/>
      <c r="S1420" s="54"/>
      <c r="T1420" s="54"/>
    </row>
    <row r="1421" spans="1:20" ht="15" customHeight="1" x14ac:dyDescent="0.2">
      <c r="A1421" s="141"/>
      <c r="B1421" s="141"/>
      <c r="C1421" s="48" t="s">
        <v>2160</v>
      </c>
      <c r="D1421" s="48" t="s">
        <v>193</v>
      </c>
      <c r="E1421" s="46">
        <v>1</v>
      </c>
      <c r="F1421" s="144" t="str">
        <f>IF(AND(ISNA(VLOOKUP(D1421,A:A,1,FALSE())),ISNA(VLOOKUP(D1421,BaseType!A:A,1,FALSE())),D1421&lt;&gt;"Struct"),"N","Y")</f>
        <v>Y</v>
      </c>
      <c r="G1421" s="145"/>
      <c r="H1421" s="141"/>
      <c r="I1421" s="141"/>
      <c r="J1421" s="141"/>
      <c r="K1421" s="141"/>
      <c r="L1421" s="141"/>
      <c r="M1421" s="141"/>
      <c r="N1421" s="54"/>
      <c r="O1421" s="54"/>
      <c r="P1421" s="54"/>
      <c r="Q1421" s="54"/>
      <c r="R1421" s="54"/>
      <c r="S1421" s="54"/>
      <c r="T1421" s="54"/>
    </row>
    <row r="1422" spans="1:20" ht="15" customHeight="1" x14ac:dyDescent="0.2">
      <c r="A1422" s="141"/>
      <c r="B1422" s="141"/>
      <c r="C1422" s="48" t="s">
        <v>2161</v>
      </c>
      <c r="D1422" s="48" t="s">
        <v>193</v>
      </c>
      <c r="E1422" s="46">
        <v>1</v>
      </c>
      <c r="F1422" s="144" t="str">
        <f>IF(AND(ISNA(VLOOKUP(D1422,A:A,1,FALSE())),ISNA(VLOOKUP(D1422,BaseType!A:A,1,FALSE())),D1422&lt;&gt;"Struct"),"N","Y")</f>
        <v>Y</v>
      </c>
      <c r="G1422" s="145"/>
      <c r="H1422" s="141"/>
      <c r="I1422" s="141"/>
      <c r="J1422" s="141"/>
      <c r="K1422" s="141"/>
      <c r="L1422" s="141"/>
      <c r="M1422" s="141"/>
      <c r="N1422" s="54"/>
      <c r="O1422" s="54"/>
      <c r="P1422" s="54"/>
      <c r="Q1422" s="54"/>
      <c r="R1422" s="54"/>
      <c r="S1422" s="54"/>
      <c r="T1422" s="54"/>
    </row>
    <row r="1423" spans="1:20" ht="15" customHeight="1" x14ac:dyDescent="0.2">
      <c r="A1423" s="141"/>
      <c r="B1423" s="141"/>
      <c r="C1423" s="48" t="s">
        <v>1860</v>
      </c>
      <c r="D1423" s="48" t="s">
        <v>193</v>
      </c>
      <c r="E1423" s="46">
        <v>3</v>
      </c>
      <c r="F1423" s="144" t="str">
        <f>IF(AND(ISNA(VLOOKUP(D1423,A:A,1,FALSE())),ISNA(VLOOKUP(D1423,BaseType!A:A,1,FALSE())),D1423&lt;&gt;"Struct"),"N","Y")</f>
        <v>Y</v>
      </c>
      <c r="G1423" s="145"/>
      <c r="H1423" s="141"/>
      <c r="I1423" s="141"/>
      <c r="J1423" s="141"/>
      <c r="K1423" s="141"/>
      <c r="L1423" s="141"/>
      <c r="M1423" s="141"/>
      <c r="N1423" s="54"/>
      <c r="O1423" s="54"/>
      <c r="P1423" s="54"/>
      <c r="Q1423" s="54"/>
      <c r="R1423" s="54"/>
      <c r="S1423" s="54"/>
      <c r="T1423" s="54"/>
    </row>
    <row r="1424" spans="1:20" ht="15" customHeight="1" x14ac:dyDescent="0.2">
      <c r="A1424" s="141"/>
      <c r="B1424" s="141"/>
      <c r="C1424" s="48" t="s">
        <v>2090</v>
      </c>
      <c r="D1424" s="48" t="s">
        <v>298</v>
      </c>
      <c r="E1424" s="46">
        <v>1</v>
      </c>
      <c r="F1424" s="144" t="str">
        <f>IF(AND(ISNA(VLOOKUP(D1424,A:A,1,FALSE())),ISNA(VLOOKUP(D1424,BaseType!A:A,1,FALSE())),D1424&lt;&gt;"Struct"),"N","Y")</f>
        <v>Y</v>
      </c>
      <c r="G1424" s="145"/>
      <c r="H1424" s="141"/>
      <c r="I1424" s="141"/>
      <c r="J1424" s="141"/>
      <c r="K1424" s="141"/>
      <c r="L1424" s="141"/>
      <c r="M1424" s="141"/>
      <c r="N1424" s="54"/>
      <c r="O1424" s="54"/>
      <c r="P1424" s="54"/>
      <c r="Q1424" s="54"/>
      <c r="R1424" s="54"/>
      <c r="S1424" s="54"/>
      <c r="T1424" s="54"/>
    </row>
    <row r="1425" spans="1:20" ht="15" customHeight="1" x14ac:dyDescent="0.2">
      <c r="A1425" s="48" t="s">
        <v>420</v>
      </c>
      <c r="B1425" s="143" t="str">
        <f>IF(ISBLANK(A1425),"",IF(AND(ISNA(VLOOKUP(A1425,Interface_Platform!E:E,1,FALSE())),ISNA(VLOOKUP(A1425,D:D,1,FALSE()))),"N","Y"))</f>
        <v>Y</v>
      </c>
      <c r="C1425" s="141"/>
      <c r="D1425" s="174" t="s">
        <v>484</v>
      </c>
      <c r="E1425" s="46"/>
      <c r="F1425" s="144" t="str">
        <f>IF(AND(ISNA(VLOOKUP(D1425,A:A,1,FALSE())),ISNA(VLOOKUP(D1425,BaseType!A:A,1,FALSE())),D1425&lt;&gt;"Struct"),"N","Y")</f>
        <v>Y</v>
      </c>
      <c r="G1425" s="145"/>
      <c r="H1425" s="141"/>
      <c r="I1425" s="141"/>
      <c r="J1425" s="141"/>
      <c r="K1425" s="141"/>
      <c r="L1425" s="141"/>
      <c r="M1425" s="141"/>
      <c r="N1425" s="54"/>
      <c r="O1425" s="54"/>
      <c r="P1425" s="54"/>
      <c r="Q1425" s="54"/>
      <c r="R1425" s="54"/>
      <c r="S1425" s="54"/>
      <c r="T1425" s="54"/>
    </row>
    <row r="1426" spans="1:20" ht="15" customHeight="1" x14ac:dyDescent="0.2">
      <c r="A1426" s="48"/>
      <c r="B1426" s="48"/>
      <c r="C1426" s="48" t="s">
        <v>1966</v>
      </c>
      <c r="D1426" s="48" t="s">
        <v>2129</v>
      </c>
      <c r="E1426" s="46">
        <v>1</v>
      </c>
      <c r="F1426" s="144" t="str">
        <f>IF(AND(ISNA(VLOOKUP(D1426,A:A,1,FALSE())),ISNA(VLOOKUP(D1426,BaseType!A:A,1,FALSE())),D1426&lt;&gt;"Struct"),"N","Y")</f>
        <v>Y</v>
      </c>
      <c r="G1426" s="145"/>
      <c r="H1426" s="141"/>
      <c r="I1426" s="141"/>
      <c r="J1426" s="141"/>
      <c r="K1426" s="141"/>
      <c r="L1426" s="141"/>
      <c r="M1426" s="141"/>
      <c r="N1426" s="54"/>
      <c r="O1426" s="54"/>
      <c r="P1426" s="54"/>
      <c r="Q1426" s="54"/>
      <c r="R1426" s="54"/>
      <c r="S1426" s="54"/>
      <c r="T1426" s="54"/>
    </row>
    <row r="1427" spans="1:20" ht="15" customHeight="1" x14ac:dyDescent="0.2">
      <c r="A1427" s="141"/>
      <c r="B1427" s="141"/>
      <c r="C1427" s="48" t="s">
        <v>2137</v>
      </c>
      <c r="D1427" s="48" t="s">
        <v>193</v>
      </c>
      <c r="E1427" s="46">
        <v>1</v>
      </c>
      <c r="F1427" s="144" t="str">
        <f>IF(AND(ISNA(VLOOKUP(D1427,A:A,1,FALSE())),ISNA(VLOOKUP(D1427,BaseType!A:A,1,FALSE())),D1427&lt;&gt;"Struct"),"N","Y")</f>
        <v>Y</v>
      </c>
      <c r="G1427" s="145"/>
      <c r="H1427" s="141"/>
      <c r="I1427" s="141"/>
      <c r="J1427" s="141"/>
      <c r="K1427" s="141"/>
      <c r="L1427" s="141"/>
      <c r="M1427" s="141"/>
      <c r="N1427" s="54"/>
      <c r="O1427" s="54"/>
      <c r="P1427" s="54"/>
      <c r="Q1427" s="54"/>
      <c r="R1427" s="54"/>
      <c r="S1427" s="54"/>
      <c r="T1427" s="54"/>
    </row>
    <row r="1428" spans="1:20" ht="15" customHeight="1" x14ac:dyDescent="0.2">
      <c r="A1428" s="141"/>
      <c r="B1428" s="141"/>
      <c r="C1428" s="48" t="s">
        <v>2147</v>
      </c>
      <c r="D1428" s="48" t="s">
        <v>193</v>
      </c>
      <c r="E1428" s="46">
        <v>1</v>
      </c>
      <c r="F1428" s="144" t="str">
        <f>IF(AND(ISNA(VLOOKUP(D1428,A:A,1,FALSE())),ISNA(VLOOKUP(D1428,BaseType!A:A,1,FALSE())),D1428&lt;&gt;"Struct"),"N","Y")</f>
        <v>Y</v>
      </c>
      <c r="G1428" s="145"/>
      <c r="H1428" s="141"/>
      <c r="I1428" s="141"/>
      <c r="J1428" s="141"/>
      <c r="K1428" s="141"/>
      <c r="L1428" s="141"/>
      <c r="M1428" s="141"/>
      <c r="N1428" s="54"/>
      <c r="O1428" s="54"/>
      <c r="P1428" s="54"/>
      <c r="Q1428" s="54"/>
      <c r="R1428" s="54"/>
      <c r="S1428" s="54"/>
      <c r="T1428" s="54"/>
    </row>
    <row r="1429" spans="1:20" ht="15" customHeight="1" x14ac:dyDescent="0.2">
      <c r="A1429" s="141"/>
      <c r="B1429" s="141"/>
      <c r="C1429" s="48" t="s">
        <v>2138</v>
      </c>
      <c r="D1429" s="48" t="s">
        <v>193</v>
      </c>
      <c r="E1429" s="46">
        <v>1</v>
      </c>
      <c r="F1429" s="144" t="str">
        <f>IF(AND(ISNA(VLOOKUP(D1429,A:A,1,FALSE())),ISNA(VLOOKUP(D1429,BaseType!A:A,1,FALSE())),D1429&lt;&gt;"Struct"),"N","Y")</f>
        <v>Y</v>
      </c>
      <c r="G1429" s="145"/>
      <c r="H1429" s="141"/>
      <c r="I1429" s="141"/>
      <c r="J1429" s="141"/>
      <c r="K1429" s="141"/>
      <c r="L1429" s="141"/>
      <c r="M1429" s="141"/>
      <c r="N1429" s="54"/>
      <c r="O1429" s="54"/>
      <c r="P1429" s="54"/>
      <c r="Q1429" s="54"/>
      <c r="R1429" s="54"/>
      <c r="S1429" s="54"/>
      <c r="T1429" s="54"/>
    </row>
    <row r="1430" spans="1:20" ht="15" customHeight="1" x14ac:dyDescent="0.2">
      <c r="A1430" s="141"/>
      <c r="B1430" s="141"/>
      <c r="C1430" s="48" t="s">
        <v>2148</v>
      </c>
      <c r="D1430" s="48" t="s">
        <v>193</v>
      </c>
      <c r="E1430" s="46">
        <v>1</v>
      </c>
      <c r="F1430" s="144" t="str">
        <f>IF(AND(ISNA(VLOOKUP(D1430,A:A,1,FALSE())),ISNA(VLOOKUP(D1430,BaseType!A:A,1,FALSE())),D1430&lt;&gt;"Struct"),"N","Y")</f>
        <v>Y</v>
      </c>
      <c r="G1430" s="145"/>
      <c r="H1430" s="141"/>
      <c r="I1430" s="141"/>
      <c r="J1430" s="141"/>
      <c r="K1430" s="141"/>
      <c r="L1430" s="141"/>
      <c r="M1430" s="141"/>
      <c r="N1430" s="54"/>
      <c r="O1430" s="54"/>
      <c r="P1430" s="54"/>
      <c r="Q1430" s="54"/>
      <c r="R1430" s="54"/>
      <c r="S1430" s="54"/>
      <c r="T1430" s="54"/>
    </row>
    <row r="1431" spans="1:20" ht="15" customHeight="1" x14ac:dyDescent="0.2">
      <c r="A1431" s="141"/>
      <c r="B1431" s="141"/>
      <c r="C1431" s="48" t="s">
        <v>2146</v>
      </c>
      <c r="D1431" s="48" t="s">
        <v>298</v>
      </c>
      <c r="E1431" s="46">
        <v>1</v>
      </c>
      <c r="F1431" s="144" t="str">
        <f>IF(AND(ISNA(VLOOKUP(D1431,A:A,1,FALSE())),ISNA(VLOOKUP(D1431,BaseType!A:A,1,FALSE())),D1431&lt;&gt;"Struct"),"N","Y")</f>
        <v>Y</v>
      </c>
      <c r="G1431" s="145"/>
      <c r="H1431" s="141"/>
      <c r="I1431" s="141"/>
      <c r="J1431" s="141"/>
      <c r="K1431" s="141"/>
      <c r="L1431" s="141"/>
      <c r="M1431" s="141"/>
      <c r="N1431" s="54"/>
      <c r="O1431" s="54"/>
      <c r="P1431" s="54"/>
      <c r="Q1431" s="54"/>
      <c r="R1431" s="54"/>
      <c r="S1431" s="54"/>
      <c r="T1431" s="54"/>
    </row>
    <row r="1432" spans="1:20" ht="15" customHeight="1" x14ac:dyDescent="0.2">
      <c r="A1432" s="141"/>
      <c r="B1432" s="141"/>
      <c r="C1432" s="48" t="s">
        <v>2162</v>
      </c>
      <c r="D1432" s="48" t="s">
        <v>193</v>
      </c>
      <c r="E1432" s="46">
        <v>1</v>
      </c>
      <c r="F1432" s="144" t="str">
        <f>IF(AND(ISNA(VLOOKUP(D1432,A:A,1,FALSE())),ISNA(VLOOKUP(D1432,BaseType!A:A,1,FALSE())),D1432&lt;&gt;"Struct"),"N","Y")</f>
        <v>Y</v>
      </c>
      <c r="G1432" s="145"/>
      <c r="H1432" s="141"/>
      <c r="I1432" s="141"/>
      <c r="J1432" s="141"/>
      <c r="K1432" s="141"/>
      <c r="L1432" s="141"/>
      <c r="M1432" s="141"/>
      <c r="N1432" s="54"/>
      <c r="O1432" s="54"/>
      <c r="P1432" s="54"/>
      <c r="Q1432" s="54"/>
      <c r="R1432" s="54"/>
      <c r="S1432" s="54"/>
      <c r="T1432" s="54"/>
    </row>
    <row r="1433" spans="1:20" ht="15" customHeight="1" x14ac:dyDescent="0.2">
      <c r="A1433" s="141"/>
      <c r="B1433" s="141"/>
      <c r="C1433" s="48" t="s">
        <v>2163</v>
      </c>
      <c r="D1433" s="48" t="s">
        <v>193</v>
      </c>
      <c r="E1433" s="46">
        <v>1</v>
      </c>
      <c r="F1433" s="144" t="str">
        <f>IF(AND(ISNA(VLOOKUP(D1433,A:A,1,FALSE())),ISNA(VLOOKUP(D1433,BaseType!A:A,1,FALSE())),D1433&lt;&gt;"Struct"),"N","Y")</f>
        <v>Y</v>
      </c>
      <c r="G1433" s="145"/>
      <c r="H1433" s="141"/>
      <c r="I1433" s="141"/>
      <c r="J1433" s="141"/>
      <c r="K1433" s="141"/>
      <c r="L1433" s="141"/>
      <c r="M1433" s="141"/>
      <c r="N1433" s="54"/>
      <c r="O1433" s="54"/>
      <c r="P1433" s="54"/>
      <c r="Q1433" s="54"/>
      <c r="R1433" s="54"/>
      <c r="S1433" s="54"/>
      <c r="T1433" s="54"/>
    </row>
    <row r="1434" spans="1:20" ht="15" customHeight="1" x14ac:dyDescent="0.2">
      <c r="A1434" s="141"/>
      <c r="B1434" s="141"/>
      <c r="C1434" s="48" t="s">
        <v>2160</v>
      </c>
      <c r="D1434" s="48" t="s">
        <v>193</v>
      </c>
      <c r="E1434" s="46">
        <v>1</v>
      </c>
      <c r="F1434" s="144" t="str">
        <f>IF(AND(ISNA(VLOOKUP(D1434,A:A,1,FALSE())),ISNA(VLOOKUP(D1434,BaseType!A:A,1,FALSE())),D1434&lt;&gt;"Struct"),"N","Y")</f>
        <v>Y</v>
      </c>
      <c r="G1434" s="145"/>
      <c r="H1434" s="141"/>
      <c r="I1434" s="141"/>
      <c r="J1434" s="141"/>
      <c r="K1434" s="141"/>
      <c r="L1434" s="141"/>
      <c r="M1434" s="141"/>
      <c r="N1434" s="54"/>
      <c r="O1434" s="54"/>
      <c r="P1434" s="54"/>
      <c r="Q1434" s="54"/>
      <c r="R1434" s="54"/>
      <c r="S1434" s="54"/>
      <c r="T1434" s="54"/>
    </row>
    <row r="1435" spans="1:20" ht="15" customHeight="1" x14ac:dyDescent="0.2">
      <c r="A1435" s="141"/>
      <c r="B1435" s="141"/>
      <c r="C1435" s="48" t="s">
        <v>2149</v>
      </c>
      <c r="D1435" s="48" t="s">
        <v>193</v>
      </c>
      <c r="E1435" s="46">
        <v>1</v>
      </c>
      <c r="F1435" s="144" t="str">
        <f>IF(AND(ISNA(VLOOKUP(D1435,A:A,1,FALSE())),ISNA(VLOOKUP(D1435,BaseType!A:A,1,FALSE())),D1435&lt;&gt;"Struct"),"N","Y")</f>
        <v>Y</v>
      </c>
      <c r="G1435" s="145"/>
      <c r="H1435" s="141"/>
      <c r="I1435" s="141"/>
      <c r="J1435" s="141"/>
      <c r="K1435" s="141"/>
      <c r="L1435" s="141"/>
      <c r="M1435" s="141"/>
      <c r="N1435" s="54"/>
      <c r="O1435" s="54"/>
      <c r="P1435" s="54"/>
      <c r="Q1435" s="54"/>
      <c r="R1435" s="54"/>
      <c r="S1435" s="54"/>
      <c r="T1435" s="54"/>
    </row>
    <row r="1436" spans="1:20" ht="15" customHeight="1" x14ac:dyDescent="0.2">
      <c r="A1436" s="141"/>
      <c r="B1436" s="141"/>
      <c r="C1436" s="48" t="s">
        <v>2150</v>
      </c>
      <c r="D1436" s="48" t="s">
        <v>193</v>
      </c>
      <c r="E1436" s="46">
        <v>1</v>
      </c>
      <c r="F1436" s="144" t="str">
        <f>IF(AND(ISNA(VLOOKUP(D1436,A:A,1,FALSE())),ISNA(VLOOKUP(D1436,BaseType!A:A,1,FALSE())),D1436&lt;&gt;"Struct"),"N","Y")</f>
        <v>Y</v>
      </c>
      <c r="G1436" s="145"/>
      <c r="H1436" s="141"/>
      <c r="I1436" s="141"/>
      <c r="J1436" s="141"/>
      <c r="K1436" s="141"/>
      <c r="L1436" s="141"/>
      <c r="M1436" s="141"/>
      <c r="N1436" s="54"/>
      <c r="O1436" s="54"/>
      <c r="P1436" s="54"/>
      <c r="Q1436" s="54"/>
      <c r="R1436" s="54"/>
      <c r="S1436" s="54"/>
      <c r="T1436" s="54"/>
    </row>
    <row r="1437" spans="1:20" ht="15" customHeight="1" x14ac:dyDescent="0.2">
      <c r="A1437" s="141"/>
      <c r="B1437" s="141"/>
      <c r="C1437" s="48" t="s">
        <v>2153</v>
      </c>
      <c r="D1437" s="48" t="s">
        <v>193</v>
      </c>
      <c r="E1437" s="46">
        <v>1</v>
      </c>
      <c r="F1437" s="144" t="str">
        <f>IF(AND(ISNA(VLOOKUP(D1437,A:A,1,FALSE())),ISNA(VLOOKUP(D1437,BaseType!A:A,1,FALSE())),D1437&lt;&gt;"Struct"),"N","Y")</f>
        <v>Y</v>
      </c>
      <c r="G1437" s="145"/>
      <c r="H1437" s="141"/>
      <c r="I1437" s="141"/>
      <c r="J1437" s="141"/>
      <c r="K1437" s="141"/>
      <c r="L1437" s="141"/>
      <c r="M1437" s="141"/>
      <c r="N1437" s="54"/>
      <c r="O1437" s="54"/>
      <c r="P1437" s="54"/>
      <c r="Q1437" s="54"/>
      <c r="R1437" s="54"/>
      <c r="S1437" s="54"/>
      <c r="T1437" s="54"/>
    </row>
    <row r="1438" spans="1:20" ht="15" customHeight="1" x14ac:dyDescent="0.2">
      <c r="A1438" s="141"/>
      <c r="B1438" s="141"/>
      <c r="C1438" s="48" t="s">
        <v>2154</v>
      </c>
      <c r="D1438" s="48" t="s">
        <v>193</v>
      </c>
      <c r="E1438" s="46">
        <v>1</v>
      </c>
      <c r="F1438" s="144" t="str">
        <f>IF(AND(ISNA(VLOOKUP(D1438,A:A,1,FALSE())),ISNA(VLOOKUP(D1438,BaseType!A:A,1,FALSE())),D1438&lt;&gt;"Struct"),"N","Y")</f>
        <v>Y</v>
      </c>
      <c r="G1438" s="145"/>
      <c r="H1438" s="141"/>
      <c r="I1438" s="141"/>
      <c r="J1438" s="141"/>
      <c r="K1438" s="141"/>
      <c r="L1438" s="141"/>
      <c r="M1438" s="141"/>
      <c r="N1438" s="54"/>
      <c r="O1438" s="54"/>
      <c r="P1438" s="54"/>
      <c r="Q1438" s="54"/>
      <c r="R1438" s="54"/>
      <c r="S1438" s="54"/>
      <c r="T1438" s="54"/>
    </row>
    <row r="1439" spans="1:20" ht="15" customHeight="1" x14ac:dyDescent="0.2">
      <c r="A1439" s="141"/>
      <c r="B1439" s="141"/>
      <c r="C1439" s="48" t="s">
        <v>2164</v>
      </c>
      <c r="D1439" s="48" t="s">
        <v>193</v>
      </c>
      <c r="E1439" s="46">
        <v>1</v>
      </c>
      <c r="F1439" s="144" t="str">
        <f>IF(AND(ISNA(VLOOKUP(D1439,A:A,1,FALSE())),ISNA(VLOOKUP(D1439,BaseType!A:A,1,FALSE())),D1439&lt;&gt;"Struct"),"N","Y")</f>
        <v>Y</v>
      </c>
      <c r="G1439" s="145"/>
      <c r="H1439" s="141"/>
      <c r="I1439" s="141"/>
      <c r="J1439" s="141"/>
      <c r="K1439" s="141"/>
      <c r="L1439" s="141"/>
      <c r="M1439" s="141"/>
      <c r="N1439" s="54"/>
      <c r="O1439" s="54"/>
      <c r="P1439" s="54"/>
      <c r="Q1439" s="54"/>
      <c r="R1439" s="54"/>
      <c r="S1439" s="54"/>
      <c r="T1439" s="54"/>
    </row>
    <row r="1440" spans="1:20" ht="15" customHeight="1" x14ac:dyDescent="0.2">
      <c r="A1440" s="141"/>
      <c r="B1440" s="141"/>
      <c r="C1440" s="48" t="s">
        <v>2165</v>
      </c>
      <c r="D1440" s="48" t="s">
        <v>193</v>
      </c>
      <c r="E1440" s="46">
        <v>1</v>
      </c>
      <c r="F1440" s="144" t="str">
        <f>IF(AND(ISNA(VLOOKUP(D1440,A:A,1,FALSE())),ISNA(VLOOKUP(D1440,BaseType!A:A,1,FALSE())),D1440&lt;&gt;"Struct"),"N","Y")</f>
        <v>Y</v>
      </c>
      <c r="G1440" s="145"/>
      <c r="H1440" s="141"/>
      <c r="I1440" s="141"/>
      <c r="J1440" s="141"/>
      <c r="K1440" s="141"/>
      <c r="L1440" s="141"/>
      <c r="M1440" s="141"/>
      <c r="N1440" s="54"/>
      <c r="O1440" s="54"/>
      <c r="P1440" s="54"/>
      <c r="Q1440" s="54"/>
      <c r="R1440" s="54"/>
      <c r="S1440" s="54"/>
      <c r="T1440" s="54"/>
    </row>
    <row r="1441" spans="1:20" ht="15" customHeight="1" x14ac:dyDescent="0.2">
      <c r="A1441" s="141"/>
      <c r="B1441" s="141"/>
      <c r="C1441" s="48" t="s">
        <v>2161</v>
      </c>
      <c r="D1441" s="48" t="s">
        <v>193</v>
      </c>
      <c r="E1441" s="46">
        <v>1</v>
      </c>
      <c r="F1441" s="144" t="str">
        <f>IF(AND(ISNA(VLOOKUP(D1441,A:A,1,FALSE())),ISNA(VLOOKUP(D1441,BaseType!A:A,1,FALSE())),D1441&lt;&gt;"Struct"),"N","Y")</f>
        <v>Y</v>
      </c>
      <c r="G1441" s="145"/>
      <c r="H1441" s="141"/>
      <c r="I1441" s="141"/>
      <c r="J1441" s="141"/>
      <c r="K1441" s="141"/>
      <c r="L1441" s="141"/>
      <c r="M1441" s="141"/>
      <c r="N1441" s="54"/>
      <c r="O1441" s="54"/>
      <c r="P1441" s="54"/>
      <c r="Q1441" s="54"/>
      <c r="R1441" s="54"/>
      <c r="S1441" s="54"/>
      <c r="T1441" s="54"/>
    </row>
    <row r="1442" spans="1:20" ht="15" customHeight="1" x14ac:dyDescent="0.2">
      <c r="A1442" s="141"/>
      <c r="B1442" s="141"/>
      <c r="C1442" s="48" t="s">
        <v>2166</v>
      </c>
      <c r="D1442" s="48" t="s">
        <v>193</v>
      </c>
      <c r="E1442" s="46">
        <v>1</v>
      </c>
      <c r="F1442" s="144" t="str">
        <f>IF(AND(ISNA(VLOOKUP(D1442,A:A,1,FALSE())),ISNA(VLOOKUP(D1442,BaseType!A:A,1,FALSE())),D1442&lt;&gt;"Struct"),"N","Y")</f>
        <v>Y</v>
      </c>
      <c r="G1442" s="145"/>
      <c r="H1442" s="141"/>
      <c r="I1442" s="141"/>
      <c r="J1442" s="141"/>
      <c r="K1442" s="141"/>
      <c r="L1442" s="141"/>
      <c r="M1442" s="141"/>
      <c r="N1442" s="54"/>
      <c r="O1442" s="54"/>
      <c r="P1442" s="54"/>
      <c r="Q1442" s="54"/>
      <c r="R1442" s="54"/>
      <c r="S1442" s="54"/>
      <c r="T1442" s="54"/>
    </row>
    <row r="1443" spans="1:20" ht="15" customHeight="1" x14ac:dyDescent="0.2">
      <c r="A1443" s="141"/>
      <c r="B1443" s="141"/>
      <c r="C1443" s="48" t="s">
        <v>2064</v>
      </c>
      <c r="D1443" s="48" t="s">
        <v>193</v>
      </c>
      <c r="E1443" s="46">
        <v>1</v>
      </c>
      <c r="F1443" s="144" t="str">
        <f>IF(AND(ISNA(VLOOKUP(D1443,A:A,1,FALSE())),ISNA(VLOOKUP(D1443,BaseType!A:A,1,FALSE())),D1443&lt;&gt;"Struct"),"N","Y")</f>
        <v>Y</v>
      </c>
      <c r="G1443" s="145"/>
      <c r="H1443" s="141"/>
      <c r="I1443" s="141"/>
      <c r="J1443" s="141"/>
      <c r="K1443" s="141"/>
      <c r="L1443" s="141"/>
      <c r="M1443" s="141"/>
      <c r="N1443" s="54"/>
      <c r="O1443" s="54"/>
      <c r="P1443" s="54"/>
      <c r="Q1443" s="54"/>
      <c r="R1443" s="54"/>
      <c r="S1443" s="54"/>
      <c r="T1443" s="54"/>
    </row>
    <row r="1444" spans="1:20" ht="15" customHeight="1" x14ac:dyDescent="0.2">
      <c r="A1444" s="141"/>
      <c r="B1444" s="141"/>
      <c r="C1444" s="48" t="s">
        <v>2090</v>
      </c>
      <c r="D1444" s="48" t="s">
        <v>298</v>
      </c>
      <c r="E1444" s="46">
        <v>1</v>
      </c>
      <c r="F1444" s="144" t="str">
        <f>IF(AND(ISNA(VLOOKUP(D1444,A:A,1,FALSE())),ISNA(VLOOKUP(D1444,BaseType!A:A,1,FALSE())),D1444&lt;&gt;"Struct"),"N","Y")</f>
        <v>Y</v>
      </c>
      <c r="G1444" s="145"/>
      <c r="H1444" s="141"/>
      <c r="I1444" s="141"/>
      <c r="J1444" s="141"/>
      <c r="K1444" s="141"/>
      <c r="L1444" s="141"/>
      <c r="M1444" s="141"/>
      <c r="N1444" s="54"/>
      <c r="O1444" s="54"/>
      <c r="P1444" s="54"/>
      <c r="Q1444" s="54"/>
      <c r="R1444" s="54"/>
      <c r="S1444" s="54"/>
      <c r="T1444" s="54"/>
    </row>
    <row r="1445" spans="1:20" ht="15" customHeight="1" x14ac:dyDescent="0.2">
      <c r="A1445" s="48" t="s">
        <v>422</v>
      </c>
      <c r="B1445" s="143" t="str">
        <f>IF(ISBLANK(A1445),"",IF(AND(ISNA(VLOOKUP(A1445,Interface_Platform!E:E,1,FALSE())),ISNA(VLOOKUP(A1445,D:D,1,FALSE()))),"N","Y"))</f>
        <v>Y</v>
      </c>
      <c r="C1445" s="141"/>
      <c r="D1445" s="174" t="s">
        <v>484</v>
      </c>
      <c r="E1445" s="46"/>
      <c r="F1445" s="144" t="str">
        <f>IF(AND(ISNA(VLOOKUP(D1445,A:A,1,FALSE())),ISNA(VLOOKUP(D1445,BaseType!A:A,1,FALSE())),D1445&lt;&gt;"Struct"),"N","Y")</f>
        <v>Y</v>
      </c>
      <c r="G1445" s="145"/>
      <c r="H1445" s="141"/>
      <c r="I1445" s="141"/>
      <c r="J1445" s="141"/>
      <c r="K1445" s="141"/>
      <c r="L1445" s="141"/>
      <c r="M1445" s="141"/>
      <c r="N1445" s="54"/>
      <c r="O1445" s="54"/>
      <c r="P1445" s="54"/>
      <c r="Q1445" s="54"/>
      <c r="R1445" s="54"/>
      <c r="S1445" s="54"/>
      <c r="T1445" s="54"/>
    </row>
    <row r="1446" spans="1:20" ht="15" customHeight="1" x14ac:dyDescent="0.2">
      <c r="A1446" s="48"/>
      <c r="B1446" s="48"/>
      <c r="C1446" s="48" t="s">
        <v>1966</v>
      </c>
      <c r="D1446" s="48" t="s">
        <v>2129</v>
      </c>
      <c r="E1446" s="46">
        <v>1</v>
      </c>
      <c r="F1446" s="144" t="str">
        <f>IF(AND(ISNA(VLOOKUP(D1446,A:A,1,FALSE())),ISNA(VLOOKUP(D1446,BaseType!A:A,1,FALSE())),D1446&lt;&gt;"Struct"),"N","Y")</f>
        <v>Y</v>
      </c>
      <c r="G1446" s="145"/>
      <c r="H1446" s="141"/>
      <c r="I1446" s="141"/>
      <c r="J1446" s="141"/>
      <c r="K1446" s="141"/>
      <c r="L1446" s="141"/>
      <c r="M1446" s="141"/>
      <c r="N1446" s="54"/>
      <c r="O1446" s="54"/>
      <c r="P1446" s="54"/>
      <c r="Q1446" s="54"/>
      <c r="R1446" s="54"/>
      <c r="S1446" s="54"/>
      <c r="T1446" s="54"/>
    </row>
    <row r="1447" spans="1:20" ht="15" customHeight="1" x14ac:dyDescent="0.2">
      <c r="A1447" s="141"/>
      <c r="B1447" s="141"/>
      <c r="C1447" s="48" t="s">
        <v>2137</v>
      </c>
      <c r="D1447" s="48" t="s">
        <v>193</v>
      </c>
      <c r="E1447" s="46">
        <v>1</v>
      </c>
      <c r="F1447" s="144" t="str">
        <f>IF(AND(ISNA(VLOOKUP(D1447,A:A,1,FALSE())),ISNA(VLOOKUP(D1447,BaseType!A:A,1,FALSE())),D1447&lt;&gt;"Struct"),"N","Y")</f>
        <v>Y</v>
      </c>
      <c r="G1447" s="145"/>
      <c r="H1447" s="141"/>
      <c r="I1447" s="141"/>
      <c r="J1447" s="141"/>
      <c r="K1447" s="141"/>
      <c r="L1447" s="141"/>
      <c r="M1447" s="141"/>
      <c r="N1447" s="54"/>
      <c r="O1447" s="54"/>
      <c r="P1447" s="54"/>
      <c r="Q1447" s="54"/>
      <c r="R1447" s="54"/>
      <c r="S1447" s="54"/>
      <c r="T1447" s="54"/>
    </row>
    <row r="1448" spans="1:20" ht="15" customHeight="1" x14ac:dyDescent="0.2">
      <c r="A1448" s="141"/>
      <c r="B1448" s="141"/>
      <c r="C1448" s="48" t="s">
        <v>2147</v>
      </c>
      <c r="D1448" s="48" t="s">
        <v>193</v>
      </c>
      <c r="E1448" s="46">
        <v>1</v>
      </c>
      <c r="F1448" s="144" t="str">
        <f>IF(AND(ISNA(VLOOKUP(D1448,A:A,1,FALSE())),ISNA(VLOOKUP(D1448,BaseType!A:A,1,FALSE())),D1448&lt;&gt;"Struct"),"N","Y")</f>
        <v>Y</v>
      </c>
      <c r="G1448" s="145"/>
      <c r="H1448" s="141"/>
      <c r="I1448" s="141"/>
      <c r="J1448" s="141"/>
      <c r="K1448" s="141"/>
      <c r="L1448" s="141"/>
      <c r="M1448" s="141"/>
      <c r="N1448" s="54"/>
      <c r="O1448" s="54"/>
      <c r="P1448" s="54"/>
      <c r="Q1448" s="54"/>
      <c r="R1448" s="54"/>
      <c r="S1448" s="54"/>
      <c r="T1448" s="54"/>
    </row>
    <row r="1449" spans="1:20" ht="15" customHeight="1" x14ac:dyDescent="0.2">
      <c r="A1449" s="141"/>
      <c r="B1449" s="141"/>
      <c r="C1449" s="48" t="s">
        <v>2138</v>
      </c>
      <c r="D1449" s="48" t="s">
        <v>193</v>
      </c>
      <c r="E1449" s="46">
        <v>1</v>
      </c>
      <c r="F1449" s="144" t="str">
        <f>IF(AND(ISNA(VLOOKUP(D1449,A:A,1,FALSE())),ISNA(VLOOKUP(D1449,BaseType!A:A,1,FALSE())),D1449&lt;&gt;"Struct"),"N","Y")</f>
        <v>Y</v>
      </c>
      <c r="G1449" s="145"/>
      <c r="H1449" s="141"/>
      <c r="I1449" s="141"/>
      <c r="J1449" s="141"/>
      <c r="K1449" s="141"/>
      <c r="L1449" s="141"/>
      <c r="M1449" s="141"/>
      <c r="N1449" s="54"/>
      <c r="O1449" s="54"/>
      <c r="P1449" s="54"/>
      <c r="Q1449" s="54"/>
      <c r="R1449" s="54"/>
      <c r="S1449" s="54"/>
      <c r="T1449" s="54"/>
    </row>
    <row r="1450" spans="1:20" ht="15" customHeight="1" x14ac:dyDescent="0.2">
      <c r="A1450" s="141"/>
      <c r="B1450" s="141"/>
      <c r="C1450" s="48" t="s">
        <v>2148</v>
      </c>
      <c r="D1450" s="48" t="s">
        <v>193</v>
      </c>
      <c r="E1450" s="46">
        <v>1</v>
      </c>
      <c r="F1450" s="144" t="str">
        <f>IF(AND(ISNA(VLOOKUP(D1450,A:A,1,FALSE())),ISNA(VLOOKUP(D1450,BaseType!A:A,1,FALSE())),D1450&lt;&gt;"Struct"),"N","Y")</f>
        <v>Y</v>
      </c>
      <c r="G1450" s="145"/>
      <c r="H1450" s="141"/>
      <c r="I1450" s="141"/>
      <c r="J1450" s="141"/>
      <c r="K1450" s="141"/>
      <c r="L1450" s="141"/>
      <c r="M1450" s="141"/>
      <c r="N1450" s="54"/>
      <c r="O1450" s="54"/>
      <c r="P1450" s="54"/>
      <c r="Q1450" s="54"/>
      <c r="R1450" s="54"/>
      <c r="S1450" s="54"/>
      <c r="T1450" s="54"/>
    </row>
    <row r="1451" spans="1:20" ht="15" customHeight="1" x14ac:dyDescent="0.2">
      <c r="A1451" s="141"/>
      <c r="B1451" s="141"/>
      <c r="C1451" s="48" t="s">
        <v>2146</v>
      </c>
      <c r="D1451" s="48" t="s">
        <v>298</v>
      </c>
      <c r="E1451" s="46">
        <v>1</v>
      </c>
      <c r="F1451" s="144" t="str">
        <f>IF(AND(ISNA(VLOOKUP(D1451,A:A,1,FALSE())),ISNA(VLOOKUP(D1451,BaseType!A:A,1,FALSE())),D1451&lt;&gt;"Struct"),"N","Y")</f>
        <v>Y</v>
      </c>
      <c r="G1451" s="145"/>
      <c r="H1451" s="141"/>
      <c r="I1451" s="141"/>
      <c r="J1451" s="141"/>
      <c r="K1451" s="141"/>
      <c r="L1451" s="141"/>
      <c r="M1451" s="141"/>
      <c r="N1451" s="54"/>
      <c r="O1451" s="54"/>
      <c r="P1451" s="54"/>
      <c r="Q1451" s="54"/>
      <c r="R1451" s="54"/>
      <c r="S1451" s="54"/>
      <c r="T1451" s="54"/>
    </row>
    <row r="1452" spans="1:20" ht="15" customHeight="1" x14ac:dyDescent="0.2">
      <c r="A1452" s="141"/>
      <c r="B1452" s="141"/>
      <c r="C1452" s="48" t="s">
        <v>2167</v>
      </c>
      <c r="D1452" s="48" t="s">
        <v>193</v>
      </c>
      <c r="E1452" s="46">
        <v>1</v>
      </c>
      <c r="F1452" s="144" t="str">
        <f>IF(AND(ISNA(VLOOKUP(D1452,A:A,1,FALSE())),ISNA(VLOOKUP(D1452,BaseType!A:A,1,FALSE())),D1452&lt;&gt;"Struct"),"N","Y")</f>
        <v>Y</v>
      </c>
      <c r="G1452" s="145"/>
      <c r="H1452" s="141"/>
      <c r="I1452" s="141"/>
      <c r="J1452" s="141"/>
      <c r="K1452" s="141"/>
      <c r="L1452" s="141"/>
      <c r="M1452" s="141"/>
      <c r="N1452" s="54"/>
      <c r="O1452" s="54"/>
      <c r="P1452" s="54"/>
      <c r="Q1452" s="54"/>
      <c r="R1452" s="54"/>
      <c r="S1452" s="54"/>
      <c r="T1452" s="54"/>
    </row>
    <row r="1453" spans="1:20" ht="15" customHeight="1" x14ac:dyDescent="0.2">
      <c r="A1453" s="141"/>
      <c r="B1453" s="141"/>
      <c r="C1453" s="48" t="s">
        <v>2168</v>
      </c>
      <c r="D1453" s="48" t="s">
        <v>193</v>
      </c>
      <c r="E1453" s="46">
        <v>1</v>
      </c>
      <c r="F1453" s="144" t="str">
        <f>IF(AND(ISNA(VLOOKUP(D1453,A:A,1,FALSE())),ISNA(VLOOKUP(D1453,BaseType!A:A,1,FALSE())),D1453&lt;&gt;"Struct"),"N","Y")</f>
        <v>Y</v>
      </c>
      <c r="G1453" s="145"/>
      <c r="H1453" s="141"/>
      <c r="I1453" s="141"/>
      <c r="J1453" s="141"/>
      <c r="K1453" s="141"/>
      <c r="L1453" s="141"/>
      <c r="M1453" s="141"/>
      <c r="N1453" s="54"/>
      <c r="O1453" s="54"/>
      <c r="P1453" s="54"/>
      <c r="Q1453" s="54"/>
      <c r="R1453" s="54"/>
      <c r="S1453" s="54"/>
      <c r="T1453" s="54"/>
    </row>
    <row r="1454" spans="1:20" ht="15" customHeight="1" x14ac:dyDescent="0.2">
      <c r="A1454" s="141"/>
      <c r="B1454" s="141"/>
      <c r="C1454" s="48" t="s">
        <v>2169</v>
      </c>
      <c r="D1454" s="48" t="s">
        <v>193</v>
      </c>
      <c r="E1454" s="46">
        <v>1</v>
      </c>
      <c r="F1454" s="144" t="str">
        <f>IF(AND(ISNA(VLOOKUP(D1454,A:A,1,FALSE())),ISNA(VLOOKUP(D1454,BaseType!A:A,1,FALSE())),D1454&lt;&gt;"Struct"),"N","Y")</f>
        <v>Y</v>
      </c>
      <c r="G1454" s="145"/>
      <c r="H1454" s="141"/>
      <c r="I1454" s="141"/>
      <c r="J1454" s="141"/>
      <c r="K1454" s="141"/>
      <c r="L1454" s="141"/>
      <c r="M1454" s="141"/>
      <c r="N1454" s="54"/>
      <c r="O1454" s="54"/>
      <c r="P1454" s="54"/>
      <c r="Q1454" s="54"/>
      <c r="R1454" s="54"/>
      <c r="S1454" s="54"/>
      <c r="T1454" s="54"/>
    </row>
    <row r="1455" spans="1:20" ht="15" customHeight="1" x14ac:dyDescent="0.2">
      <c r="A1455" s="141"/>
      <c r="B1455" s="141"/>
      <c r="C1455" s="48" t="s">
        <v>2064</v>
      </c>
      <c r="D1455" s="48" t="s">
        <v>193</v>
      </c>
      <c r="E1455" s="46">
        <v>1</v>
      </c>
      <c r="F1455" s="144" t="str">
        <f>IF(AND(ISNA(VLOOKUP(D1455,A:A,1,FALSE())),ISNA(VLOOKUP(D1455,BaseType!A:A,1,FALSE())),D1455&lt;&gt;"Struct"),"N","Y")</f>
        <v>Y</v>
      </c>
      <c r="G1455" s="145"/>
      <c r="H1455" s="141"/>
      <c r="I1455" s="141"/>
      <c r="J1455" s="141"/>
      <c r="K1455" s="141"/>
      <c r="L1455" s="141"/>
      <c r="M1455" s="141"/>
      <c r="N1455" s="54"/>
      <c r="O1455" s="54"/>
      <c r="P1455" s="54"/>
      <c r="Q1455" s="54"/>
      <c r="R1455" s="54"/>
      <c r="S1455" s="54"/>
      <c r="T1455" s="54"/>
    </row>
    <row r="1456" spans="1:20" ht="15" customHeight="1" x14ac:dyDescent="0.2">
      <c r="A1456" s="141"/>
      <c r="B1456" s="141"/>
      <c r="C1456" s="48" t="s">
        <v>2170</v>
      </c>
      <c r="D1456" s="48" t="s">
        <v>764</v>
      </c>
      <c r="E1456" s="46">
        <v>1</v>
      </c>
      <c r="F1456" s="144" t="str">
        <f>IF(AND(ISNA(VLOOKUP(D1456,A:A,1,FALSE())),ISNA(VLOOKUP(D1456,BaseType!A:A,1,FALSE())),D1456&lt;&gt;"Struct"),"N","Y")</f>
        <v>Y</v>
      </c>
      <c r="G1456" s="145"/>
      <c r="H1456" s="141"/>
      <c r="I1456" s="141"/>
      <c r="J1456" s="141"/>
      <c r="K1456" s="141"/>
      <c r="L1456" s="141"/>
      <c r="M1456" s="141"/>
      <c r="N1456" s="54"/>
      <c r="O1456" s="54"/>
      <c r="P1456" s="54"/>
      <c r="Q1456" s="54"/>
      <c r="R1456" s="54"/>
      <c r="S1456" s="54"/>
      <c r="T1456" s="54"/>
    </row>
    <row r="1457" spans="1:20" ht="15" customHeight="1" x14ac:dyDescent="0.2">
      <c r="A1457" s="141"/>
      <c r="B1457" s="141"/>
      <c r="C1457" s="48" t="s">
        <v>2171</v>
      </c>
      <c r="D1457" s="48" t="s">
        <v>764</v>
      </c>
      <c r="E1457" s="46">
        <v>1</v>
      </c>
      <c r="F1457" s="144" t="str">
        <f>IF(AND(ISNA(VLOOKUP(D1457,A:A,1,FALSE())),ISNA(VLOOKUP(D1457,BaseType!A:A,1,FALSE())),D1457&lt;&gt;"Struct"),"N","Y")</f>
        <v>Y</v>
      </c>
      <c r="G1457" s="145"/>
      <c r="H1457" s="141"/>
      <c r="I1457" s="141"/>
      <c r="J1457" s="141"/>
      <c r="K1457" s="141"/>
      <c r="L1457" s="141"/>
      <c r="M1457" s="141"/>
      <c r="N1457" s="54"/>
      <c r="O1457" s="54"/>
      <c r="P1457" s="54"/>
      <c r="Q1457" s="54"/>
      <c r="R1457" s="54"/>
      <c r="S1457" s="54"/>
      <c r="T1457" s="54"/>
    </row>
    <row r="1458" spans="1:20" ht="15" customHeight="1" x14ac:dyDescent="0.2">
      <c r="A1458" s="141"/>
      <c r="B1458" s="141"/>
      <c r="C1458" s="48" t="s">
        <v>2172</v>
      </c>
      <c r="D1458" s="48" t="s">
        <v>298</v>
      </c>
      <c r="E1458" s="46">
        <v>1</v>
      </c>
      <c r="F1458" s="144" t="str">
        <f>IF(AND(ISNA(VLOOKUP(D1458,A:A,1,FALSE())),ISNA(VLOOKUP(D1458,BaseType!A:A,1,FALSE())),D1458&lt;&gt;"Struct"),"N","Y")</f>
        <v>Y</v>
      </c>
      <c r="G1458" s="145"/>
      <c r="H1458" s="141"/>
      <c r="I1458" s="141"/>
      <c r="J1458" s="141"/>
      <c r="K1458" s="141"/>
      <c r="L1458" s="141"/>
      <c r="M1458" s="141"/>
      <c r="N1458" s="54"/>
      <c r="O1458" s="54"/>
      <c r="P1458" s="54"/>
      <c r="Q1458" s="54"/>
      <c r="R1458" s="54"/>
      <c r="S1458" s="54"/>
      <c r="T1458" s="54"/>
    </row>
    <row r="1459" spans="1:20" ht="15" customHeight="1" x14ac:dyDescent="0.2">
      <c r="A1459" s="141"/>
      <c r="B1459" s="141"/>
      <c r="C1459" s="48" t="s">
        <v>2173</v>
      </c>
      <c r="D1459" s="48" t="s">
        <v>298</v>
      </c>
      <c r="E1459" s="46">
        <v>1</v>
      </c>
      <c r="F1459" s="144" t="str">
        <f>IF(AND(ISNA(VLOOKUP(D1459,A:A,1,FALSE())),ISNA(VLOOKUP(D1459,BaseType!A:A,1,FALSE())),D1459&lt;&gt;"Struct"),"N","Y")</f>
        <v>Y</v>
      </c>
      <c r="G1459" s="145"/>
      <c r="H1459" s="141"/>
      <c r="I1459" s="141"/>
      <c r="J1459" s="141"/>
      <c r="K1459" s="141"/>
      <c r="L1459" s="141"/>
      <c r="M1459" s="141"/>
      <c r="N1459" s="54"/>
      <c r="O1459" s="54"/>
      <c r="P1459" s="54"/>
      <c r="Q1459" s="54"/>
      <c r="R1459" s="54"/>
      <c r="S1459" s="54"/>
      <c r="T1459" s="54"/>
    </row>
    <row r="1460" spans="1:20" ht="15" customHeight="1" x14ac:dyDescent="0.2">
      <c r="A1460" s="141"/>
      <c r="B1460" s="141"/>
      <c r="C1460" s="48" t="s">
        <v>2090</v>
      </c>
      <c r="D1460" s="48" t="s">
        <v>298</v>
      </c>
      <c r="E1460" s="46">
        <v>1</v>
      </c>
      <c r="F1460" s="144" t="str">
        <f>IF(AND(ISNA(VLOOKUP(D1460,A:A,1,FALSE())),ISNA(VLOOKUP(D1460,BaseType!A:A,1,FALSE())),D1460&lt;&gt;"Struct"),"N","Y")</f>
        <v>Y</v>
      </c>
      <c r="G1460" s="145"/>
      <c r="H1460" s="141"/>
      <c r="I1460" s="141"/>
      <c r="J1460" s="141"/>
      <c r="K1460" s="141"/>
      <c r="L1460" s="141"/>
      <c r="M1460" s="141"/>
      <c r="N1460" s="54"/>
      <c r="O1460" s="54"/>
      <c r="P1460" s="54"/>
      <c r="Q1460" s="54"/>
      <c r="R1460" s="54"/>
      <c r="S1460" s="54"/>
      <c r="T1460" s="54"/>
    </row>
    <row r="1461" spans="1:20" ht="15" customHeight="1" x14ac:dyDescent="0.2">
      <c r="A1461" s="48" t="s">
        <v>424</v>
      </c>
      <c r="B1461" s="143" t="str">
        <f>IF(ISBLANK(A1461),"",IF(AND(ISNA(VLOOKUP(A1461,Interface_Platform!E:E,1,FALSE())),ISNA(VLOOKUP(A1461,D:D,1,FALSE()))),"N","Y"))</f>
        <v>Y</v>
      </c>
      <c r="C1461" s="141"/>
      <c r="D1461" s="174" t="s">
        <v>484</v>
      </c>
      <c r="E1461" s="46"/>
      <c r="F1461" s="144" t="str">
        <f>IF(AND(ISNA(VLOOKUP(D1461,A:A,1,FALSE())),ISNA(VLOOKUP(D1461,BaseType!A:A,1,FALSE())),D1461&lt;&gt;"Struct"),"N","Y")</f>
        <v>Y</v>
      </c>
      <c r="G1461" s="145"/>
      <c r="H1461" s="141"/>
      <c r="I1461" s="141"/>
      <c r="J1461" s="141"/>
      <c r="K1461" s="141"/>
      <c r="L1461" s="141"/>
      <c r="M1461" s="141"/>
      <c r="N1461" s="54"/>
      <c r="O1461" s="54"/>
      <c r="P1461" s="54"/>
      <c r="Q1461" s="54"/>
      <c r="R1461" s="54"/>
      <c r="S1461" s="54"/>
      <c r="T1461" s="54"/>
    </row>
    <row r="1462" spans="1:20" ht="15" customHeight="1" x14ac:dyDescent="0.2">
      <c r="A1462" s="48"/>
      <c r="B1462" s="48"/>
      <c r="C1462" s="48" t="s">
        <v>1966</v>
      </c>
      <c r="D1462" s="48" t="s">
        <v>2129</v>
      </c>
      <c r="E1462" s="46">
        <v>1</v>
      </c>
      <c r="F1462" s="144" t="str">
        <f>IF(AND(ISNA(VLOOKUP(D1462,A:A,1,FALSE())),ISNA(VLOOKUP(D1462,BaseType!A:A,1,FALSE())),D1462&lt;&gt;"Struct"),"N","Y")</f>
        <v>Y</v>
      </c>
      <c r="G1462" s="145"/>
      <c r="H1462" s="141"/>
      <c r="I1462" s="141"/>
      <c r="J1462" s="141"/>
      <c r="K1462" s="141"/>
      <c r="L1462" s="141"/>
      <c r="M1462" s="141"/>
      <c r="N1462" s="54"/>
      <c r="O1462" s="54"/>
      <c r="P1462" s="54"/>
      <c r="Q1462" s="54"/>
      <c r="R1462" s="54"/>
      <c r="S1462" s="54"/>
      <c r="T1462" s="54"/>
    </row>
    <row r="1463" spans="1:20" ht="15" customHeight="1" x14ac:dyDescent="0.2">
      <c r="A1463" s="141"/>
      <c r="B1463" s="141"/>
      <c r="C1463" s="48" t="s">
        <v>2137</v>
      </c>
      <c r="D1463" s="48" t="s">
        <v>193</v>
      </c>
      <c r="E1463" s="46">
        <v>1</v>
      </c>
      <c r="F1463" s="144" t="str">
        <f>IF(AND(ISNA(VLOOKUP(D1463,A:A,1,FALSE())),ISNA(VLOOKUP(D1463,BaseType!A:A,1,FALSE())),D1463&lt;&gt;"Struct"),"N","Y")</f>
        <v>Y</v>
      </c>
      <c r="G1463" s="145"/>
      <c r="H1463" s="141"/>
      <c r="I1463" s="141"/>
      <c r="J1463" s="141"/>
      <c r="K1463" s="141"/>
      <c r="L1463" s="141"/>
      <c r="M1463" s="141"/>
      <c r="N1463" s="54"/>
      <c r="O1463" s="54"/>
      <c r="P1463" s="54"/>
      <c r="Q1463" s="54"/>
      <c r="R1463" s="54"/>
      <c r="S1463" s="54"/>
      <c r="T1463" s="54"/>
    </row>
    <row r="1464" spans="1:20" ht="15" customHeight="1" x14ac:dyDescent="0.2">
      <c r="A1464" s="141"/>
      <c r="B1464" s="141"/>
      <c r="C1464" s="48" t="s">
        <v>2147</v>
      </c>
      <c r="D1464" s="48" t="s">
        <v>193</v>
      </c>
      <c r="E1464" s="46">
        <v>1</v>
      </c>
      <c r="F1464" s="144" t="str">
        <f>IF(AND(ISNA(VLOOKUP(D1464,A:A,1,FALSE())),ISNA(VLOOKUP(D1464,BaseType!A:A,1,FALSE())),D1464&lt;&gt;"Struct"),"N","Y")</f>
        <v>Y</v>
      </c>
      <c r="G1464" s="145"/>
      <c r="H1464" s="141"/>
      <c r="I1464" s="141"/>
      <c r="J1464" s="141"/>
      <c r="K1464" s="141"/>
      <c r="L1464" s="141"/>
      <c r="M1464" s="141"/>
      <c r="N1464" s="54"/>
      <c r="O1464" s="54"/>
      <c r="P1464" s="54"/>
      <c r="Q1464" s="54"/>
      <c r="R1464" s="54"/>
      <c r="S1464" s="54"/>
      <c r="T1464" s="54"/>
    </row>
    <row r="1465" spans="1:20" ht="15" customHeight="1" x14ac:dyDescent="0.2">
      <c r="A1465" s="141"/>
      <c r="B1465" s="141"/>
      <c r="C1465" s="48" t="s">
        <v>2138</v>
      </c>
      <c r="D1465" s="48" t="s">
        <v>193</v>
      </c>
      <c r="E1465" s="46">
        <v>1</v>
      </c>
      <c r="F1465" s="144" t="str">
        <f>IF(AND(ISNA(VLOOKUP(D1465,A:A,1,FALSE())),ISNA(VLOOKUP(D1465,BaseType!A:A,1,FALSE())),D1465&lt;&gt;"Struct"),"N","Y")</f>
        <v>Y</v>
      </c>
      <c r="G1465" s="145"/>
      <c r="H1465" s="141"/>
      <c r="I1465" s="141"/>
      <c r="J1465" s="141"/>
      <c r="K1465" s="141"/>
      <c r="L1465" s="141"/>
      <c r="M1465" s="141"/>
      <c r="N1465" s="54"/>
      <c r="O1465" s="54"/>
      <c r="P1465" s="54"/>
      <c r="Q1465" s="54"/>
      <c r="R1465" s="54"/>
      <c r="S1465" s="54"/>
      <c r="T1465" s="54"/>
    </row>
    <row r="1466" spans="1:20" ht="15" customHeight="1" x14ac:dyDescent="0.2">
      <c r="A1466" s="141"/>
      <c r="B1466" s="141"/>
      <c r="C1466" s="48" t="s">
        <v>2148</v>
      </c>
      <c r="D1466" s="48" t="s">
        <v>193</v>
      </c>
      <c r="E1466" s="46">
        <v>1</v>
      </c>
      <c r="F1466" s="144" t="str">
        <f>IF(AND(ISNA(VLOOKUP(D1466,A:A,1,FALSE())),ISNA(VLOOKUP(D1466,BaseType!A:A,1,FALSE())),D1466&lt;&gt;"Struct"),"N","Y")</f>
        <v>Y</v>
      </c>
      <c r="G1466" s="145"/>
      <c r="H1466" s="141"/>
      <c r="I1466" s="141"/>
      <c r="J1466" s="141"/>
      <c r="K1466" s="141"/>
      <c r="L1466" s="141"/>
      <c r="M1466" s="141"/>
      <c r="N1466" s="54"/>
      <c r="O1466" s="54"/>
      <c r="P1466" s="54"/>
      <c r="Q1466" s="54"/>
      <c r="R1466" s="54"/>
      <c r="S1466" s="54"/>
      <c r="T1466" s="54"/>
    </row>
    <row r="1467" spans="1:20" ht="15" customHeight="1" x14ac:dyDescent="0.2">
      <c r="A1467" s="141"/>
      <c r="B1467" s="141"/>
      <c r="C1467" s="48" t="s">
        <v>2167</v>
      </c>
      <c r="D1467" s="48" t="s">
        <v>193</v>
      </c>
      <c r="E1467" s="46">
        <v>1</v>
      </c>
      <c r="F1467" s="144" t="str">
        <f>IF(AND(ISNA(VLOOKUP(D1467,A:A,1,FALSE())),ISNA(VLOOKUP(D1467,BaseType!A:A,1,FALSE())),D1467&lt;&gt;"Struct"),"N","Y")</f>
        <v>Y</v>
      </c>
      <c r="G1467" s="145"/>
      <c r="H1467" s="141"/>
      <c r="I1467" s="141"/>
      <c r="J1467" s="141"/>
      <c r="K1467" s="141"/>
      <c r="L1467" s="141"/>
      <c r="M1467" s="141"/>
      <c r="N1467" s="54"/>
      <c r="O1467" s="54"/>
      <c r="P1467" s="54"/>
      <c r="Q1467" s="54"/>
      <c r="R1467" s="54"/>
      <c r="S1467" s="54"/>
      <c r="T1467" s="54"/>
    </row>
    <row r="1468" spans="1:20" ht="15" customHeight="1" x14ac:dyDescent="0.2">
      <c r="A1468" s="141"/>
      <c r="B1468" s="141"/>
      <c r="C1468" s="48" t="s">
        <v>2168</v>
      </c>
      <c r="D1468" s="48" t="s">
        <v>193</v>
      </c>
      <c r="E1468" s="46">
        <v>1</v>
      </c>
      <c r="F1468" s="144" t="str">
        <f>IF(AND(ISNA(VLOOKUP(D1468,A:A,1,FALSE())),ISNA(VLOOKUP(D1468,BaseType!A:A,1,FALSE())),D1468&lt;&gt;"Struct"),"N","Y")</f>
        <v>Y</v>
      </c>
      <c r="G1468" s="145"/>
      <c r="H1468" s="141"/>
      <c r="I1468" s="141"/>
      <c r="J1468" s="141"/>
      <c r="K1468" s="141"/>
      <c r="L1468" s="141"/>
      <c r="M1468" s="141"/>
      <c r="N1468" s="54"/>
      <c r="O1468" s="54"/>
      <c r="P1468" s="54"/>
      <c r="Q1468" s="54"/>
      <c r="R1468" s="54"/>
      <c r="S1468" s="54"/>
      <c r="T1468" s="54"/>
    </row>
    <row r="1469" spans="1:20" ht="15" customHeight="1" x14ac:dyDescent="0.2">
      <c r="A1469" s="141"/>
      <c r="B1469" s="141"/>
      <c r="C1469" s="48" t="s">
        <v>2064</v>
      </c>
      <c r="D1469" s="48" t="s">
        <v>193</v>
      </c>
      <c r="E1469" s="46">
        <v>2</v>
      </c>
      <c r="F1469" s="144" t="str">
        <f>IF(AND(ISNA(VLOOKUP(D1469,A:A,1,FALSE())),ISNA(VLOOKUP(D1469,BaseType!A:A,1,FALSE())),D1469&lt;&gt;"Struct"),"N","Y")</f>
        <v>Y</v>
      </c>
      <c r="G1469" s="145"/>
      <c r="H1469" s="141"/>
      <c r="I1469" s="141"/>
      <c r="J1469" s="141"/>
      <c r="K1469" s="141"/>
      <c r="L1469" s="141"/>
      <c r="M1469" s="141"/>
      <c r="N1469" s="54"/>
      <c r="O1469" s="54"/>
      <c r="P1469" s="54"/>
      <c r="Q1469" s="54"/>
      <c r="R1469" s="54"/>
      <c r="S1469" s="54"/>
      <c r="T1469" s="54"/>
    </row>
    <row r="1470" spans="1:20" ht="15" customHeight="1" x14ac:dyDescent="0.2">
      <c r="A1470" s="141"/>
      <c r="B1470" s="141"/>
      <c r="C1470" s="48" t="s">
        <v>2146</v>
      </c>
      <c r="D1470" s="48" t="s">
        <v>298</v>
      </c>
      <c r="E1470" s="46">
        <v>1</v>
      </c>
      <c r="F1470" s="144" t="str">
        <f>IF(AND(ISNA(VLOOKUP(D1470,A:A,1,FALSE())),ISNA(VLOOKUP(D1470,BaseType!A:A,1,FALSE())),D1470&lt;&gt;"Struct"),"N","Y")</f>
        <v>Y</v>
      </c>
      <c r="G1470" s="145"/>
      <c r="H1470" s="141"/>
      <c r="I1470" s="141"/>
      <c r="J1470" s="141"/>
      <c r="K1470" s="141"/>
      <c r="L1470" s="141"/>
      <c r="M1470" s="141"/>
      <c r="N1470" s="54"/>
      <c r="O1470" s="54"/>
      <c r="P1470" s="54"/>
      <c r="Q1470" s="54"/>
      <c r="R1470" s="54"/>
      <c r="S1470" s="54"/>
      <c r="T1470" s="54"/>
    </row>
    <row r="1471" spans="1:20" ht="15" customHeight="1" x14ac:dyDescent="0.2">
      <c r="A1471" s="141"/>
      <c r="B1471" s="141"/>
      <c r="C1471" s="48" t="s">
        <v>2174</v>
      </c>
      <c r="D1471" s="48" t="s">
        <v>298</v>
      </c>
      <c r="E1471" s="46">
        <v>1</v>
      </c>
      <c r="F1471" s="144" t="str">
        <f>IF(AND(ISNA(VLOOKUP(D1471,A:A,1,FALSE())),ISNA(VLOOKUP(D1471,BaseType!A:A,1,FALSE())),D1471&lt;&gt;"Struct"),"N","Y")</f>
        <v>Y</v>
      </c>
      <c r="G1471" s="145"/>
      <c r="H1471" s="141"/>
      <c r="I1471" s="141"/>
      <c r="J1471" s="141"/>
      <c r="K1471" s="141"/>
      <c r="L1471" s="141"/>
      <c r="M1471" s="141"/>
      <c r="N1471" s="54"/>
      <c r="O1471" s="54"/>
      <c r="P1471" s="54"/>
      <c r="Q1471" s="54"/>
      <c r="R1471" s="54"/>
      <c r="S1471" s="54"/>
      <c r="T1471" s="54"/>
    </row>
    <row r="1472" spans="1:20" ht="15" customHeight="1" x14ac:dyDescent="0.2">
      <c r="A1472" s="48"/>
      <c r="B1472" s="141"/>
      <c r="C1472" s="48" t="s">
        <v>2090</v>
      </c>
      <c r="D1472" s="48" t="s">
        <v>298</v>
      </c>
      <c r="E1472" s="46">
        <v>1</v>
      </c>
      <c r="F1472" s="144" t="str">
        <f>IF(AND(ISNA(VLOOKUP(D1472,A:A,1,FALSE())),ISNA(VLOOKUP(D1472,BaseType!A:A,1,FALSE())),D1472&lt;&gt;"Struct"),"N","Y")</f>
        <v>Y</v>
      </c>
      <c r="G1472" s="145"/>
      <c r="H1472" s="141"/>
      <c r="I1472" s="141"/>
      <c r="J1472" s="141"/>
      <c r="K1472" s="141"/>
      <c r="L1472" s="141"/>
      <c r="M1472" s="141"/>
      <c r="N1472" s="54"/>
      <c r="O1472" s="54"/>
      <c r="P1472" s="54"/>
      <c r="Q1472" s="54"/>
      <c r="R1472" s="54"/>
      <c r="S1472" s="54"/>
      <c r="T1472" s="54"/>
    </row>
    <row r="1473" spans="1:20" ht="15" customHeight="1" x14ac:dyDescent="0.2">
      <c r="A1473" s="48" t="s">
        <v>426</v>
      </c>
      <c r="B1473" s="143" t="str">
        <f>IF(ISBLANK(A1473),"",IF(AND(ISNA(VLOOKUP(A1473,Interface_Platform!E:E,1,FALSE())),ISNA(VLOOKUP(A1473,D:D,1,FALSE()))),"N","Y"))</f>
        <v>Y</v>
      </c>
      <c r="C1473" s="141"/>
      <c r="D1473" s="174" t="s">
        <v>484</v>
      </c>
      <c r="E1473" s="46"/>
      <c r="F1473" s="144" t="str">
        <f>IF(AND(ISNA(VLOOKUP(D1473,A:A,1,FALSE())),ISNA(VLOOKUP(D1473,BaseType!A:A,1,FALSE())),D1473&lt;&gt;"Struct"),"N","Y")</f>
        <v>Y</v>
      </c>
      <c r="G1473" s="145"/>
      <c r="H1473" s="141"/>
      <c r="I1473" s="141"/>
      <c r="J1473" s="141"/>
      <c r="K1473" s="141"/>
      <c r="L1473" s="141"/>
      <c r="M1473" s="141"/>
      <c r="N1473" s="54"/>
      <c r="O1473" s="54"/>
      <c r="P1473" s="54"/>
      <c r="Q1473" s="54"/>
      <c r="R1473" s="54"/>
      <c r="S1473" s="54"/>
      <c r="T1473" s="54"/>
    </row>
    <row r="1474" spans="1:20" ht="15" customHeight="1" x14ac:dyDescent="0.2">
      <c r="A1474" s="48"/>
      <c r="B1474" s="48"/>
      <c r="C1474" s="48" t="s">
        <v>1966</v>
      </c>
      <c r="D1474" s="48" t="s">
        <v>2129</v>
      </c>
      <c r="E1474" s="46">
        <v>1</v>
      </c>
      <c r="F1474" s="144" t="str">
        <f>IF(AND(ISNA(VLOOKUP(D1474,A:A,1,FALSE())),ISNA(VLOOKUP(D1474,BaseType!A:A,1,FALSE())),D1474&lt;&gt;"Struct"),"N","Y")</f>
        <v>Y</v>
      </c>
      <c r="G1474" s="145"/>
      <c r="H1474" s="141"/>
      <c r="I1474" s="141"/>
      <c r="J1474" s="141"/>
      <c r="K1474" s="141"/>
      <c r="L1474" s="141"/>
      <c r="M1474" s="141"/>
      <c r="N1474" s="54"/>
      <c r="O1474" s="54"/>
      <c r="P1474" s="54"/>
      <c r="Q1474" s="54"/>
      <c r="R1474" s="54"/>
      <c r="S1474" s="54"/>
      <c r="T1474" s="54"/>
    </row>
    <row r="1475" spans="1:20" ht="15" customHeight="1" x14ac:dyDescent="0.2">
      <c r="A1475" s="48"/>
      <c r="B1475" s="141"/>
      <c r="C1475" s="48" t="s">
        <v>2137</v>
      </c>
      <c r="D1475" s="48" t="s">
        <v>193</v>
      </c>
      <c r="E1475" s="46">
        <v>1</v>
      </c>
      <c r="F1475" s="144" t="str">
        <f>IF(AND(ISNA(VLOOKUP(D1475,A:A,1,FALSE())),ISNA(VLOOKUP(D1475,BaseType!A:A,1,FALSE())),D1475&lt;&gt;"Struct"),"N","Y")</f>
        <v>Y</v>
      </c>
      <c r="G1475" s="145"/>
      <c r="H1475" s="141"/>
      <c r="I1475" s="141"/>
      <c r="J1475" s="141"/>
      <c r="K1475" s="141"/>
      <c r="L1475" s="141"/>
      <c r="M1475" s="141"/>
      <c r="N1475" s="54"/>
      <c r="O1475" s="54"/>
      <c r="P1475" s="54"/>
      <c r="Q1475" s="54"/>
      <c r="R1475" s="54"/>
      <c r="S1475" s="54"/>
      <c r="T1475" s="54"/>
    </row>
    <row r="1476" spans="1:20" ht="15" customHeight="1" x14ac:dyDescent="0.2">
      <c r="A1476" s="48"/>
      <c r="B1476" s="141"/>
      <c r="C1476" s="48" t="s">
        <v>2175</v>
      </c>
      <c r="D1476" s="48" t="s">
        <v>193</v>
      </c>
      <c r="E1476" s="46">
        <v>1</v>
      </c>
      <c r="F1476" s="144" t="str">
        <f>IF(AND(ISNA(VLOOKUP(D1476,A:A,1,FALSE())),ISNA(VLOOKUP(D1476,BaseType!A:A,1,FALSE())),D1476&lt;&gt;"Struct"),"N","Y")</f>
        <v>Y</v>
      </c>
      <c r="G1476" s="145"/>
      <c r="H1476" s="141"/>
      <c r="I1476" s="141"/>
      <c r="J1476" s="141"/>
      <c r="K1476" s="141"/>
      <c r="L1476" s="141"/>
      <c r="M1476" s="141"/>
      <c r="N1476" s="54"/>
      <c r="O1476" s="54"/>
      <c r="P1476" s="54"/>
      <c r="Q1476" s="54"/>
      <c r="R1476" s="54"/>
      <c r="S1476" s="54"/>
      <c r="T1476" s="54"/>
    </row>
    <row r="1477" spans="1:20" ht="15" customHeight="1" x14ac:dyDescent="0.2">
      <c r="A1477" s="48"/>
      <c r="B1477" s="141"/>
      <c r="C1477" s="48" t="s">
        <v>2176</v>
      </c>
      <c r="D1477" s="48" t="s">
        <v>193</v>
      </c>
      <c r="E1477" s="46">
        <v>1</v>
      </c>
      <c r="F1477" s="144" t="str">
        <f>IF(AND(ISNA(VLOOKUP(D1477,A:A,1,FALSE())),ISNA(VLOOKUP(D1477,BaseType!A:A,1,FALSE())),D1477&lt;&gt;"Struct"),"N","Y")</f>
        <v>Y</v>
      </c>
      <c r="G1477" s="145"/>
      <c r="H1477" s="141"/>
      <c r="I1477" s="141"/>
      <c r="J1477" s="141"/>
      <c r="K1477" s="141"/>
      <c r="L1477" s="141"/>
      <c r="M1477" s="141"/>
      <c r="N1477" s="54"/>
      <c r="O1477" s="54"/>
      <c r="P1477" s="54"/>
      <c r="Q1477" s="54"/>
      <c r="R1477" s="54"/>
      <c r="S1477" s="54"/>
      <c r="T1477" s="54"/>
    </row>
    <row r="1478" spans="1:20" ht="15" customHeight="1" x14ac:dyDescent="0.2">
      <c r="A1478" s="48"/>
      <c r="B1478" s="141"/>
      <c r="C1478" s="48" t="s">
        <v>2177</v>
      </c>
      <c r="D1478" s="48" t="s">
        <v>193</v>
      </c>
      <c r="E1478" s="46">
        <v>1</v>
      </c>
      <c r="F1478" s="144" t="str">
        <f>IF(AND(ISNA(VLOOKUP(D1478,A:A,1,FALSE())),ISNA(VLOOKUP(D1478,BaseType!A:A,1,FALSE())),D1478&lt;&gt;"Struct"),"N","Y")</f>
        <v>Y</v>
      </c>
      <c r="G1478" s="145"/>
      <c r="H1478" s="141"/>
      <c r="I1478" s="141"/>
      <c r="J1478" s="141"/>
      <c r="K1478" s="141"/>
      <c r="L1478" s="141"/>
      <c r="M1478" s="141"/>
      <c r="N1478" s="54"/>
      <c r="O1478" s="54"/>
      <c r="P1478" s="54"/>
      <c r="Q1478" s="54"/>
      <c r="R1478" s="54"/>
      <c r="S1478" s="54"/>
      <c r="T1478" s="54"/>
    </row>
    <row r="1479" spans="1:20" ht="15" customHeight="1" x14ac:dyDescent="0.2">
      <c r="A1479" s="48"/>
      <c r="B1479" s="141"/>
      <c r="C1479" s="48" t="s">
        <v>2178</v>
      </c>
      <c r="D1479" s="48" t="s">
        <v>193</v>
      </c>
      <c r="E1479" s="46">
        <v>1</v>
      </c>
      <c r="F1479" s="144" t="str">
        <f>IF(AND(ISNA(VLOOKUP(D1479,A:A,1,FALSE())),ISNA(VLOOKUP(D1479,BaseType!A:A,1,FALSE())),D1479&lt;&gt;"Struct"),"N","Y")</f>
        <v>Y</v>
      </c>
      <c r="G1479" s="145"/>
      <c r="H1479" s="141"/>
      <c r="I1479" s="141"/>
      <c r="J1479" s="141"/>
      <c r="K1479" s="141"/>
      <c r="L1479" s="141"/>
      <c r="M1479" s="141"/>
      <c r="N1479" s="54"/>
      <c r="O1479" s="54"/>
      <c r="P1479" s="54"/>
      <c r="Q1479" s="54"/>
      <c r="R1479" s="54"/>
      <c r="S1479" s="54"/>
      <c r="T1479" s="54"/>
    </row>
    <row r="1480" spans="1:20" ht="15" customHeight="1" x14ac:dyDescent="0.2">
      <c r="A1480" s="48"/>
      <c r="B1480" s="141"/>
      <c r="C1480" s="48" t="s">
        <v>2179</v>
      </c>
      <c r="D1480" s="48" t="s">
        <v>193</v>
      </c>
      <c r="E1480" s="46">
        <v>1</v>
      </c>
      <c r="F1480" s="144" t="str">
        <f>IF(AND(ISNA(VLOOKUP(D1480,A:A,1,FALSE())),ISNA(VLOOKUP(D1480,BaseType!A:A,1,FALSE())),D1480&lt;&gt;"Struct"),"N","Y")</f>
        <v>Y</v>
      </c>
      <c r="G1480" s="145"/>
      <c r="H1480" s="141"/>
      <c r="I1480" s="141"/>
      <c r="J1480" s="141"/>
      <c r="K1480" s="141"/>
      <c r="L1480" s="141"/>
      <c r="M1480" s="141"/>
      <c r="N1480" s="54"/>
      <c r="O1480" s="54"/>
      <c r="P1480" s="54"/>
      <c r="Q1480" s="54"/>
      <c r="R1480" s="54"/>
      <c r="S1480" s="54"/>
      <c r="T1480" s="54"/>
    </row>
    <row r="1481" spans="1:20" ht="15" customHeight="1" x14ac:dyDescent="0.2">
      <c r="A1481" s="48"/>
      <c r="B1481" s="141"/>
      <c r="C1481" s="48" t="s">
        <v>2180</v>
      </c>
      <c r="D1481" s="48" t="s">
        <v>193</v>
      </c>
      <c r="E1481" s="46">
        <v>1</v>
      </c>
      <c r="F1481" s="144" t="str">
        <f>IF(AND(ISNA(VLOOKUP(D1481,A:A,1,FALSE())),ISNA(VLOOKUP(D1481,BaseType!A:A,1,FALSE())),D1481&lt;&gt;"Struct"),"N","Y")</f>
        <v>Y</v>
      </c>
      <c r="G1481" s="145"/>
      <c r="H1481" s="141"/>
      <c r="I1481" s="141"/>
      <c r="J1481" s="141"/>
      <c r="K1481" s="141"/>
      <c r="L1481" s="141"/>
      <c r="M1481" s="141"/>
      <c r="N1481" s="54"/>
      <c r="O1481" s="54"/>
      <c r="P1481" s="54"/>
      <c r="Q1481" s="54"/>
      <c r="R1481" s="54"/>
      <c r="S1481" s="54"/>
      <c r="T1481" s="54"/>
    </row>
    <row r="1482" spans="1:20" ht="15" customHeight="1" x14ac:dyDescent="0.2">
      <c r="A1482" s="48"/>
      <c r="B1482" s="141"/>
      <c r="C1482" s="48" t="s">
        <v>2181</v>
      </c>
      <c r="D1482" s="48" t="s">
        <v>193</v>
      </c>
      <c r="E1482" s="46">
        <v>1</v>
      </c>
      <c r="F1482" s="144" t="str">
        <f>IF(AND(ISNA(VLOOKUP(D1482,A:A,1,FALSE())),ISNA(VLOOKUP(D1482,BaseType!A:A,1,FALSE())),D1482&lt;&gt;"Struct"),"N","Y")</f>
        <v>Y</v>
      </c>
      <c r="G1482" s="145"/>
      <c r="H1482" s="141"/>
      <c r="I1482" s="141"/>
      <c r="J1482" s="141"/>
      <c r="K1482" s="141"/>
      <c r="L1482" s="141"/>
      <c r="M1482" s="141"/>
      <c r="N1482" s="54"/>
      <c r="O1482" s="54"/>
      <c r="P1482" s="54"/>
      <c r="Q1482" s="54"/>
      <c r="R1482" s="54"/>
      <c r="S1482" s="54"/>
      <c r="T1482" s="54"/>
    </row>
    <row r="1483" spans="1:20" ht="15" customHeight="1" x14ac:dyDescent="0.2">
      <c r="A1483" s="48"/>
      <c r="B1483" s="141"/>
      <c r="C1483" s="48" t="s">
        <v>2182</v>
      </c>
      <c r="D1483" s="48" t="s">
        <v>764</v>
      </c>
      <c r="E1483" s="46">
        <v>1</v>
      </c>
      <c r="F1483" s="144" t="str">
        <f>IF(AND(ISNA(VLOOKUP(D1483,A:A,1,FALSE())),ISNA(VLOOKUP(D1483,BaseType!A:A,1,FALSE())),D1483&lt;&gt;"Struct"),"N","Y")</f>
        <v>Y</v>
      </c>
      <c r="G1483" s="145"/>
      <c r="H1483" s="141"/>
      <c r="I1483" s="141"/>
      <c r="J1483" s="141"/>
      <c r="K1483" s="141"/>
      <c r="L1483" s="141"/>
      <c r="M1483" s="141"/>
      <c r="N1483" s="54"/>
      <c r="O1483" s="54"/>
      <c r="P1483" s="54"/>
      <c r="Q1483" s="54"/>
      <c r="R1483" s="54"/>
      <c r="S1483" s="54"/>
      <c r="T1483" s="54"/>
    </row>
    <row r="1484" spans="1:20" ht="15" customHeight="1" x14ac:dyDescent="0.2">
      <c r="A1484" s="48"/>
      <c r="B1484" s="141"/>
      <c r="C1484" s="48" t="s">
        <v>2183</v>
      </c>
      <c r="D1484" s="48" t="s">
        <v>764</v>
      </c>
      <c r="E1484" s="46">
        <v>1</v>
      </c>
      <c r="F1484" s="144" t="str">
        <f>IF(AND(ISNA(VLOOKUP(D1484,A:A,1,FALSE())),ISNA(VLOOKUP(D1484,BaseType!A:A,1,FALSE())),D1484&lt;&gt;"Struct"),"N","Y")</f>
        <v>Y</v>
      </c>
      <c r="G1484" s="145"/>
      <c r="H1484" s="141"/>
      <c r="I1484" s="141"/>
      <c r="J1484" s="141"/>
      <c r="K1484" s="141"/>
      <c r="L1484" s="141"/>
      <c r="M1484" s="141"/>
      <c r="N1484" s="54"/>
      <c r="O1484" s="54"/>
      <c r="P1484" s="54"/>
      <c r="Q1484" s="54"/>
      <c r="R1484" s="54"/>
      <c r="S1484" s="54"/>
      <c r="T1484" s="54"/>
    </row>
    <row r="1485" spans="1:20" ht="15" customHeight="1" x14ac:dyDescent="0.2">
      <c r="A1485" s="48"/>
      <c r="B1485" s="141"/>
      <c r="C1485" s="48" t="s">
        <v>2184</v>
      </c>
      <c r="D1485" s="48" t="s">
        <v>764</v>
      </c>
      <c r="E1485" s="46">
        <v>1</v>
      </c>
      <c r="F1485" s="144" t="str">
        <f>IF(AND(ISNA(VLOOKUP(D1485,A:A,1,FALSE())),ISNA(VLOOKUP(D1485,BaseType!A:A,1,FALSE())),D1485&lt;&gt;"Struct"),"N","Y")</f>
        <v>Y</v>
      </c>
      <c r="G1485" s="145"/>
      <c r="H1485" s="141"/>
      <c r="I1485" s="141"/>
      <c r="J1485" s="141"/>
      <c r="K1485" s="141"/>
      <c r="L1485" s="141"/>
      <c r="M1485" s="141"/>
      <c r="N1485" s="54"/>
      <c r="O1485" s="54"/>
      <c r="P1485" s="54"/>
      <c r="Q1485" s="54"/>
      <c r="R1485" s="54"/>
      <c r="S1485" s="54"/>
      <c r="T1485" s="54"/>
    </row>
    <row r="1486" spans="1:20" ht="15" customHeight="1" x14ac:dyDescent="0.2">
      <c r="A1486" s="48"/>
      <c r="B1486" s="141"/>
      <c r="C1486" s="48" t="s">
        <v>2185</v>
      </c>
      <c r="D1486" s="48" t="s">
        <v>764</v>
      </c>
      <c r="E1486" s="46">
        <v>1</v>
      </c>
      <c r="F1486" s="144" t="str">
        <f>IF(AND(ISNA(VLOOKUP(D1486,A:A,1,FALSE())),ISNA(VLOOKUP(D1486,BaseType!A:A,1,FALSE())),D1486&lt;&gt;"Struct"),"N","Y")</f>
        <v>Y</v>
      </c>
      <c r="G1486" s="145"/>
      <c r="H1486" s="141"/>
      <c r="I1486" s="141"/>
      <c r="J1486" s="141"/>
      <c r="K1486" s="141"/>
      <c r="L1486" s="141"/>
      <c r="M1486" s="141"/>
      <c r="N1486" s="54"/>
      <c r="O1486" s="54"/>
      <c r="P1486" s="54"/>
      <c r="Q1486" s="54"/>
      <c r="R1486" s="54"/>
      <c r="S1486" s="54"/>
      <c r="T1486" s="54"/>
    </row>
    <row r="1487" spans="1:20" ht="15" customHeight="1" x14ac:dyDescent="0.2">
      <c r="A1487" s="48"/>
      <c r="B1487" s="141"/>
      <c r="C1487" s="48" t="s">
        <v>2146</v>
      </c>
      <c r="D1487" s="48" t="s">
        <v>298</v>
      </c>
      <c r="E1487" s="46">
        <v>1</v>
      </c>
      <c r="F1487" s="144" t="str">
        <f>IF(AND(ISNA(VLOOKUP(D1487,A:A,1,FALSE())),ISNA(VLOOKUP(D1487,BaseType!A:A,1,FALSE())),D1487&lt;&gt;"Struct"),"N","Y")</f>
        <v>Y</v>
      </c>
      <c r="G1487" s="145"/>
      <c r="H1487" s="141"/>
      <c r="I1487" s="141"/>
      <c r="J1487" s="141"/>
      <c r="K1487" s="141"/>
      <c r="L1487" s="141"/>
      <c r="M1487" s="141"/>
      <c r="N1487" s="54"/>
      <c r="O1487" s="54"/>
      <c r="P1487" s="54"/>
      <c r="Q1487" s="54"/>
      <c r="R1487" s="54"/>
      <c r="S1487" s="54"/>
      <c r="T1487" s="54"/>
    </row>
    <row r="1488" spans="1:20" ht="15" customHeight="1" x14ac:dyDescent="0.2">
      <c r="A1488" s="48"/>
      <c r="B1488" s="141"/>
      <c r="C1488" s="48" t="s">
        <v>2090</v>
      </c>
      <c r="D1488" s="48" t="s">
        <v>298</v>
      </c>
      <c r="E1488" s="46">
        <v>1</v>
      </c>
      <c r="F1488" s="144" t="str">
        <f>IF(AND(ISNA(VLOOKUP(D1488,A:A,1,FALSE())),ISNA(VLOOKUP(D1488,BaseType!A:A,1,FALSE())),D1488&lt;&gt;"Struct"),"N","Y")</f>
        <v>Y</v>
      </c>
      <c r="G1488" s="145"/>
      <c r="H1488" s="141"/>
      <c r="I1488" s="141"/>
      <c r="J1488" s="141"/>
      <c r="K1488" s="141"/>
      <c r="L1488" s="141"/>
      <c r="M1488" s="141"/>
      <c r="N1488" s="54"/>
      <c r="O1488" s="54"/>
      <c r="P1488" s="54"/>
      <c r="Q1488" s="54"/>
      <c r="R1488" s="54"/>
      <c r="S1488" s="54"/>
      <c r="T1488" s="54"/>
    </row>
    <row r="1489" spans="1:20" ht="15" customHeight="1" x14ac:dyDescent="0.2">
      <c r="A1489" s="48" t="s">
        <v>428</v>
      </c>
      <c r="B1489" s="143" t="str">
        <f>IF(ISBLANK(A1489),"",IF(AND(ISNA(VLOOKUP(A1489,Interface_Platform!E:E,1,FALSE())),ISNA(VLOOKUP(A1489,D:D,1,FALSE()))),"N","Y"))</f>
        <v>Y</v>
      </c>
      <c r="C1489" s="48"/>
      <c r="D1489" s="143" t="s">
        <v>484</v>
      </c>
      <c r="E1489" s="46"/>
      <c r="F1489" s="144"/>
      <c r="G1489" s="145"/>
      <c r="H1489" s="141"/>
      <c r="I1489" s="141"/>
      <c r="J1489" s="141"/>
      <c r="K1489" s="141"/>
      <c r="L1489" s="141"/>
      <c r="M1489" s="141"/>
      <c r="N1489" s="54"/>
      <c r="O1489" s="54"/>
      <c r="P1489" s="54"/>
      <c r="Q1489" s="54"/>
      <c r="R1489" s="54"/>
      <c r="S1489" s="54"/>
      <c r="T1489" s="54"/>
    </row>
    <row r="1490" spans="1:20" ht="15" customHeight="1" x14ac:dyDescent="0.2">
      <c r="A1490" s="48"/>
      <c r="B1490" s="141"/>
      <c r="C1490" s="48" t="s">
        <v>1966</v>
      </c>
      <c r="D1490" s="48" t="s">
        <v>2129</v>
      </c>
      <c r="E1490" s="46">
        <v>1</v>
      </c>
      <c r="F1490" s="144" t="str">
        <f>IF(AND(ISNA(VLOOKUP(D1490,A:A,1,FALSE())),ISNA(VLOOKUP(D1490,BaseType!A:A,1,FALSE())),D1490&lt;&gt;"Struct"),"N","Y")</f>
        <v>Y</v>
      </c>
      <c r="G1490" s="145"/>
      <c r="H1490" s="141"/>
      <c r="I1490" s="141"/>
      <c r="J1490" s="141"/>
      <c r="K1490" s="141"/>
      <c r="L1490" s="141"/>
      <c r="M1490" s="141"/>
      <c r="N1490" s="54"/>
      <c r="O1490" s="54"/>
      <c r="P1490" s="54"/>
      <c r="Q1490" s="54"/>
      <c r="R1490" s="54"/>
      <c r="S1490" s="54"/>
      <c r="T1490" s="54"/>
    </row>
    <row r="1491" spans="1:20" ht="15" customHeight="1" x14ac:dyDescent="0.2">
      <c r="A1491" s="48"/>
      <c r="B1491" s="141"/>
      <c r="C1491" s="48" t="s">
        <v>2186</v>
      </c>
      <c r="D1491" s="48" t="s">
        <v>193</v>
      </c>
      <c r="E1491" s="46">
        <v>1</v>
      </c>
      <c r="F1491" s="144" t="str">
        <f>IF(AND(ISNA(VLOOKUP(D1491,A:A,1,FALSE())),ISNA(VLOOKUP(D1491,BaseType!A:A,1,FALSE())),D1491&lt;&gt;"Struct"),"N","Y")</f>
        <v>Y</v>
      </c>
      <c r="G1491" s="145"/>
      <c r="H1491" s="141"/>
      <c r="I1491" s="141"/>
      <c r="J1491" s="141"/>
      <c r="K1491" s="141"/>
      <c r="L1491" s="141"/>
      <c r="M1491" s="141"/>
      <c r="N1491" s="54"/>
      <c r="O1491" s="54"/>
      <c r="P1491" s="54"/>
      <c r="Q1491" s="54"/>
      <c r="R1491" s="54"/>
      <c r="S1491" s="54"/>
      <c r="T1491" s="54"/>
    </row>
    <row r="1492" spans="1:20" ht="15" customHeight="1" x14ac:dyDescent="0.2">
      <c r="A1492" s="48"/>
      <c r="B1492" s="141"/>
      <c r="C1492" s="48" t="s">
        <v>2187</v>
      </c>
      <c r="D1492" s="48" t="s">
        <v>193</v>
      </c>
      <c r="E1492" s="46">
        <v>1</v>
      </c>
      <c r="F1492" s="144" t="str">
        <f>IF(AND(ISNA(VLOOKUP(D1492,A:A,1,FALSE())),ISNA(VLOOKUP(D1492,BaseType!A:A,1,FALSE())),D1492&lt;&gt;"Struct"),"N","Y")</f>
        <v>Y</v>
      </c>
      <c r="G1492" s="145"/>
      <c r="H1492" s="141"/>
      <c r="I1492" s="141"/>
      <c r="J1492" s="141"/>
      <c r="K1492" s="141"/>
      <c r="L1492" s="141"/>
      <c r="M1492" s="141"/>
      <c r="N1492" s="54"/>
      <c r="O1492" s="54"/>
      <c r="P1492" s="54"/>
      <c r="Q1492" s="54"/>
      <c r="R1492" s="54"/>
      <c r="S1492" s="54"/>
      <c r="T1492" s="54"/>
    </row>
    <row r="1493" spans="1:20" ht="15" customHeight="1" x14ac:dyDescent="0.2">
      <c r="A1493" s="48"/>
      <c r="B1493" s="141"/>
      <c r="C1493" s="48" t="s">
        <v>2188</v>
      </c>
      <c r="D1493" s="48" t="s">
        <v>193</v>
      </c>
      <c r="E1493" s="46">
        <v>1</v>
      </c>
      <c r="F1493" s="144" t="str">
        <f>IF(AND(ISNA(VLOOKUP(D1493,A:A,1,FALSE())),ISNA(VLOOKUP(D1493,BaseType!A:A,1,FALSE())),D1493&lt;&gt;"Struct"),"N","Y")</f>
        <v>Y</v>
      </c>
      <c r="G1493" s="145"/>
      <c r="H1493" s="141"/>
      <c r="I1493" s="141"/>
      <c r="J1493" s="141"/>
      <c r="K1493" s="141"/>
      <c r="L1493" s="141"/>
      <c r="M1493" s="141"/>
      <c r="N1493" s="54"/>
      <c r="O1493" s="54"/>
      <c r="P1493" s="54"/>
      <c r="Q1493" s="54"/>
      <c r="R1493" s="54"/>
      <c r="S1493" s="54"/>
      <c r="T1493" s="54"/>
    </row>
    <row r="1494" spans="1:20" ht="15" customHeight="1" x14ac:dyDescent="0.2">
      <c r="A1494" s="48"/>
      <c r="B1494" s="141"/>
      <c r="C1494" s="48" t="s">
        <v>2189</v>
      </c>
      <c r="D1494" s="48" t="s">
        <v>193</v>
      </c>
      <c r="E1494" s="46">
        <v>1</v>
      </c>
      <c r="F1494" s="144" t="str">
        <f>IF(AND(ISNA(VLOOKUP(D1494,A:A,1,FALSE())),ISNA(VLOOKUP(D1494,BaseType!A:A,1,FALSE())),D1494&lt;&gt;"Struct"),"N","Y")</f>
        <v>Y</v>
      </c>
      <c r="G1494" s="145"/>
      <c r="H1494" s="141"/>
      <c r="I1494" s="141"/>
      <c r="J1494" s="141"/>
      <c r="K1494" s="141"/>
      <c r="L1494" s="141"/>
      <c r="M1494" s="141"/>
      <c r="N1494" s="54"/>
      <c r="O1494" s="54"/>
      <c r="P1494" s="54"/>
      <c r="Q1494" s="54"/>
      <c r="R1494" s="54"/>
      <c r="S1494" s="54"/>
      <c r="T1494" s="54"/>
    </row>
    <row r="1495" spans="1:20" ht="15" customHeight="1" x14ac:dyDescent="0.2">
      <c r="A1495" s="48"/>
      <c r="B1495" s="141"/>
      <c r="C1495" s="48" t="s">
        <v>2190</v>
      </c>
      <c r="D1495" s="48" t="s">
        <v>193</v>
      </c>
      <c r="E1495" s="46">
        <v>1</v>
      </c>
      <c r="F1495" s="144" t="str">
        <f>IF(AND(ISNA(VLOOKUP(D1495,A:A,1,FALSE())),ISNA(VLOOKUP(D1495,BaseType!A:A,1,FALSE())),D1495&lt;&gt;"Struct"),"N","Y")</f>
        <v>Y</v>
      </c>
      <c r="G1495" s="145"/>
      <c r="H1495" s="141"/>
      <c r="I1495" s="141"/>
      <c r="J1495" s="141"/>
      <c r="K1495" s="141"/>
      <c r="L1495" s="141"/>
      <c r="M1495" s="141"/>
      <c r="N1495" s="54"/>
      <c r="O1495" s="54"/>
      <c r="P1495" s="54"/>
      <c r="Q1495" s="54"/>
      <c r="R1495" s="54"/>
      <c r="S1495" s="54"/>
      <c r="T1495" s="54"/>
    </row>
    <row r="1496" spans="1:20" ht="15" customHeight="1" x14ac:dyDescent="0.2">
      <c r="A1496" s="48"/>
      <c r="B1496" s="141"/>
      <c r="C1496" s="48" t="s">
        <v>2191</v>
      </c>
      <c r="D1496" s="48" t="s">
        <v>193</v>
      </c>
      <c r="E1496" s="46">
        <v>1</v>
      </c>
      <c r="F1496" s="144" t="str">
        <f>IF(AND(ISNA(VLOOKUP(D1496,A:A,1,FALSE())),ISNA(VLOOKUP(D1496,BaseType!A:A,1,FALSE())),D1496&lt;&gt;"Struct"),"N","Y")</f>
        <v>Y</v>
      </c>
      <c r="G1496" s="145"/>
      <c r="H1496" s="141"/>
      <c r="I1496" s="141"/>
      <c r="J1496" s="141"/>
      <c r="K1496" s="141"/>
      <c r="L1496" s="141"/>
      <c r="M1496" s="141"/>
      <c r="N1496" s="54"/>
      <c r="O1496" s="54"/>
      <c r="P1496" s="54"/>
      <c r="Q1496" s="54"/>
      <c r="R1496" s="54"/>
      <c r="S1496" s="54"/>
      <c r="T1496" s="54"/>
    </row>
    <row r="1497" spans="1:20" ht="15" customHeight="1" x14ac:dyDescent="0.2">
      <c r="A1497" s="48"/>
      <c r="B1497" s="141"/>
      <c r="C1497" s="48" t="s">
        <v>2192</v>
      </c>
      <c r="D1497" s="48" t="s">
        <v>193</v>
      </c>
      <c r="E1497" s="46">
        <v>1</v>
      </c>
      <c r="F1497" s="144" t="str">
        <f>IF(AND(ISNA(VLOOKUP(D1497,A:A,1,FALSE())),ISNA(VLOOKUP(D1497,BaseType!A:A,1,FALSE())),D1497&lt;&gt;"Struct"),"N","Y")</f>
        <v>Y</v>
      </c>
      <c r="G1497" s="145"/>
      <c r="H1497" s="141"/>
      <c r="I1497" s="141"/>
      <c r="J1497" s="141"/>
      <c r="K1497" s="141"/>
      <c r="L1497" s="141"/>
      <c r="M1497" s="141"/>
      <c r="N1497" s="54"/>
      <c r="O1497" s="54"/>
      <c r="P1497" s="54"/>
      <c r="Q1497" s="54"/>
      <c r="R1497" s="54"/>
      <c r="S1497" s="54"/>
      <c r="T1497" s="54"/>
    </row>
    <row r="1498" spans="1:20" ht="15" customHeight="1" x14ac:dyDescent="0.2">
      <c r="A1498" s="48"/>
      <c r="B1498" s="141"/>
      <c r="C1498" s="48" t="s">
        <v>2193</v>
      </c>
      <c r="D1498" s="48" t="s">
        <v>193</v>
      </c>
      <c r="E1498" s="46">
        <v>1</v>
      </c>
      <c r="F1498" s="144" t="str">
        <f>IF(AND(ISNA(VLOOKUP(D1498,A:A,1,FALSE())),ISNA(VLOOKUP(D1498,BaseType!A:A,1,FALSE())),D1498&lt;&gt;"Struct"),"N","Y")</f>
        <v>Y</v>
      </c>
      <c r="G1498" s="145"/>
      <c r="H1498" s="141"/>
      <c r="I1498" s="141"/>
      <c r="J1498" s="141"/>
      <c r="K1498" s="141"/>
      <c r="L1498" s="141"/>
      <c r="M1498" s="141"/>
      <c r="N1498" s="54"/>
      <c r="O1498" s="54"/>
      <c r="P1498" s="54"/>
      <c r="Q1498" s="54"/>
      <c r="R1498" s="54"/>
      <c r="S1498" s="54"/>
      <c r="T1498" s="54"/>
    </row>
    <row r="1499" spans="1:20" ht="15" customHeight="1" x14ac:dyDescent="0.2">
      <c r="A1499" s="48"/>
      <c r="B1499" s="141"/>
      <c r="C1499" s="48" t="s">
        <v>2194</v>
      </c>
      <c r="D1499" s="48" t="s">
        <v>193</v>
      </c>
      <c r="E1499" s="46">
        <v>1</v>
      </c>
      <c r="F1499" s="144" t="str">
        <f>IF(AND(ISNA(VLOOKUP(D1499,A:A,1,FALSE())),ISNA(VLOOKUP(D1499,BaseType!A:A,1,FALSE())),D1499&lt;&gt;"Struct"),"N","Y")</f>
        <v>Y</v>
      </c>
      <c r="G1499" s="145"/>
      <c r="H1499" s="141"/>
      <c r="I1499" s="141"/>
      <c r="J1499" s="141"/>
      <c r="K1499" s="141"/>
      <c r="L1499" s="141"/>
      <c r="M1499" s="141"/>
      <c r="N1499" s="54"/>
      <c r="O1499" s="54"/>
      <c r="P1499" s="54"/>
      <c r="Q1499" s="54"/>
      <c r="R1499" s="54"/>
      <c r="S1499" s="54"/>
      <c r="T1499" s="54"/>
    </row>
    <row r="1500" spans="1:20" ht="15" customHeight="1" x14ac:dyDescent="0.2">
      <c r="A1500" s="48"/>
      <c r="B1500" s="141"/>
      <c r="C1500" s="48" t="s">
        <v>2195</v>
      </c>
      <c r="D1500" s="48" t="s">
        <v>193</v>
      </c>
      <c r="E1500" s="46">
        <v>1</v>
      </c>
      <c r="F1500" s="144" t="str">
        <f>IF(AND(ISNA(VLOOKUP(D1500,A:A,1,FALSE())),ISNA(VLOOKUP(D1500,BaseType!A:A,1,FALSE())),D1500&lt;&gt;"Struct"),"N","Y")</f>
        <v>Y</v>
      </c>
      <c r="G1500" s="145"/>
      <c r="H1500" s="141"/>
      <c r="I1500" s="141"/>
      <c r="J1500" s="141"/>
      <c r="K1500" s="141"/>
      <c r="L1500" s="141"/>
      <c r="M1500" s="141"/>
      <c r="N1500" s="54"/>
      <c r="O1500" s="54"/>
      <c r="P1500" s="54"/>
      <c r="Q1500" s="54"/>
      <c r="R1500" s="54"/>
      <c r="S1500" s="54"/>
      <c r="T1500" s="54"/>
    </row>
    <row r="1501" spans="1:20" ht="15" customHeight="1" x14ac:dyDescent="0.2">
      <c r="A1501" s="48"/>
      <c r="B1501" s="141"/>
      <c r="C1501" s="48" t="s">
        <v>2196</v>
      </c>
      <c r="D1501" s="48" t="s">
        <v>193</v>
      </c>
      <c r="E1501" s="46">
        <v>1</v>
      </c>
      <c r="F1501" s="144" t="str">
        <f>IF(AND(ISNA(VLOOKUP(D1501,A:A,1,FALSE())),ISNA(VLOOKUP(D1501,BaseType!A:A,1,FALSE())),D1501&lt;&gt;"Struct"),"N","Y")</f>
        <v>Y</v>
      </c>
      <c r="G1501" s="145"/>
      <c r="H1501" s="141"/>
      <c r="I1501" s="141"/>
      <c r="J1501" s="141"/>
      <c r="K1501" s="141"/>
      <c r="L1501" s="141"/>
      <c r="M1501" s="141"/>
      <c r="N1501" s="54"/>
      <c r="O1501" s="54"/>
      <c r="P1501" s="54"/>
      <c r="Q1501" s="54"/>
      <c r="R1501" s="54"/>
      <c r="S1501" s="54"/>
      <c r="T1501" s="54"/>
    </row>
    <row r="1502" spans="1:20" ht="15" customHeight="1" x14ac:dyDescent="0.2">
      <c r="A1502" s="48"/>
      <c r="B1502" s="141"/>
      <c r="C1502" s="48" t="s">
        <v>2197</v>
      </c>
      <c r="D1502" s="48" t="s">
        <v>193</v>
      </c>
      <c r="E1502" s="46">
        <v>1</v>
      </c>
      <c r="F1502" s="144" t="str">
        <f>IF(AND(ISNA(VLOOKUP(D1502,A:A,1,FALSE())),ISNA(VLOOKUP(D1502,BaseType!A:A,1,FALSE())),D1502&lt;&gt;"Struct"),"N","Y")</f>
        <v>Y</v>
      </c>
      <c r="G1502" s="145"/>
      <c r="H1502" s="141"/>
      <c r="I1502" s="141"/>
      <c r="J1502" s="141"/>
      <c r="K1502" s="141"/>
      <c r="L1502" s="141"/>
      <c r="M1502" s="141"/>
      <c r="N1502" s="54"/>
      <c r="O1502" s="54"/>
      <c r="P1502" s="54"/>
      <c r="Q1502" s="54"/>
      <c r="R1502" s="54"/>
      <c r="S1502" s="54"/>
      <c r="T1502" s="54"/>
    </row>
    <row r="1503" spans="1:20" ht="15" customHeight="1" x14ac:dyDescent="0.2">
      <c r="A1503" s="141"/>
      <c r="B1503" s="141"/>
      <c r="C1503" s="48" t="s">
        <v>2198</v>
      </c>
      <c r="D1503" s="48" t="s">
        <v>193</v>
      </c>
      <c r="E1503" s="46">
        <v>1</v>
      </c>
      <c r="F1503" s="144" t="str">
        <f>IF(AND(ISNA(VLOOKUP(D1503,A:A,1,FALSE())),ISNA(VLOOKUP(D1503,BaseType!A:A,1,FALSE())),D1503&lt;&gt;"Struct"),"N","Y")</f>
        <v>Y</v>
      </c>
      <c r="G1503" s="145"/>
      <c r="H1503" s="141"/>
      <c r="I1503" s="141"/>
      <c r="J1503" s="141"/>
      <c r="K1503" s="141"/>
      <c r="L1503" s="141"/>
      <c r="M1503" s="141"/>
      <c r="N1503" s="192"/>
      <c r="O1503" s="51"/>
      <c r="P1503" s="51"/>
      <c r="Q1503" s="51"/>
      <c r="R1503" s="51"/>
      <c r="S1503" s="51"/>
      <c r="T1503" s="51"/>
    </row>
    <row r="1504" spans="1:20" ht="15" customHeight="1" x14ac:dyDescent="0.2">
      <c r="A1504" s="141"/>
      <c r="B1504" s="141"/>
      <c r="C1504" s="48" t="s">
        <v>1860</v>
      </c>
      <c r="D1504" s="48" t="s">
        <v>193</v>
      </c>
      <c r="E1504" s="46">
        <v>3</v>
      </c>
      <c r="F1504" s="144" t="str">
        <f>IF(AND(ISNA(VLOOKUP(D1504,A:A,1,FALSE())),ISNA(VLOOKUP(D1504,BaseType!A:A,1,FALSE())),D1504&lt;&gt;"Struct"),"N","Y")</f>
        <v>Y</v>
      </c>
      <c r="G1504" s="145"/>
      <c r="H1504" s="141"/>
      <c r="I1504" s="141"/>
      <c r="J1504" s="141"/>
      <c r="K1504" s="141"/>
      <c r="L1504" s="141"/>
      <c r="M1504" s="141"/>
      <c r="N1504" s="192"/>
      <c r="O1504" s="51"/>
      <c r="P1504" s="51"/>
      <c r="Q1504" s="51"/>
      <c r="R1504" s="51"/>
      <c r="S1504" s="51"/>
      <c r="T1504" s="51"/>
    </row>
    <row r="1505" spans="1:20" ht="15" customHeight="1" x14ac:dyDescent="0.2">
      <c r="A1505" s="48" t="s">
        <v>347</v>
      </c>
      <c r="B1505" s="143" t="str">
        <f>IF(ISBLANK(A1505),"",IF(AND(ISNA(VLOOKUP(A1505,Interface_Platform!E:E,1,FALSE())),ISNA(VLOOKUP(A1505,D:D,1,FALSE()))),"N","Y"))</f>
        <v>Y</v>
      </c>
      <c r="C1505" s="75"/>
      <c r="D1505" s="143" t="s">
        <v>484</v>
      </c>
      <c r="E1505" s="154"/>
      <c r="F1505" s="144" t="str">
        <f>IF(AND(ISNA(VLOOKUP(D1505,A:A,1,FALSE())),ISNA(VLOOKUP(D1505,BaseType!A:A,1,FALSE())),D1505&lt;&gt;"Struct"),"N","Y")</f>
        <v>Y</v>
      </c>
      <c r="G1505" s="146"/>
      <c r="H1505" s="139">
        <v>0</v>
      </c>
      <c r="I1505" s="139">
        <v>0</v>
      </c>
      <c r="J1505" s="139">
        <v>0</v>
      </c>
      <c r="K1505" s="139">
        <v>0</v>
      </c>
      <c r="L1505" s="143">
        <v>0</v>
      </c>
      <c r="M1505" s="143">
        <v>0</v>
      </c>
      <c r="N1505" s="140"/>
      <c r="O1505" s="140"/>
      <c r="P1505" s="140"/>
      <c r="Q1505" s="140"/>
      <c r="R1505" s="140"/>
      <c r="S1505" s="140"/>
      <c r="T1505" s="140"/>
    </row>
    <row r="1506" spans="1:20" ht="15" customHeight="1" x14ac:dyDescent="0.2">
      <c r="A1506" s="48"/>
      <c r="B1506" s="143"/>
      <c r="C1506" s="141" t="s">
        <v>2199</v>
      </c>
      <c r="D1506" s="143" t="s">
        <v>225</v>
      </c>
      <c r="E1506" s="142">
        <v>1</v>
      </c>
      <c r="F1506" s="144" t="str">
        <f>IF(AND(ISNA(VLOOKUP(D1506,A:A,1,FALSE())),ISNA(VLOOKUP(D1506,BaseType!A:A,1,FALSE())),D1506&lt;&gt;"Struct"),"N","Y")</f>
        <v>Y</v>
      </c>
      <c r="G1506" s="146"/>
      <c r="H1506" s="139"/>
      <c r="I1506" s="139"/>
      <c r="J1506" s="139"/>
      <c r="K1506" s="139"/>
      <c r="L1506" s="143"/>
      <c r="M1506" s="143"/>
      <c r="N1506" s="140"/>
      <c r="O1506" s="140"/>
      <c r="P1506" s="140"/>
      <c r="Q1506" s="140"/>
      <c r="R1506" s="140"/>
      <c r="S1506" s="140"/>
      <c r="T1506" s="140"/>
    </row>
    <row r="1507" spans="1:20" ht="15" customHeight="1" x14ac:dyDescent="0.2">
      <c r="A1507" s="48"/>
      <c r="B1507" s="143"/>
      <c r="C1507" s="141" t="s">
        <v>1901</v>
      </c>
      <c r="D1507" s="143" t="s">
        <v>298</v>
      </c>
      <c r="E1507" s="142">
        <v>1</v>
      </c>
      <c r="F1507" s="144" t="str">
        <f>IF(AND(ISNA(VLOOKUP(D1507,A:A,1,FALSE())),ISNA(VLOOKUP(D1507,BaseType!A:A,1,FALSE())),D1507&lt;&gt;"Struct"),"N","Y")</f>
        <v>Y</v>
      </c>
      <c r="G1507" s="146" t="s">
        <v>2200</v>
      </c>
      <c r="H1507" s="139"/>
      <c r="I1507" s="139"/>
      <c r="J1507" s="139"/>
      <c r="K1507" s="139"/>
      <c r="L1507" s="143"/>
      <c r="M1507" s="143"/>
      <c r="N1507" s="140"/>
      <c r="O1507" s="140"/>
      <c r="P1507" s="140"/>
      <c r="Q1507" s="140"/>
      <c r="R1507" s="140"/>
      <c r="S1507" s="140"/>
      <c r="T1507" s="140"/>
    </row>
    <row r="1508" spans="1:20" ht="15" customHeight="1" x14ac:dyDescent="0.2">
      <c r="A1508" s="48"/>
      <c r="B1508" s="143" t="str">
        <f>IF(ISBLANK(A1508),"",IF(AND(ISNA(VLOOKUP(A1508,Interface_Platform!E:E,1,FALSE())),ISNA(VLOOKUP(A1508,D:D,1,FALSE()))),"N","Y"))</f>
        <v/>
      </c>
      <c r="C1508" s="141" t="s">
        <v>2201</v>
      </c>
      <c r="D1508" s="143" t="s">
        <v>225</v>
      </c>
      <c r="E1508" s="142">
        <v>1</v>
      </c>
      <c r="F1508" s="144" t="str">
        <f>IF(AND(ISNA(VLOOKUP(D1508,A:A,1,FALSE())),ISNA(VLOOKUP(D1508,BaseType!A:A,1,FALSE())),D1508&lt;&gt;"Struct"),"N","Y")</f>
        <v>Y</v>
      </c>
      <c r="G1508" s="146" t="s">
        <v>2202</v>
      </c>
      <c r="H1508" s="139">
        <v>0</v>
      </c>
      <c r="I1508" s="139">
        <v>0</v>
      </c>
      <c r="J1508" s="139">
        <v>0</v>
      </c>
      <c r="K1508" s="139">
        <v>0</v>
      </c>
      <c r="L1508" s="143">
        <v>0</v>
      </c>
      <c r="M1508" s="143">
        <v>0</v>
      </c>
      <c r="N1508" s="140"/>
      <c r="O1508" s="140"/>
      <c r="P1508" s="140"/>
      <c r="Q1508" s="140"/>
      <c r="R1508" s="140"/>
      <c r="S1508" s="140"/>
      <c r="T1508" s="140"/>
    </row>
    <row r="1509" spans="1:20" ht="15" customHeight="1" x14ac:dyDescent="0.2">
      <c r="A1509" s="48"/>
      <c r="B1509" s="143"/>
      <c r="C1509" s="141" t="s">
        <v>2203</v>
      </c>
      <c r="D1509" s="149" t="s">
        <v>193</v>
      </c>
      <c r="E1509" s="142">
        <v>1</v>
      </c>
      <c r="F1509" s="144" t="str">
        <f>IF(AND(ISNA(VLOOKUP(D1509,A:A,1,FALSE())),ISNA(VLOOKUP(D1509,BaseType!A:A,1,FALSE())),D1509&lt;&gt;"Struct"),"N","Y")</f>
        <v>Y</v>
      </c>
      <c r="G1509" s="146" t="s">
        <v>2204</v>
      </c>
      <c r="H1509" s="139"/>
      <c r="I1509" s="139"/>
      <c r="J1509" s="139"/>
      <c r="K1509" s="139"/>
      <c r="L1509" s="143"/>
      <c r="M1509" s="143"/>
      <c r="N1509" s="140"/>
      <c r="O1509" s="140"/>
      <c r="P1509" s="140"/>
      <c r="Q1509" s="140"/>
      <c r="R1509" s="140"/>
      <c r="S1509" s="140"/>
      <c r="T1509" s="140"/>
    </row>
    <row r="1510" spans="1:20" ht="15" customHeight="1" x14ac:dyDescent="0.2">
      <c r="A1510" s="48"/>
      <c r="B1510" s="143" t="str">
        <f>IF(ISBLANK(A1510),"",IF(AND(ISNA(VLOOKUP(A1510,Interface_Platform!E:E,1,FALSE())),ISNA(VLOOKUP(A1510,D:D,1,FALSE()))),"N","Y"))</f>
        <v/>
      </c>
      <c r="C1510" s="141" t="s">
        <v>2205</v>
      </c>
      <c r="D1510" s="149" t="s">
        <v>225</v>
      </c>
      <c r="E1510" s="142">
        <v>1</v>
      </c>
      <c r="F1510" s="144" t="str">
        <f>IF(AND(ISNA(VLOOKUP(D1510,A:A,1,FALSE())),ISNA(VLOOKUP(D1510,BaseType!A:A,1,FALSE())),D1510&lt;&gt;"Struct"),"N","Y")</f>
        <v>Y</v>
      </c>
      <c r="G1510" s="146" t="s">
        <v>2206</v>
      </c>
      <c r="H1510" s="139">
        <v>0</v>
      </c>
      <c r="I1510" s="139">
        <v>0</v>
      </c>
      <c r="J1510" s="139">
        <v>0</v>
      </c>
      <c r="K1510" s="139">
        <v>0</v>
      </c>
      <c r="L1510" s="143">
        <v>0</v>
      </c>
      <c r="M1510" s="143">
        <v>0</v>
      </c>
      <c r="N1510" s="140"/>
      <c r="O1510" s="140"/>
      <c r="P1510" s="140"/>
      <c r="Q1510" s="140"/>
      <c r="R1510" s="140"/>
      <c r="S1510" s="140"/>
      <c r="T1510" s="140"/>
    </row>
    <row r="1511" spans="1:20" ht="15" customHeight="1" x14ac:dyDescent="0.2">
      <c r="A1511" s="48"/>
      <c r="B1511" s="143" t="str">
        <f>IF(ISBLANK(A1511),"",IF(AND(ISNA(VLOOKUP(A1511,Interface_Platform!E:E,1,FALSE())),ISNA(VLOOKUP(A1511,D:D,1,FALSE()))),"N","Y"))</f>
        <v/>
      </c>
      <c r="C1511" s="141" t="s">
        <v>2207</v>
      </c>
      <c r="D1511" s="143" t="s">
        <v>225</v>
      </c>
      <c r="E1511" s="142">
        <v>1</v>
      </c>
      <c r="F1511" s="144" t="str">
        <f>IF(AND(ISNA(VLOOKUP(D1511,A:A,1,FALSE())),ISNA(VLOOKUP(D1511,BaseType!A:A,1,FALSE())),D1511&lt;&gt;"Struct"),"N","Y")</f>
        <v>Y</v>
      </c>
      <c r="G1511" s="146" t="s">
        <v>2208</v>
      </c>
      <c r="H1511" s="139">
        <v>0</v>
      </c>
      <c r="I1511" s="139">
        <v>0</v>
      </c>
      <c r="J1511" s="139">
        <v>0</v>
      </c>
      <c r="K1511" s="139">
        <v>0</v>
      </c>
      <c r="L1511" s="143">
        <v>0</v>
      </c>
      <c r="M1511" s="143">
        <v>0</v>
      </c>
      <c r="N1511" s="140"/>
      <c r="O1511" s="140"/>
      <c r="P1511" s="140"/>
      <c r="Q1511" s="140"/>
      <c r="R1511" s="140"/>
      <c r="S1511" s="140"/>
      <c r="T1511" s="140"/>
    </row>
    <row r="1512" spans="1:20" ht="15" customHeight="1" x14ac:dyDescent="0.2">
      <c r="A1512" s="48"/>
      <c r="B1512" s="143" t="str">
        <f>IF(ISBLANK(A1512),"",IF(AND(ISNA(VLOOKUP(A1512,Interface_Platform!E:E,1,FALSE())),ISNA(VLOOKUP(A1512,D:D,1,FALSE()))),"N","Y"))</f>
        <v/>
      </c>
      <c r="C1512" s="75" t="s">
        <v>1860</v>
      </c>
      <c r="D1512" s="143" t="s">
        <v>225</v>
      </c>
      <c r="E1512" s="142">
        <v>1</v>
      </c>
      <c r="F1512" s="144" t="str">
        <f>IF(AND(ISNA(VLOOKUP(D1512,A:A,1,FALSE())),ISNA(VLOOKUP(D1512,BaseType!A:A,1,FALSE())),D1512&lt;&gt;"Struct"),"N","Y")</f>
        <v>Y</v>
      </c>
      <c r="G1512" s="145"/>
      <c r="H1512" s="139"/>
      <c r="I1512" s="139"/>
      <c r="J1512" s="139"/>
      <c r="K1512" s="139"/>
      <c r="L1512" s="143"/>
      <c r="M1512" s="143"/>
      <c r="N1512" s="140"/>
      <c r="O1512" s="140"/>
      <c r="P1512" s="140"/>
      <c r="Q1512" s="140"/>
      <c r="R1512" s="140"/>
      <c r="S1512" s="140"/>
      <c r="T1512" s="140"/>
    </row>
    <row r="1513" spans="1:20" ht="15" customHeight="1" x14ac:dyDescent="0.2">
      <c r="A1513" s="48" t="s">
        <v>2209</v>
      </c>
      <c r="B1513" s="143" t="str">
        <f>IF(ISBLANK(A1513),"",IF(AND(ISNA(VLOOKUP(A1513,Interface_Platform!E:E,1,FALSE())),ISNA(VLOOKUP(A1513,D:D,1,FALSE()))),"N","Y"))</f>
        <v>Y</v>
      </c>
      <c r="C1513" s="48"/>
      <c r="D1513" s="143" t="s">
        <v>347</v>
      </c>
      <c r="E1513" s="142">
        <v>2</v>
      </c>
      <c r="F1513" s="144" t="str">
        <f>IF(AND(ISNA(VLOOKUP(D1513,A:A,1,FALSE())),ISNA(VLOOKUP(D1513,BaseType!A:A,1,FALSE())),D1513&lt;&gt;"Struct"),"N","Y")</f>
        <v>Y</v>
      </c>
      <c r="G1513" s="145" t="s">
        <v>2210</v>
      </c>
      <c r="H1513" s="141"/>
      <c r="I1513" s="141"/>
      <c r="J1513" s="141"/>
      <c r="K1513" s="141"/>
      <c r="L1513" s="141"/>
      <c r="M1513" s="141"/>
      <c r="N1513" s="54"/>
      <c r="O1513" s="54"/>
      <c r="P1513" s="54"/>
      <c r="Q1513" s="54"/>
      <c r="R1513" s="54"/>
      <c r="S1513" s="54"/>
      <c r="T1513" s="54"/>
    </row>
    <row r="1514" spans="1:20" ht="15" customHeight="1" x14ac:dyDescent="0.2">
      <c r="A1514" s="48" t="s">
        <v>325</v>
      </c>
      <c r="B1514" s="143" t="str">
        <f>IF(ISBLANK(A1514),"",IF(AND(ISNA(VLOOKUP(A1514,Interface_Platform!E:E,1,FALSE())),ISNA(VLOOKUP(A1514,D:D,1,FALSE()))),"N","Y"))</f>
        <v>Y</v>
      </c>
      <c r="C1514" s="48"/>
      <c r="D1514" s="143" t="s">
        <v>484</v>
      </c>
      <c r="E1514" s="142"/>
      <c r="F1514" s="144" t="str">
        <f>IF(AND(ISNA(VLOOKUP(D1514,A:A,1,FALSE())),ISNA(VLOOKUP(D1514,BaseType!A:A,1,FALSE())),D1514&lt;&gt;"Struct"),"N","Y")</f>
        <v>Y</v>
      </c>
      <c r="G1514" s="145"/>
      <c r="H1514" s="141"/>
      <c r="I1514" s="141"/>
      <c r="J1514" s="141"/>
      <c r="K1514" s="141"/>
      <c r="L1514" s="141"/>
      <c r="M1514" s="141"/>
      <c r="N1514" s="54"/>
      <c r="O1514" s="54"/>
      <c r="P1514" s="54"/>
      <c r="Q1514" s="54"/>
      <c r="R1514" s="54"/>
      <c r="S1514" s="54"/>
      <c r="T1514" s="54"/>
    </row>
    <row r="1515" spans="1:20" ht="15" customHeight="1" x14ac:dyDescent="0.2">
      <c r="A1515" s="48"/>
      <c r="B1515" s="143" t="str">
        <f>IF(ISBLANK(A1515),"",IF(AND(ISNA(VLOOKUP(A1515,Interface_Platform!E:E,1,FALSE())),ISNA(VLOOKUP(A1515,D:D,1,FALSE()))),"N","Y"))</f>
        <v/>
      </c>
      <c r="C1515" s="48" t="s">
        <v>2211</v>
      </c>
      <c r="D1515" s="143" t="s">
        <v>193</v>
      </c>
      <c r="E1515" s="142">
        <v>1</v>
      </c>
      <c r="F1515" s="144" t="str">
        <f>IF(AND(ISNA(VLOOKUP(D1515,A:A,1,FALSE())),ISNA(VLOOKUP(D1515,BaseType!A:A,1,FALSE())),D1515&lt;&gt;"Struct"),"N","Y")</f>
        <v>Y</v>
      </c>
      <c r="G1515" s="145" t="s">
        <v>2212</v>
      </c>
      <c r="H1515" s="141"/>
      <c r="I1515" s="141"/>
      <c r="J1515" s="141"/>
      <c r="K1515" s="141"/>
      <c r="L1515" s="141"/>
      <c r="M1515" s="141"/>
      <c r="N1515" s="54"/>
      <c r="O1515" s="54"/>
      <c r="P1515" s="54"/>
      <c r="Q1515" s="54"/>
      <c r="R1515" s="54"/>
      <c r="S1515" s="54"/>
      <c r="T1515" s="54"/>
    </row>
    <row r="1516" spans="1:20" ht="15" customHeight="1" x14ac:dyDescent="0.2">
      <c r="A1516" s="48"/>
      <c r="B1516" s="143" t="str">
        <f>IF(ISBLANK(A1516),"",IF(AND(ISNA(VLOOKUP(A1516,Interface_Platform!E:E,1,FALSE())),ISNA(VLOOKUP(A1516,D:D,1,FALSE()))),"N","Y"))</f>
        <v/>
      </c>
      <c r="C1516" s="48" t="s">
        <v>2213</v>
      </c>
      <c r="D1516" s="143" t="s">
        <v>193</v>
      </c>
      <c r="E1516" s="46">
        <v>1</v>
      </c>
      <c r="F1516" s="144" t="str">
        <f>IF(AND(ISNA(VLOOKUP(D1516,A:A,1,FALSE())),ISNA(VLOOKUP(D1516,BaseType!A:A,1,FALSE())),D1516&lt;&gt;"Struct"),"N","Y")</f>
        <v>Y</v>
      </c>
      <c r="G1516" s="145" t="s">
        <v>2214</v>
      </c>
      <c r="H1516" s="141"/>
      <c r="I1516" s="141"/>
      <c r="J1516" s="141"/>
      <c r="K1516" s="141"/>
      <c r="L1516" s="141"/>
      <c r="M1516" s="141"/>
      <c r="N1516" s="54"/>
      <c r="O1516" s="54"/>
      <c r="P1516" s="54"/>
      <c r="Q1516" s="54"/>
      <c r="R1516" s="54"/>
      <c r="S1516" s="54"/>
      <c r="T1516" s="54"/>
    </row>
    <row r="1517" spans="1:20" ht="15" customHeight="1" x14ac:dyDescent="0.2">
      <c r="A1517" s="48"/>
      <c r="B1517" s="143" t="str">
        <f>IF(ISBLANK(A1517),"",IF(AND(ISNA(VLOOKUP(A1517,Interface_Platform!E:E,1,FALSE())),ISNA(VLOOKUP(A1517,D:D,1,FALSE()))),"N","Y"))</f>
        <v/>
      </c>
      <c r="C1517" s="48" t="s">
        <v>2215</v>
      </c>
      <c r="D1517" s="143" t="s">
        <v>193</v>
      </c>
      <c r="E1517" s="46">
        <v>1</v>
      </c>
      <c r="F1517" s="144" t="str">
        <f>IF(AND(ISNA(VLOOKUP(D1517,A:A,1,FALSE())),ISNA(VLOOKUP(D1517,BaseType!A:A,1,FALSE())),D1517&lt;&gt;"Struct"),"N","Y")</f>
        <v>Y</v>
      </c>
      <c r="G1517" s="145" t="s">
        <v>2216</v>
      </c>
      <c r="H1517" s="141"/>
      <c r="I1517" s="141"/>
      <c r="J1517" s="141"/>
      <c r="K1517" s="141"/>
      <c r="L1517" s="141"/>
      <c r="M1517" s="141"/>
      <c r="N1517" s="54"/>
      <c r="O1517" s="54"/>
      <c r="P1517" s="54"/>
      <c r="Q1517" s="54"/>
      <c r="R1517" s="54"/>
      <c r="S1517" s="54"/>
      <c r="T1517" s="54"/>
    </row>
    <row r="1518" spans="1:20" ht="15" customHeight="1" x14ac:dyDescent="0.2">
      <c r="A1518" s="141"/>
      <c r="B1518" s="143" t="str">
        <f>IF(ISBLANK(A1518),"",IF(AND(ISNA(VLOOKUP(A1518,Interface_Platform!E:E,1,FALSE())),ISNA(VLOOKUP(A1518,D:D,1,FALSE()))),"N","Y"))</f>
        <v/>
      </c>
      <c r="C1518" s="48" t="s">
        <v>2217</v>
      </c>
      <c r="D1518" s="143" t="s">
        <v>193</v>
      </c>
      <c r="E1518" s="46">
        <v>1</v>
      </c>
      <c r="F1518" s="144" t="str">
        <f>IF(AND(ISNA(VLOOKUP(D1518,A:A,1,FALSE())),ISNA(VLOOKUP(D1518,BaseType!A:A,1,FALSE())),D1518&lt;&gt;"Struct"),"N","Y")</f>
        <v>Y</v>
      </c>
      <c r="G1518" s="145" t="s">
        <v>2218</v>
      </c>
      <c r="H1518" s="141"/>
      <c r="I1518" s="141"/>
      <c r="J1518" s="141"/>
      <c r="K1518" s="141"/>
      <c r="L1518" s="141"/>
      <c r="M1518" s="141"/>
      <c r="N1518" s="54"/>
      <c r="O1518" s="54"/>
      <c r="P1518" s="54"/>
      <c r="Q1518" s="54"/>
      <c r="R1518" s="54"/>
      <c r="S1518" s="54"/>
      <c r="T1518" s="54"/>
    </row>
    <row r="1519" spans="1:20" ht="15" customHeight="1" x14ac:dyDescent="0.2">
      <c r="A1519" s="141"/>
      <c r="B1519" s="143" t="str">
        <f>IF(ISBLANK(A1519),"",IF(AND(ISNA(VLOOKUP(A1519,Interface_Platform!E:E,1,FALSE())),ISNA(VLOOKUP(A1519,D:D,1,FALSE()))),"N","Y"))</f>
        <v/>
      </c>
      <c r="C1519" s="48" t="s">
        <v>2219</v>
      </c>
      <c r="D1519" s="143" t="s">
        <v>193</v>
      </c>
      <c r="E1519" s="46">
        <v>1</v>
      </c>
      <c r="F1519" s="144" t="str">
        <f>IF(AND(ISNA(VLOOKUP(D1519,A:A,1,FALSE())),ISNA(VLOOKUP(D1519,BaseType!A:A,1,FALSE())),D1519&lt;&gt;"Struct"),"N","Y")</f>
        <v>Y</v>
      </c>
      <c r="G1519" s="145" t="s">
        <v>2220</v>
      </c>
      <c r="H1519" s="141"/>
      <c r="I1519" s="141"/>
      <c r="J1519" s="141"/>
      <c r="K1519" s="141"/>
      <c r="L1519" s="141"/>
      <c r="M1519" s="141"/>
      <c r="N1519" s="54"/>
      <c r="O1519" s="54"/>
      <c r="P1519" s="54"/>
      <c r="Q1519" s="54"/>
      <c r="R1519" s="54"/>
      <c r="S1519" s="54"/>
      <c r="T1519" s="54"/>
    </row>
    <row r="1520" spans="1:20" ht="15" customHeight="1" x14ac:dyDescent="0.2">
      <c r="A1520" s="149"/>
      <c r="B1520" s="148"/>
      <c r="C1520" s="48" t="s">
        <v>2221</v>
      </c>
      <c r="D1520" s="148" t="s">
        <v>193</v>
      </c>
      <c r="E1520" s="46">
        <v>1</v>
      </c>
      <c r="F1520" s="144" t="str">
        <f>IF(AND(ISNA(VLOOKUP(D1520,A:A,1,FALSE())),ISNA(VLOOKUP(D1520,BaseType!A:A,1,FALSE())),D1520&lt;&gt;"Struct"),"N","Y")</f>
        <v>Y</v>
      </c>
      <c r="G1520" s="147" t="s">
        <v>2222</v>
      </c>
      <c r="H1520" s="152"/>
      <c r="I1520" s="152"/>
      <c r="J1520" s="152"/>
      <c r="K1520" s="152"/>
      <c r="L1520" s="148"/>
      <c r="M1520" s="148"/>
      <c r="N1520" s="42"/>
      <c r="O1520" s="42"/>
      <c r="P1520" s="42"/>
      <c r="Q1520" s="42"/>
      <c r="R1520" s="42"/>
      <c r="S1520" s="42"/>
      <c r="T1520" s="42"/>
    </row>
    <row r="1521" spans="1:20" ht="15" customHeight="1" x14ac:dyDescent="0.2">
      <c r="A1521" s="149"/>
      <c r="B1521" s="148"/>
      <c r="C1521" s="48" t="s">
        <v>2223</v>
      </c>
      <c r="D1521" s="148" t="s">
        <v>298</v>
      </c>
      <c r="E1521" s="46">
        <v>10</v>
      </c>
      <c r="F1521" s="144" t="str">
        <f>IF(AND(ISNA(VLOOKUP(D1521,A:A,1,FALSE())),ISNA(VLOOKUP(D1521,BaseType!A:A,1,FALSE())),D1521&lt;&gt;"Struct"),"N","Y")</f>
        <v>Y</v>
      </c>
      <c r="G1521" s="147" t="s">
        <v>2224</v>
      </c>
      <c r="H1521" s="152"/>
      <c r="I1521" s="152"/>
      <c r="J1521" s="152"/>
      <c r="K1521" s="152"/>
      <c r="L1521" s="148"/>
      <c r="M1521" s="148"/>
      <c r="N1521" s="42"/>
      <c r="O1521" s="42"/>
      <c r="P1521" s="42"/>
      <c r="Q1521" s="42"/>
      <c r="R1521" s="42"/>
      <c r="S1521" s="42"/>
      <c r="T1521" s="42"/>
    </row>
    <row r="1522" spans="1:20" ht="15" customHeight="1" x14ac:dyDescent="0.2">
      <c r="A1522" s="48" t="s">
        <v>199</v>
      </c>
      <c r="B1522" s="143" t="str">
        <f>IF(ISBLANK(A1522),"",IF(AND(ISNA(VLOOKUP(A1522,Interface_Platform!E:E,1,FALSE())),ISNA(VLOOKUP(A1522,D:D,1,FALSE()))),"N","Y"))</f>
        <v>Y</v>
      </c>
      <c r="C1522" s="48"/>
      <c r="D1522" s="143" t="s">
        <v>484</v>
      </c>
      <c r="E1522" s="46"/>
      <c r="F1522" s="144" t="str">
        <f>IF(AND(ISNA(VLOOKUP(D1522,A:A,1,FALSE())),ISNA(VLOOKUP(D1522,BaseType!A:A,1,FALSE())),D1522&lt;&gt;"Struct"),"N","Y")</f>
        <v>Y</v>
      </c>
      <c r="G1522" s="145"/>
      <c r="H1522" s="141"/>
      <c r="I1522" s="141"/>
      <c r="J1522" s="141"/>
      <c r="K1522" s="141"/>
      <c r="L1522" s="141"/>
      <c r="M1522" s="141"/>
      <c r="N1522" s="54"/>
      <c r="O1522" s="54"/>
      <c r="P1522" s="54"/>
      <c r="Q1522" s="54"/>
      <c r="R1522" s="54"/>
      <c r="S1522" s="54"/>
      <c r="T1522" s="54"/>
    </row>
    <row r="1523" spans="1:20" ht="15" customHeight="1" x14ac:dyDescent="0.2">
      <c r="A1523" s="48"/>
      <c r="B1523" s="143"/>
      <c r="C1523" s="48" t="s">
        <v>2225</v>
      </c>
      <c r="D1523" s="143" t="s">
        <v>193</v>
      </c>
      <c r="E1523" s="46">
        <v>1</v>
      </c>
      <c r="F1523" s="144" t="str">
        <f>IF(AND(ISNA(VLOOKUP(D1523,A:A,1,FALSE())),ISNA(VLOOKUP(D1523,BaseType!A:A,1,FALSE())),D1523&lt;&gt;"Struct"),"N","Y")</f>
        <v>Y</v>
      </c>
      <c r="G1523" s="191" t="s">
        <v>2226</v>
      </c>
      <c r="H1523" s="141"/>
      <c r="I1523" s="141"/>
      <c r="J1523" s="141"/>
      <c r="K1523" s="141"/>
      <c r="L1523" s="141"/>
      <c r="M1523" s="141"/>
      <c r="N1523" s="54"/>
      <c r="O1523" s="54"/>
      <c r="P1523" s="54"/>
      <c r="Q1523" s="54"/>
      <c r="R1523" s="54"/>
      <c r="S1523" s="54"/>
      <c r="T1523" s="54"/>
    </row>
    <row r="1524" spans="1:20" ht="15" customHeight="1" x14ac:dyDescent="0.2">
      <c r="A1524" s="48"/>
      <c r="B1524" s="143"/>
      <c r="C1524" s="48" t="s">
        <v>2227</v>
      </c>
      <c r="D1524" s="143" t="s">
        <v>193</v>
      </c>
      <c r="E1524" s="46">
        <v>1</v>
      </c>
      <c r="F1524" s="144" t="str">
        <f>IF(AND(ISNA(VLOOKUP(D1524,A:A,1,FALSE())),ISNA(VLOOKUP(D1524,BaseType!A:A,1,FALSE())),D1524&lt;&gt;"Struct"),"N","Y")</f>
        <v>Y</v>
      </c>
      <c r="G1524" s="153" t="s">
        <v>2228</v>
      </c>
      <c r="H1524" s="141"/>
      <c r="I1524" s="141"/>
      <c r="J1524" s="141"/>
      <c r="K1524" s="141"/>
      <c r="L1524" s="141"/>
      <c r="M1524" s="141"/>
      <c r="N1524" s="54"/>
      <c r="O1524" s="54"/>
      <c r="P1524" s="54"/>
      <c r="Q1524" s="54"/>
      <c r="R1524" s="54"/>
      <c r="S1524" s="54"/>
      <c r="T1524" s="54"/>
    </row>
    <row r="1525" spans="1:20" ht="15" customHeight="1" x14ac:dyDescent="0.2">
      <c r="A1525" s="48"/>
      <c r="B1525" s="143"/>
      <c r="C1525" s="48" t="s">
        <v>2229</v>
      </c>
      <c r="D1525" s="143" t="s">
        <v>193</v>
      </c>
      <c r="E1525" s="46">
        <v>1</v>
      </c>
      <c r="F1525" s="144" t="str">
        <f>IF(AND(ISNA(VLOOKUP(D1525,A:A,1,FALSE())),ISNA(VLOOKUP(D1525,BaseType!A:A,1,FALSE())),D1525&lt;&gt;"Struct"),"N","Y")</f>
        <v>Y</v>
      </c>
      <c r="G1525" s="153" t="s">
        <v>2230</v>
      </c>
      <c r="H1525" s="141"/>
      <c r="I1525" s="141"/>
      <c r="J1525" s="141"/>
      <c r="K1525" s="141"/>
      <c r="L1525" s="141"/>
      <c r="M1525" s="141"/>
      <c r="N1525" s="54"/>
      <c r="O1525" s="54"/>
      <c r="P1525" s="54"/>
      <c r="Q1525" s="54"/>
      <c r="R1525" s="54"/>
      <c r="S1525" s="54"/>
      <c r="T1525" s="54"/>
    </row>
    <row r="1526" spans="1:20" ht="15" customHeight="1" x14ac:dyDescent="0.2">
      <c r="A1526" s="48"/>
      <c r="B1526" s="143"/>
      <c r="C1526" s="48" t="s">
        <v>2231</v>
      </c>
      <c r="D1526" s="143" t="s">
        <v>193</v>
      </c>
      <c r="E1526" s="46">
        <v>1</v>
      </c>
      <c r="F1526" s="144" t="str">
        <f>IF(AND(ISNA(VLOOKUP(D1526,A:A,1,FALSE())),ISNA(VLOOKUP(D1526,BaseType!A:A,1,FALSE())),D1526&lt;&gt;"Struct"),"N","Y")</f>
        <v>Y</v>
      </c>
      <c r="G1526" s="153" t="s">
        <v>2232</v>
      </c>
      <c r="H1526" s="141"/>
      <c r="I1526" s="141"/>
      <c r="J1526" s="141"/>
      <c r="K1526" s="141"/>
      <c r="L1526" s="141"/>
      <c r="M1526" s="141"/>
      <c r="N1526" s="54"/>
      <c r="O1526" s="54"/>
      <c r="P1526" s="54"/>
      <c r="Q1526" s="54"/>
      <c r="R1526" s="54"/>
      <c r="S1526" s="54"/>
      <c r="T1526" s="54"/>
    </row>
    <row r="1527" spans="1:20" ht="30" customHeight="1" x14ac:dyDescent="0.2">
      <c r="A1527" s="48"/>
      <c r="B1527" s="143" t="str">
        <f>IF(ISBLANK(A1527),"",IF(AND(ISNA(VLOOKUP(A1527,Interface_Platform!E:E,1,FALSE())),ISNA(VLOOKUP(A1527,D:D,1,FALSE()))),"N","Y"))</f>
        <v/>
      </c>
      <c r="C1527" s="48" t="s">
        <v>2233</v>
      </c>
      <c r="D1527" s="143" t="s">
        <v>193</v>
      </c>
      <c r="E1527" s="46">
        <v>1</v>
      </c>
      <c r="F1527" s="144" t="str">
        <f>IF(AND(ISNA(VLOOKUP(D1527,A:A,1,FALSE())),ISNA(VLOOKUP(D1527,BaseType!A:A,1,FALSE())),D1527&lt;&gt;"Struct"),"N","Y")</f>
        <v>Y</v>
      </c>
      <c r="G1527" s="153" t="s">
        <v>2234</v>
      </c>
      <c r="H1527" s="141"/>
      <c r="I1527" s="141"/>
      <c r="J1527" s="141"/>
      <c r="K1527" s="141"/>
      <c r="L1527" s="141"/>
      <c r="M1527" s="141"/>
      <c r="N1527" s="54"/>
      <c r="O1527" s="54"/>
      <c r="P1527" s="54"/>
      <c r="Q1527" s="54"/>
      <c r="R1527" s="54"/>
      <c r="S1527" s="54"/>
      <c r="T1527" s="54"/>
    </row>
    <row r="1528" spans="1:20" ht="15" customHeight="1" x14ac:dyDescent="0.2">
      <c r="A1528" s="48"/>
      <c r="B1528" s="143"/>
      <c r="C1528" s="194" t="s">
        <v>2235</v>
      </c>
      <c r="D1528" s="143" t="s">
        <v>193</v>
      </c>
      <c r="E1528" s="46">
        <v>1</v>
      </c>
      <c r="F1528" s="144" t="str">
        <f>IF(AND(ISNA(VLOOKUP(D1528,A:A,1,FALSE())),ISNA(VLOOKUP(D1528,BaseType!A:A,1,FALSE())),D1528&lt;&gt;"Struct"),"N","Y")</f>
        <v>Y</v>
      </c>
      <c r="G1528" s="145" t="s">
        <v>2220</v>
      </c>
      <c r="H1528" s="141"/>
      <c r="I1528" s="141"/>
      <c r="J1528" s="141"/>
      <c r="K1528" s="141"/>
      <c r="L1528" s="141"/>
      <c r="M1528" s="141"/>
      <c r="N1528" s="54"/>
      <c r="O1528" s="54"/>
      <c r="P1528" s="54"/>
      <c r="Q1528" s="54"/>
      <c r="R1528" s="54"/>
      <c r="S1528" s="54"/>
      <c r="T1528" s="54"/>
    </row>
    <row r="1529" spans="1:20" ht="15" customHeight="1" x14ac:dyDescent="0.2">
      <c r="A1529" s="48"/>
      <c r="B1529" s="143" t="str">
        <f>IF(ISBLANK(A1529),"",IF(AND(ISNA(VLOOKUP(A1529,Interface_Platform!E:E,1,FALSE())),ISNA(VLOOKUP(A1529,D:D,1,FALSE()))),"N","Y"))</f>
        <v/>
      </c>
      <c r="C1529" s="48" t="s">
        <v>2217</v>
      </c>
      <c r="D1529" s="181" t="s">
        <v>298</v>
      </c>
      <c r="E1529" s="46">
        <v>1</v>
      </c>
      <c r="F1529" s="144" t="str">
        <f>IF(AND(ISNA(VLOOKUP(D1529,A:A,1,FALSE())),ISNA(VLOOKUP(D1529,BaseType!A:A,1,FALSE())),D1529&lt;&gt;"Struct"),"N","Y")</f>
        <v>Y</v>
      </c>
      <c r="G1529" s="145" t="s">
        <v>2236</v>
      </c>
      <c r="H1529" s="141"/>
      <c r="I1529" s="141"/>
      <c r="J1529" s="141"/>
      <c r="K1529" s="141"/>
      <c r="L1529" s="141"/>
      <c r="M1529" s="141"/>
      <c r="N1529" s="54"/>
      <c r="O1529" s="54"/>
      <c r="P1529" s="54"/>
      <c r="Q1529" s="54"/>
      <c r="R1529" s="54"/>
      <c r="S1529" s="54"/>
      <c r="T1529" s="54"/>
    </row>
    <row r="1530" spans="1:20" ht="38.1" customHeight="1" x14ac:dyDescent="0.2">
      <c r="A1530" s="48"/>
      <c r="B1530" s="143"/>
      <c r="C1530" s="48" t="s">
        <v>2237</v>
      </c>
      <c r="D1530" s="148" t="s">
        <v>298</v>
      </c>
      <c r="E1530" s="154">
        <v>1</v>
      </c>
      <c r="F1530" s="144" t="str">
        <f>IF(AND(ISNA(VLOOKUP(D1530,A:A,1,FALSE())),ISNA(VLOOKUP(D1530,BaseType!A:A,1,FALSE())),D1530&lt;&gt;"Struct"),"N","Y")</f>
        <v>Y</v>
      </c>
      <c r="G1530" s="147" t="s">
        <v>2238</v>
      </c>
      <c r="H1530" s="141"/>
      <c r="I1530" s="141"/>
      <c r="J1530" s="141"/>
      <c r="K1530" s="141"/>
      <c r="L1530" s="141"/>
      <c r="M1530" s="141"/>
      <c r="N1530" s="54"/>
      <c r="O1530" s="54"/>
      <c r="P1530" s="54"/>
      <c r="Q1530" s="54"/>
      <c r="R1530" s="54"/>
      <c r="S1530" s="54"/>
      <c r="T1530" s="54"/>
    </row>
    <row r="1531" spans="1:20" ht="71.099999999999994" customHeight="1" x14ac:dyDescent="0.2">
      <c r="A1531" s="48"/>
      <c r="B1531" s="148"/>
      <c r="C1531" s="48" t="s">
        <v>2239</v>
      </c>
      <c r="D1531" s="148" t="s">
        <v>298</v>
      </c>
      <c r="E1531" s="154">
        <v>1</v>
      </c>
      <c r="F1531" s="144" t="str">
        <f>IF(AND(ISNA(VLOOKUP(D1531,A:A,1,FALSE())),ISNA(VLOOKUP(D1531,BaseType!A:A,1,FALSE())),D1531&lt;&gt;"Struct"),"N","Y")</f>
        <v>Y</v>
      </c>
      <c r="G1531" s="147" t="s">
        <v>2240</v>
      </c>
      <c r="H1531" s="152"/>
      <c r="I1531" s="152"/>
      <c r="J1531" s="152"/>
      <c r="K1531" s="152"/>
      <c r="L1531" s="148"/>
      <c r="M1531" s="148"/>
      <c r="N1531" s="42"/>
      <c r="O1531" s="42"/>
      <c r="P1531" s="42"/>
      <c r="Q1531" s="42"/>
      <c r="R1531" s="42"/>
      <c r="S1531" s="42"/>
      <c r="T1531" s="42"/>
    </row>
    <row r="1532" spans="1:20" ht="15" customHeight="1" x14ac:dyDescent="0.2">
      <c r="A1532" s="48"/>
      <c r="B1532" s="143"/>
      <c r="C1532" s="48" t="s">
        <v>2241</v>
      </c>
      <c r="D1532" s="143" t="s">
        <v>298</v>
      </c>
      <c r="E1532" s="46">
        <v>1</v>
      </c>
      <c r="F1532" s="144" t="str">
        <f>IF(AND(ISNA(VLOOKUP(D1532,A:A,1,FALSE())),ISNA(VLOOKUP(D1532,BaseType!A:A,1,FALSE())),D1532&lt;&gt;"Struct"),"N","Y")</f>
        <v>Y</v>
      </c>
      <c r="G1532" s="145" t="s">
        <v>2242</v>
      </c>
      <c r="H1532" s="141"/>
      <c r="I1532" s="141"/>
      <c r="J1532" s="141"/>
      <c r="K1532" s="141"/>
      <c r="L1532" s="141"/>
      <c r="M1532" s="141"/>
      <c r="N1532" s="54"/>
      <c r="O1532" s="54"/>
      <c r="P1532" s="54"/>
      <c r="Q1532" s="54"/>
      <c r="R1532" s="54"/>
      <c r="S1532" s="54"/>
      <c r="T1532" s="54"/>
    </row>
    <row r="1533" spans="1:20" ht="17.100000000000001" customHeight="1" x14ac:dyDescent="0.2">
      <c r="A1533" s="48"/>
      <c r="B1533" s="143"/>
      <c r="C1533" s="48" t="s">
        <v>2243</v>
      </c>
      <c r="D1533" s="143" t="s">
        <v>298</v>
      </c>
      <c r="E1533" s="46">
        <v>1</v>
      </c>
      <c r="F1533" s="144" t="str">
        <f>IF(AND(ISNA(VLOOKUP(D1533,A:A,1,FALSE())),ISNA(VLOOKUP(D1533,BaseType!A:A,1,FALSE())),D1533&lt;&gt;"Struct"),"N","Y")</f>
        <v>Y</v>
      </c>
      <c r="G1533" s="145" t="s">
        <v>2242</v>
      </c>
      <c r="H1533" s="141"/>
      <c r="I1533" s="141"/>
      <c r="J1533" s="141"/>
      <c r="K1533" s="141"/>
      <c r="L1533" s="141"/>
      <c r="M1533" s="141"/>
      <c r="N1533" s="54"/>
      <c r="O1533" s="54"/>
      <c r="P1533" s="54"/>
      <c r="Q1533" s="54"/>
      <c r="R1533" s="54"/>
      <c r="S1533" s="54"/>
      <c r="T1533" s="54"/>
    </row>
    <row r="1534" spans="1:20" ht="15" customHeight="1" x14ac:dyDescent="0.2">
      <c r="A1534" s="48"/>
      <c r="B1534" s="143"/>
      <c r="C1534" s="48" t="s">
        <v>2244</v>
      </c>
      <c r="D1534" s="143" t="s">
        <v>193</v>
      </c>
      <c r="E1534" s="46">
        <v>1</v>
      </c>
      <c r="F1534" s="144" t="str">
        <f>IF(AND(ISNA(VLOOKUP(D1534,A:A,1,FALSE())),ISNA(VLOOKUP(D1534,BaseType!A:A,1,FALSE())),D1534&lt;&gt;"Struct"),"N","Y")</f>
        <v>Y</v>
      </c>
      <c r="G1534" s="145" t="s">
        <v>2245</v>
      </c>
      <c r="H1534" s="141"/>
      <c r="I1534" s="141"/>
      <c r="J1534" s="141"/>
      <c r="K1534" s="141"/>
      <c r="L1534" s="141"/>
      <c r="M1534" s="141"/>
      <c r="N1534" s="54"/>
      <c r="O1534" s="54"/>
      <c r="P1534" s="54"/>
      <c r="Q1534" s="54"/>
      <c r="R1534" s="54"/>
      <c r="S1534" s="54"/>
      <c r="T1534" s="54"/>
    </row>
    <row r="1535" spans="1:20" ht="15" customHeight="1" x14ac:dyDescent="0.2">
      <c r="A1535" s="48" t="s">
        <v>300</v>
      </c>
      <c r="B1535" s="143" t="str">
        <f>IF(ISBLANK(A1535),"",IF(AND(ISNA(VLOOKUP(A1535,Interface_Platform!E:E,1,FALSE())),ISNA(VLOOKUP(A1535,D:D,1,FALSE()))),"N","Y"))</f>
        <v>Y</v>
      </c>
      <c r="C1535" s="48"/>
      <c r="D1535" s="143" t="s">
        <v>484</v>
      </c>
      <c r="E1535" s="46"/>
      <c r="F1535" s="144" t="str">
        <f>IF(AND(ISNA(VLOOKUP(D1535,A:A,1,FALSE())),ISNA(VLOOKUP(D1535,BaseType!A:A,1,FALSE())),D1535&lt;&gt;"Struct"),"N","Y")</f>
        <v>Y</v>
      </c>
      <c r="G1535" s="145"/>
      <c r="H1535" s="141"/>
      <c r="I1535" s="141"/>
      <c r="J1535" s="141"/>
      <c r="K1535" s="141"/>
      <c r="L1535" s="141"/>
      <c r="M1535" s="141"/>
      <c r="N1535" s="54"/>
      <c r="O1535" s="54"/>
      <c r="P1535" s="54"/>
      <c r="Q1535" s="54"/>
      <c r="R1535" s="54"/>
      <c r="S1535" s="54"/>
      <c r="T1535" s="54"/>
    </row>
    <row r="1536" spans="1:20" ht="15" customHeight="1" x14ac:dyDescent="0.2">
      <c r="A1536" s="48"/>
      <c r="B1536" s="143"/>
      <c r="C1536" s="48" t="s">
        <v>2246</v>
      </c>
      <c r="D1536" s="143" t="s">
        <v>193</v>
      </c>
      <c r="E1536" s="46">
        <v>1</v>
      </c>
      <c r="F1536" s="144" t="str">
        <f>IF(AND(ISNA(VLOOKUP(D1536,A:A,1,FALSE())),ISNA(VLOOKUP(D1536,BaseType!A:A,1,FALSE())),D1536&lt;&gt;"Struct"),"N","Y")</f>
        <v>Y</v>
      </c>
      <c r="G1536" s="145"/>
      <c r="H1536" s="141"/>
      <c r="I1536" s="141"/>
      <c r="J1536" s="141"/>
      <c r="K1536" s="141"/>
      <c r="L1536" s="141"/>
      <c r="M1536" s="141"/>
      <c r="N1536" s="54"/>
      <c r="O1536" s="54"/>
      <c r="P1536" s="54"/>
      <c r="Q1536" s="54"/>
      <c r="R1536" s="54"/>
      <c r="S1536" s="54"/>
      <c r="T1536" s="54"/>
    </row>
    <row r="1537" spans="1:20" ht="15" customHeight="1" x14ac:dyDescent="0.2">
      <c r="A1537" s="48"/>
      <c r="B1537" s="143"/>
      <c r="C1537" s="48" t="s">
        <v>2199</v>
      </c>
      <c r="D1537" s="181" t="s">
        <v>298</v>
      </c>
      <c r="E1537" s="46">
        <v>1</v>
      </c>
      <c r="F1537" s="144" t="str">
        <f>IF(AND(ISNA(VLOOKUP(D1537,A:A,1,FALSE())),ISNA(VLOOKUP(D1537,BaseType!A:A,1,FALSE())),D1537&lt;&gt;"Struct"),"N","Y")</f>
        <v>Y</v>
      </c>
      <c r="G1537" s="191" t="s">
        <v>2247</v>
      </c>
      <c r="H1537" s="141"/>
      <c r="I1537" s="141"/>
      <c r="J1537" s="141"/>
      <c r="K1537" s="141"/>
      <c r="L1537" s="141"/>
      <c r="M1537" s="141"/>
      <c r="N1537" s="54"/>
      <c r="O1537" s="54"/>
      <c r="P1537" s="54"/>
      <c r="Q1537" s="54"/>
      <c r="R1537" s="54"/>
      <c r="S1537" s="54"/>
      <c r="T1537" s="54"/>
    </row>
    <row r="1538" spans="1:20" ht="15" customHeight="1" x14ac:dyDescent="0.2">
      <c r="A1538" s="48"/>
      <c r="B1538" s="143"/>
      <c r="C1538" s="48" t="s">
        <v>2248</v>
      </c>
      <c r="D1538" s="143" t="s">
        <v>293</v>
      </c>
      <c r="E1538" s="46">
        <v>1</v>
      </c>
      <c r="F1538" s="144" t="str">
        <f>IF(AND(ISNA(VLOOKUP(D1538,A:A,1,FALSE())),ISNA(VLOOKUP(D1538,BaseType!A:A,1,FALSE())),D1538&lt;&gt;"Struct"),"N","Y")</f>
        <v>Y</v>
      </c>
      <c r="G1538" s="145" t="s">
        <v>2249</v>
      </c>
      <c r="H1538" s="141"/>
      <c r="I1538" s="141"/>
      <c r="J1538" s="141"/>
      <c r="K1538" s="141"/>
      <c r="L1538" s="141"/>
      <c r="M1538" s="141"/>
      <c r="N1538" s="54"/>
      <c r="O1538" s="54"/>
      <c r="P1538" s="54"/>
      <c r="Q1538" s="54"/>
      <c r="R1538" s="54"/>
      <c r="S1538" s="54"/>
      <c r="T1538" s="54"/>
    </row>
    <row r="1539" spans="1:20" ht="15" customHeight="1" x14ac:dyDescent="0.2">
      <c r="A1539" s="48"/>
      <c r="B1539" s="143" t="str">
        <f>IF(ISBLANK(A1539),"",IF(AND(ISNA(VLOOKUP(A1539,Interface_Platform!E:E,1,FALSE())),ISNA(VLOOKUP(A1539,D:D,1,FALSE()))),"N","Y"))</f>
        <v/>
      </c>
      <c r="C1539" s="48" t="s">
        <v>2250</v>
      </c>
      <c r="D1539" s="143" t="s">
        <v>2251</v>
      </c>
      <c r="E1539" s="46">
        <v>1</v>
      </c>
      <c r="F1539" s="144" t="str">
        <f>IF(AND(ISNA(VLOOKUP(D1539,A:A,1,FALSE())),ISNA(VLOOKUP(D1539,BaseType!A:A,1,FALSE())),D1539&lt;&gt;"Struct"),"N","Y")</f>
        <v>Y</v>
      </c>
      <c r="G1539" s="145" t="s">
        <v>2252</v>
      </c>
      <c r="H1539" s="141"/>
      <c r="I1539" s="141"/>
      <c r="J1539" s="141"/>
      <c r="K1539" s="141"/>
      <c r="L1539" s="141"/>
      <c r="M1539" s="141"/>
      <c r="N1539" s="54"/>
      <c r="O1539" s="54"/>
      <c r="P1539" s="54"/>
      <c r="Q1539" s="54"/>
      <c r="R1539" s="54"/>
      <c r="S1539" s="54"/>
      <c r="T1539" s="54"/>
    </row>
    <row r="1540" spans="1:20" ht="15" customHeight="1" x14ac:dyDescent="0.2">
      <c r="A1540" s="48"/>
      <c r="B1540" s="143"/>
      <c r="C1540" s="48" t="s">
        <v>2253</v>
      </c>
      <c r="D1540" s="143" t="s">
        <v>293</v>
      </c>
      <c r="E1540" s="46">
        <v>1</v>
      </c>
      <c r="F1540" s="144" t="str">
        <f>IF(AND(ISNA(VLOOKUP(D1540,A:A,1,FALSE())),ISNA(VLOOKUP(D1540,BaseType!A:A,1,FALSE())),D1540&lt;&gt;"Struct"),"N","Y")</f>
        <v>Y</v>
      </c>
      <c r="G1540" s="145" t="s">
        <v>2254</v>
      </c>
      <c r="H1540" s="141"/>
      <c r="I1540" s="141"/>
      <c r="J1540" s="141"/>
      <c r="K1540" s="141"/>
      <c r="L1540" s="141"/>
      <c r="M1540" s="141"/>
      <c r="N1540" s="54"/>
      <c r="O1540" s="54"/>
      <c r="P1540" s="54"/>
      <c r="Q1540" s="54"/>
      <c r="R1540" s="54"/>
      <c r="S1540" s="54"/>
      <c r="T1540" s="54"/>
    </row>
    <row r="1541" spans="1:20" ht="15" customHeight="1" x14ac:dyDescent="0.2">
      <c r="A1541" s="48"/>
      <c r="B1541" s="143" t="str">
        <f>IF(ISBLANK(A1541),"",IF(AND(ISNA(VLOOKUP(A1541,Interface_Platform!E:E,1,FALSE())),ISNA(VLOOKUP(A1541,D:D,1,FALSE()))),"N","Y"))</f>
        <v/>
      </c>
      <c r="C1541" s="48" t="s">
        <v>2255</v>
      </c>
      <c r="D1541" s="143" t="s">
        <v>2251</v>
      </c>
      <c r="E1541" s="46">
        <v>1</v>
      </c>
      <c r="F1541" s="144" t="str">
        <f>IF(AND(ISNA(VLOOKUP(D1541,A:A,1,FALSE())),ISNA(VLOOKUP(D1541,BaseType!A:A,1,FALSE())),D1541&lt;&gt;"Struct"),"N","Y")</f>
        <v>Y</v>
      </c>
      <c r="G1541" s="145" t="s">
        <v>2256</v>
      </c>
      <c r="H1541" s="141"/>
      <c r="I1541" s="141"/>
      <c r="J1541" s="141"/>
      <c r="K1541" s="141"/>
      <c r="L1541" s="141"/>
      <c r="M1541" s="141"/>
      <c r="N1541" s="54"/>
      <c r="O1541" s="54"/>
      <c r="P1541" s="54"/>
      <c r="Q1541" s="54"/>
      <c r="R1541" s="54"/>
      <c r="S1541" s="54"/>
      <c r="T1541" s="54"/>
    </row>
    <row r="1542" spans="1:20" ht="15" customHeight="1" x14ac:dyDescent="0.2">
      <c r="A1542" s="48" t="s">
        <v>207</v>
      </c>
      <c r="B1542" s="143" t="str">
        <f>IF(ISBLANK(A1542),"",IF(AND(ISNA(VLOOKUP(A1542,Interface_Platform!E:E,1,FALSE())),ISNA(VLOOKUP(A1542,D:D,1,FALSE()))),"N","Y"))</f>
        <v>Y</v>
      </c>
      <c r="C1542" s="48"/>
      <c r="D1542" s="143" t="s">
        <v>484</v>
      </c>
      <c r="E1542" s="46"/>
      <c r="F1542" s="144" t="str">
        <f>IF(AND(ISNA(VLOOKUP(D1542,A:A,1,FALSE())),ISNA(VLOOKUP(D1542,BaseType!A:A,1,FALSE())),D1542&lt;&gt;"Struct"),"N","Y")</f>
        <v>Y</v>
      </c>
      <c r="G1542" s="145"/>
      <c r="H1542" s="141"/>
      <c r="I1542" s="141"/>
      <c r="J1542" s="141"/>
      <c r="K1542" s="141"/>
      <c r="L1542" s="141"/>
      <c r="M1542" s="141"/>
      <c r="N1542" s="54"/>
      <c r="O1542" s="54"/>
      <c r="P1542" s="54"/>
      <c r="Q1542" s="54"/>
      <c r="R1542" s="54"/>
      <c r="S1542" s="54"/>
      <c r="T1542" s="54"/>
    </row>
    <row r="1543" spans="1:20" ht="15" customHeight="1" x14ac:dyDescent="0.2">
      <c r="A1543" s="48"/>
      <c r="B1543" s="143" t="str">
        <f>IF(ISBLANK(A1543),"",IF(AND(ISNA(VLOOKUP(A1543,Interface_Platform!E:E,1,FALSE())),ISNA(VLOOKUP(A1543,D:D,1,FALSE()))),"N","Y"))</f>
        <v/>
      </c>
      <c r="C1543" s="48" t="s">
        <v>2257</v>
      </c>
      <c r="D1543" s="143" t="s">
        <v>193</v>
      </c>
      <c r="E1543" s="154">
        <v>1</v>
      </c>
      <c r="F1543" s="144" t="str">
        <f>IF(AND(ISNA(VLOOKUP(D1543,A:A,1,FALSE())),ISNA(VLOOKUP(D1543,BaseType!A:A,1,FALSE())),D1543&lt;&gt;"Struct"),"N","Y")</f>
        <v>Y</v>
      </c>
      <c r="G1543" s="145" t="s">
        <v>488</v>
      </c>
      <c r="H1543" s="141"/>
      <c r="I1543" s="141"/>
      <c r="J1543" s="141"/>
      <c r="K1543" s="141"/>
      <c r="L1543" s="141"/>
      <c r="M1543" s="141"/>
      <c r="N1543" s="54"/>
      <c r="O1543" s="54"/>
      <c r="P1543" s="54"/>
      <c r="Q1543" s="54"/>
      <c r="R1543" s="54"/>
      <c r="S1543" s="54"/>
      <c r="T1543" s="54"/>
    </row>
    <row r="1544" spans="1:20" ht="15" customHeight="1" x14ac:dyDescent="0.2">
      <c r="A1544" s="48"/>
      <c r="B1544" s="143" t="str">
        <f>IF(ISBLANK(A1544),"",IF(AND(ISNA(VLOOKUP(A1544,Interface_Platform!E:E,1,FALSE())),ISNA(VLOOKUP(A1544,D:D,1,FALSE()))),"N","Y"))</f>
        <v/>
      </c>
      <c r="C1544" s="48" t="s">
        <v>2258</v>
      </c>
      <c r="D1544" s="143" t="s">
        <v>193</v>
      </c>
      <c r="E1544" s="154">
        <v>1</v>
      </c>
      <c r="F1544" s="144" t="str">
        <f>IF(AND(ISNA(VLOOKUP(D1544,A:A,1,FALSE())),ISNA(VLOOKUP(D1544,BaseType!A:A,1,FALSE())),D1544&lt;&gt;"Struct"),"N","Y")</f>
        <v>Y</v>
      </c>
      <c r="G1544" s="195" t="s">
        <v>2259</v>
      </c>
      <c r="H1544" s="141"/>
      <c r="I1544" s="141"/>
      <c r="J1544" s="141"/>
      <c r="K1544" s="141"/>
      <c r="L1544" s="141"/>
      <c r="M1544" s="141"/>
      <c r="N1544" s="54"/>
      <c r="O1544" s="54"/>
      <c r="P1544" s="54"/>
      <c r="Q1544" s="54"/>
      <c r="R1544" s="54"/>
      <c r="S1544" s="54"/>
      <c r="T1544" s="54"/>
    </row>
    <row r="1545" spans="1:20" ht="15" customHeight="1" x14ac:dyDescent="0.2">
      <c r="A1545" s="48"/>
      <c r="B1545" s="143"/>
      <c r="C1545" s="48" t="s">
        <v>2260</v>
      </c>
      <c r="D1545" s="143" t="s">
        <v>193</v>
      </c>
      <c r="E1545" s="154">
        <v>1</v>
      </c>
      <c r="F1545" s="144" t="str">
        <f>IF(AND(ISNA(VLOOKUP(D1545,A:A,1,FALSE())),ISNA(VLOOKUP(D1545,BaseType!A:A,1,FALSE())),D1545&lt;&gt;"Struct"),"N","Y")</f>
        <v>Y</v>
      </c>
      <c r="G1545" s="145"/>
      <c r="H1545" s="141"/>
      <c r="I1545" s="141"/>
      <c r="J1545" s="141"/>
      <c r="K1545" s="141"/>
      <c r="L1545" s="141"/>
      <c r="M1545" s="141"/>
      <c r="N1545" s="54"/>
      <c r="O1545" s="54"/>
      <c r="P1545" s="54"/>
      <c r="Q1545" s="54"/>
      <c r="R1545" s="54"/>
      <c r="S1545" s="54"/>
      <c r="T1545" s="54"/>
    </row>
    <row r="1546" spans="1:20" ht="15" customHeight="1" x14ac:dyDescent="0.2">
      <c r="A1546" s="48"/>
      <c r="B1546" s="143"/>
      <c r="C1546" s="48" t="s">
        <v>2261</v>
      </c>
      <c r="D1546" s="143" t="s">
        <v>193</v>
      </c>
      <c r="E1546" s="154">
        <v>1</v>
      </c>
      <c r="F1546" s="144" t="str">
        <f>IF(AND(ISNA(VLOOKUP(D1546,A:A,1,FALSE())),ISNA(VLOOKUP(D1546,BaseType!A:A,1,FALSE())),D1546&lt;&gt;"Struct"),"N","Y")</f>
        <v>Y</v>
      </c>
      <c r="G1546" s="145" t="s">
        <v>2262</v>
      </c>
      <c r="H1546" s="141"/>
      <c r="I1546" s="141"/>
      <c r="J1546" s="141"/>
      <c r="K1546" s="141"/>
      <c r="L1546" s="141"/>
      <c r="M1546" s="141"/>
      <c r="N1546" s="54"/>
      <c r="O1546" s="54"/>
      <c r="P1546" s="54"/>
      <c r="Q1546" s="54"/>
      <c r="R1546" s="54"/>
      <c r="S1546" s="54"/>
      <c r="T1546" s="54"/>
    </row>
    <row r="1547" spans="1:20" ht="15" customHeight="1" x14ac:dyDescent="0.2">
      <c r="A1547" s="48"/>
      <c r="B1547" s="143"/>
      <c r="C1547" s="48" t="s">
        <v>2263</v>
      </c>
      <c r="D1547" s="143" t="s">
        <v>193</v>
      </c>
      <c r="E1547" s="154">
        <v>1</v>
      </c>
      <c r="F1547" s="144" t="str">
        <f>IF(AND(ISNA(VLOOKUP(D1547,A:A,1,FALSE())),ISNA(VLOOKUP(D1547,BaseType!A:A,1,FALSE())),D1547&lt;&gt;"Struct"),"N","Y")</f>
        <v>Y</v>
      </c>
      <c r="G1547" s="145" t="s">
        <v>2264</v>
      </c>
      <c r="H1547" s="141"/>
      <c r="I1547" s="141"/>
      <c r="J1547" s="141"/>
      <c r="K1547" s="141"/>
      <c r="L1547" s="141"/>
      <c r="M1547" s="141"/>
      <c r="N1547" s="54"/>
      <c r="O1547" s="54"/>
      <c r="P1547" s="54"/>
      <c r="Q1547" s="54"/>
      <c r="R1547" s="54"/>
      <c r="S1547" s="54"/>
      <c r="T1547" s="54"/>
    </row>
    <row r="1548" spans="1:20" ht="15" customHeight="1" x14ac:dyDescent="0.2">
      <c r="A1548" s="48"/>
      <c r="B1548" s="148"/>
      <c r="C1548" s="48" t="s">
        <v>2217</v>
      </c>
      <c r="D1548" s="143" t="s">
        <v>193</v>
      </c>
      <c r="E1548" s="154">
        <v>1</v>
      </c>
      <c r="F1548" s="144" t="str">
        <f>IF(AND(ISNA(VLOOKUP(D1548,A:A,1,FALSE())),ISNA(VLOOKUP(D1548,BaseType!A:A,1,FALSE())),D1548&lt;&gt;"Struct"),"N","Y")</f>
        <v>Y</v>
      </c>
      <c r="G1548" s="153"/>
      <c r="H1548" s="152"/>
      <c r="I1548" s="152"/>
      <c r="J1548" s="152"/>
      <c r="K1548" s="152"/>
      <c r="L1548" s="148"/>
      <c r="M1548" s="148"/>
      <c r="N1548" s="42"/>
      <c r="O1548" s="42"/>
      <c r="P1548" s="42"/>
      <c r="Q1548" s="42"/>
      <c r="R1548" s="42"/>
      <c r="S1548" s="42"/>
      <c r="T1548" s="42"/>
    </row>
    <row r="1549" spans="1:20" ht="15" customHeight="1" x14ac:dyDescent="0.2">
      <c r="A1549" s="48"/>
      <c r="B1549" s="148" t="str">
        <f>IF(ISBLANK(A1549),"",IF(AND(ISNA(VLOOKUP(A1549,Interface_Platform!E:E,1,FALSE())),ISNA(VLOOKUP(A1549,D:D,1,FALSE()))),"N","Y"))</f>
        <v/>
      </c>
      <c r="C1549" s="48" t="s">
        <v>2265</v>
      </c>
      <c r="D1549" s="148" t="s">
        <v>298</v>
      </c>
      <c r="E1549" s="154">
        <v>1</v>
      </c>
      <c r="F1549" s="144" t="str">
        <f>IF(AND(ISNA(VLOOKUP(D1549,A:A,1,FALSE())),ISNA(VLOOKUP(D1549,BaseType!A:A,1,FALSE())),D1549&lt;&gt;"Struct"),"N","Y")</f>
        <v>Y</v>
      </c>
      <c r="G1549" s="153" t="s">
        <v>2266</v>
      </c>
      <c r="H1549" s="152">
        <v>0</v>
      </c>
      <c r="I1549" s="152">
        <v>0</v>
      </c>
      <c r="J1549" s="152">
        <v>0</v>
      </c>
      <c r="K1549" s="152">
        <v>0</v>
      </c>
      <c r="L1549" s="148">
        <v>0</v>
      </c>
      <c r="M1549" s="148">
        <v>0</v>
      </c>
      <c r="N1549" s="42"/>
      <c r="O1549" s="42"/>
      <c r="P1549" s="42"/>
      <c r="Q1549" s="42"/>
      <c r="R1549" s="42"/>
      <c r="S1549" s="42"/>
      <c r="T1549" s="42"/>
    </row>
    <row r="1550" spans="1:20" ht="15" customHeight="1" x14ac:dyDescent="0.2">
      <c r="A1550" s="48"/>
      <c r="B1550" s="148" t="str">
        <f>IF(ISBLANK(A1550),"",IF(AND(ISNA(VLOOKUP(A1550,Interface_Platform!E:E,1,FALSE())),ISNA(VLOOKUP(A1550,D:D,1,FALSE()))),"N","Y"))</f>
        <v/>
      </c>
      <c r="C1550" s="48" t="s">
        <v>2267</v>
      </c>
      <c r="D1550" s="148" t="s">
        <v>298</v>
      </c>
      <c r="E1550" s="154">
        <v>1</v>
      </c>
      <c r="F1550" s="144" t="str">
        <f>IF(AND(ISNA(VLOOKUP(D1550,A:A,1,FALSE())),ISNA(VLOOKUP(D1550,BaseType!A:A,1,FALSE())),D1550&lt;&gt;"Struct"),"N","Y")</f>
        <v>Y</v>
      </c>
      <c r="G1550" s="153" t="s">
        <v>2268</v>
      </c>
      <c r="H1550" s="152">
        <v>0</v>
      </c>
      <c r="I1550" s="152">
        <v>0</v>
      </c>
      <c r="J1550" s="152">
        <v>0</v>
      </c>
      <c r="K1550" s="152">
        <v>0</v>
      </c>
      <c r="L1550" s="148">
        <v>0</v>
      </c>
      <c r="M1550" s="148">
        <v>0</v>
      </c>
      <c r="N1550" s="42"/>
      <c r="O1550" s="42"/>
      <c r="P1550" s="42"/>
      <c r="Q1550" s="42"/>
      <c r="R1550" s="42"/>
      <c r="S1550" s="42"/>
      <c r="T1550" s="42"/>
    </row>
    <row r="1551" spans="1:20" ht="15" customHeight="1" x14ac:dyDescent="0.2">
      <c r="A1551" s="48"/>
      <c r="B1551" s="148" t="str">
        <f>IF(ISBLANK(A1551),"",IF(AND(ISNA(VLOOKUP(A1551,Interface_Platform!E:E,1,FALSE())),ISNA(VLOOKUP(A1551,D:D,1,FALSE()))),"N","Y"))</f>
        <v/>
      </c>
      <c r="C1551" s="48" t="s">
        <v>2269</v>
      </c>
      <c r="D1551" s="148" t="s">
        <v>298</v>
      </c>
      <c r="E1551" s="154">
        <v>1</v>
      </c>
      <c r="F1551" s="144" t="str">
        <f>IF(AND(ISNA(VLOOKUP(D1551,A:A,1,FALSE())),ISNA(VLOOKUP(D1551,BaseType!A:A,1,FALSE())),D1551&lt;&gt;"Struct"),"N","Y")</f>
        <v>Y</v>
      </c>
      <c r="G1551" s="153" t="s">
        <v>2270</v>
      </c>
      <c r="H1551" s="152">
        <v>0</v>
      </c>
      <c r="I1551" s="152">
        <v>0</v>
      </c>
      <c r="J1551" s="152">
        <v>0</v>
      </c>
      <c r="K1551" s="152">
        <v>0</v>
      </c>
      <c r="L1551" s="148">
        <v>0</v>
      </c>
      <c r="M1551" s="148">
        <v>0</v>
      </c>
      <c r="N1551" s="42"/>
      <c r="O1551" s="42"/>
      <c r="P1551" s="42"/>
      <c r="Q1551" s="42"/>
      <c r="R1551" s="42"/>
      <c r="S1551" s="42"/>
      <c r="T1551" s="42"/>
    </row>
    <row r="1552" spans="1:20" ht="15" customHeight="1" x14ac:dyDescent="0.2">
      <c r="A1552" s="48"/>
      <c r="B1552" s="148"/>
      <c r="C1552" s="48" t="s">
        <v>2271</v>
      </c>
      <c r="D1552" s="148" t="s">
        <v>298</v>
      </c>
      <c r="E1552" s="154">
        <v>1</v>
      </c>
      <c r="F1552" s="144" t="str">
        <f>IF(AND(ISNA(VLOOKUP(D1552,A:A,1,FALSE())),ISNA(VLOOKUP(D1552,BaseType!A:A,1,FALSE())),D1552&lt;&gt;"Struct"),"N","Y")</f>
        <v>Y</v>
      </c>
      <c r="G1552" s="153" t="s">
        <v>2272</v>
      </c>
      <c r="H1552" s="152"/>
      <c r="I1552" s="152"/>
      <c r="J1552" s="152"/>
      <c r="K1552" s="152"/>
      <c r="L1552" s="148"/>
      <c r="M1552" s="148"/>
      <c r="N1552" s="42"/>
      <c r="O1552" s="42"/>
      <c r="P1552" s="42"/>
      <c r="Q1552" s="42"/>
      <c r="R1552" s="42"/>
      <c r="S1552" s="42"/>
      <c r="T1552" s="42"/>
    </row>
    <row r="1553" spans="1:20" ht="15" customHeight="1" x14ac:dyDescent="0.2">
      <c r="A1553" s="48"/>
      <c r="B1553" s="148" t="str">
        <f>IF(ISBLANK(A1553),"",IF(AND(ISNA(VLOOKUP(A1553,Interface_Platform!E:E,1,FALSE())),ISNA(VLOOKUP(A1553,D:D,1,FALSE()))),"N","Y"))</f>
        <v/>
      </c>
      <c r="C1553" s="48" t="s">
        <v>2273</v>
      </c>
      <c r="D1553" s="148" t="s">
        <v>298</v>
      </c>
      <c r="E1553" s="154">
        <v>1</v>
      </c>
      <c r="F1553" s="144" t="str">
        <f>IF(AND(ISNA(VLOOKUP(D1553,A:A,1,FALSE())),ISNA(VLOOKUP(D1553,BaseType!A:A,1,FALSE())),D1553&lt;&gt;"Struct"),"N","Y")</f>
        <v>Y</v>
      </c>
      <c r="G1553" s="153" t="s">
        <v>2274</v>
      </c>
      <c r="H1553" s="152">
        <v>0</v>
      </c>
      <c r="I1553" s="152">
        <v>0</v>
      </c>
      <c r="J1553" s="152">
        <v>0</v>
      </c>
      <c r="K1553" s="152">
        <v>0</v>
      </c>
      <c r="L1553" s="148">
        <v>0</v>
      </c>
      <c r="M1553" s="148">
        <v>0</v>
      </c>
      <c r="N1553" s="42"/>
      <c r="O1553" s="42"/>
      <c r="P1553" s="42"/>
      <c r="Q1553" s="42"/>
      <c r="R1553" s="42"/>
      <c r="S1553" s="42"/>
      <c r="T1553" s="42"/>
    </row>
    <row r="1554" spans="1:20" ht="15" customHeight="1" x14ac:dyDescent="0.2">
      <c r="A1554" s="48"/>
      <c r="B1554" s="148" t="str">
        <f>IF(ISBLANK(A1554),"",IF(AND(ISNA(VLOOKUP(A1554,Interface_Platform!E:E,1,FALSE())),ISNA(VLOOKUP(A1554,D:D,1,FALSE()))),"N","Y"))</f>
        <v/>
      </c>
      <c r="C1554" s="48" t="s">
        <v>2275</v>
      </c>
      <c r="D1554" s="148" t="s">
        <v>298</v>
      </c>
      <c r="E1554" s="154">
        <v>1</v>
      </c>
      <c r="F1554" s="144" t="str">
        <f>IF(AND(ISNA(VLOOKUP(D1554,A:A,1,FALSE())),ISNA(VLOOKUP(D1554,BaseType!A:A,1,FALSE())),D1554&lt;&gt;"Struct"),"N","Y")</f>
        <v>Y</v>
      </c>
      <c r="G1554" s="153" t="s">
        <v>2276</v>
      </c>
      <c r="H1554" s="152">
        <v>0</v>
      </c>
      <c r="I1554" s="152">
        <v>0</v>
      </c>
      <c r="J1554" s="152">
        <v>0</v>
      </c>
      <c r="K1554" s="152">
        <v>0</v>
      </c>
      <c r="L1554" s="148">
        <v>0</v>
      </c>
      <c r="M1554" s="148">
        <v>0</v>
      </c>
      <c r="N1554" s="42"/>
      <c r="O1554" s="42"/>
      <c r="P1554" s="42"/>
      <c r="Q1554" s="42"/>
      <c r="R1554" s="42"/>
      <c r="S1554" s="42"/>
      <c r="T1554" s="42"/>
    </row>
    <row r="1555" spans="1:20" ht="15" customHeight="1" x14ac:dyDescent="0.2">
      <c r="A1555" s="48"/>
      <c r="B1555" s="148" t="str">
        <f>IF(ISBLANK(A1555),"",IF(AND(ISNA(VLOOKUP(A1555,Interface_Platform!E:E,1,FALSE())),ISNA(VLOOKUP(A1555,D:D,1,FALSE()))),"N","Y"))</f>
        <v/>
      </c>
      <c r="C1555" s="48" t="s">
        <v>2277</v>
      </c>
      <c r="D1555" s="148" t="s">
        <v>298</v>
      </c>
      <c r="E1555" s="154">
        <v>1</v>
      </c>
      <c r="F1555" s="144" t="str">
        <f>IF(AND(ISNA(VLOOKUP(D1555,A:A,1,FALSE())),ISNA(VLOOKUP(D1555,BaseType!A:A,1,FALSE())),D1555&lt;&gt;"Struct"),"N","Y")</f>
        <v>Y</v>
      </c>
      <c r="G1555" s="153" t="s">
        <v>2278</v>
      </c>
      <c r="H1555" s="152">
        <v>0</v>
      </c>
      <c r="I1555" s="152">
        <v>0</v>
      </c>
      <c r="J1555" s="152">
        <v>0</v>
      </c>
      <c r="K1555" s="152">
        <v>0</v>
      </c>
      <c r="L1555" s="148">
        <v>0</v>
      </c>
      <c r="M1555" s="148">
        <v>0</v>
      </c>
      <c r="N1555" s="42"/>
      <c r="O1555" s="42"/>
      <c r="P1555" s="42"/>
      <c r="Q1555" s="42"/>
      <c r="R1555" s="42"/>
      <c r="S1555" s="42"/>
      <c r="T1555" s="42"/>
    </row>
    <row r="1556" spans="1:20" ht="15" customHeight="1" x14ac:dyDescent="0.2">
      <c r="A1556" s="48"/>
      <c r="B1556" s="143"/>
      <c r="C1556" s="48" t="s">
        <v>2279</v>
      </c>
      <c r="D1556" s="148" t="s">
        <v>298</v>
      </c>
      <c r="E1556" s="154">
        <v>1</v>
      </c>
      <c r="F1556" s="144" t="str">
        <f>IF(AND(ISNA(VLOOKUP(D1556,A:A,1,FALSE())),ISNA(VLOOKUP(D1556,BaseType!A:A,1,FALSE())),D1556&lt;&gt;"Struct"),"N","Y")</f>
        <v>Y</v>
      </c>
      <c r="G1556" s="145" t="s">
        <v>2270</v>
      </c>
      <c r="H1556" s="141"/>
      <c r="I1556" s="141"/>
      <c r="J1556" s="141"/>
      <c r="K1556" s="141"/>
      <c r="L1556" s="141"/>
      <c r="M1556" s="141"/>
      <c r="N1556" s="54"/>
      <c r="O1556" s="54"/>
      <c r="P1556" s="54"/>
      <c r="Q1556" s="54"/>
      <c r="R1556" s="54"/>
      <c r="S1556" s="54"/>
      <c r="T1556" s="54"/>
    </row>
    <row r="1557" spans="1:20" ht="15" customHeight="1" x14ac:dyDescent="0.2">
      <c r="A1557" s="48"/>
      <c r="B1557" s="143"/>
      <c r="C1557" s="48" t="s">
        <v>2280</v>
      </c>
      <c r="D1557" s="148" t="s">
        <v>298</v>
      </c>
      <c r="E1557" s="154">
        <v>1</v>
      </c>
      <c r="F1557" s="144" t="str">
        <f>IF(AND(ISNA(VLOOKUP(D1557,A:A,1,FALSE())),ISNA(VLOOKUP(D1557,BaseType!A:A,1,FALSE())),D1557&lt;&gt;"Struct"),"N","Y")</f>
        <v>Y</v>
      </c>
      <c r="G1557" s="145" t="s">
        <v>2270</v>
      </c>
      <c r="H1557" s="141"/>
      <c r="I1557" s="141"/>
      <c r="J1557" s="141"/>
      <c r="K1557" s="141"/>
      <c r="L1557" s="141"/>
      <c r="M1557" s="141"/>
      <c r="N1557" s="54"/>
      <c r="O1557" s="54"/>
      <c r="P1557" s="54"/>
      <c r="Q1557" s="54"/>
      <c r="R1557" s="54"/>
      <c r="S1557" s="54"/>
      <c r="T1557" s="54"/>
    </row>
    <row r="1558" spans="1:20" ht="15" customHeight="1" x14ac:dyDescent="0.2">
      <c r="A1558" s="48"/>
      <c r="B1558" s="143"/>
      <c r="C1558" s="48" t="s">
        <v>2281</v>
      </c>
      <c r="D1558" s="148" t="s">
        <v>298</v>
      </c>
      <c r="E1558" s="154">
        <v>1</v>
      </c>
      <c r="F1558" s="144" t="str">
        <f>IF(AND(ISNA(VLOOKUP(D1558,A:A,1,FALSE())),ISNA(VLOOKUP(D1558,BaseType!A:A,1,FALSE())),D1558&lt;&gt;"Struct"),"N","Y")</f>
        <v>Y</v>
      </c>
      <c r="G1558" s="145" t="s">
        <v>2282</v>
      </c>
      <c r="H1558" s="141"/>
      <c r="I1558" s="141"/>
      <c r="J1558" s="141"/>
      <c r="K1558" s="141"/>
      <c r="L1558" s="141"/>
      <c r="M1558" s="141"/>
      <c r="N1558" s="54"/>
      <c r="O1558" s="54"/>
      <c r="P1558" s="54"/>
      <c r="Q1558" s="54"/>
      <c r="R1558" s="54"/>
      <c r="S1558" s="54"/>
      <c r="T1558" s="54"/>
    </row>
    <row r="1559" spans="1:20" ht="15" customHeight="1" x14ac:dyDescent="0.2">
      <c r="A1559" s="48" t="s">
        <v>454</v>
      </c>
      <c r="B1559" s="143" t="str">
        <f>IF(ISBLANK(A1559),"",IF(AND(ISNA(VLOOKUP(A1559,Interface_Platform!E:E,1,FALSE())),ISNA(VLOOKUP(A1559,D:D,1,FALSE()))),"N","Y"))</f>
        <v>Y</v>
      </c>
      <c r="C1559" s="48"/>
      <c r="D1559" s="143" t="s">
        <v>484</v>
      </c>
      <c r="E1559" s="46"/>
      <c r="F1559" s="144" t="str">
        <f>IF(AND(ISNA(VLOOKUP(D1559,A:A,1,FALSE())),ISNA(VLOOKUP(D1559,BaseType!A:A,1,FALSE())),D1559&lt;&gt;"Struct"),"N","Y")</f>
        <v>Y</v>
      </c>
      <c r="G1559" s="153" t="s">
        <v>2283</v>
      </c>
      <c r="H1559" s="141"/>
      <c r="I1559" s="141"/>
      <c r="J1559" s="141"/>
      <c r="K1559" s="141"/>
      <c r="L1559" s="141"/>
      <c r="M1559" s="141"/>
      <c r="N1559" s="54"/>
      <c r="O1559" s="54"/>
      <c r="P1559" s="54"/>
      <c r="Q1559" s="54"/>
      <c r="R1559" s="54"/>
      <c r="S1559" s="54"/>
      <c r="T1559" s="54"/>
    </row>
    <row r="1560" spans="1:20" ht="15" customHeight="1" x14ac:dyDescent="0.2">
      <c r="A1560" s="48"/>
      <c r="B1560" s="143" t="str">
        <f>IF(ISBLANK(A1560),"",IF(AND(ISNA(VLOOKUP(A1560,Interface_Platform!E:E,1,FALSE())),ISNA(VLOOKUP(A1560,D:D,1,FALSE()))),"N","Y"))</f>
        <v/>
      </c>
      <c r="C1560" s="48" t="s">
        <v>973</v>
      </c>
      <c r="D1560" s="48" t="s">
        <v>298</v>
      </c>
      <c r="E1560" s="46">
        <v>1</v>
      </c>
      <c r="F1560" s="144" t="str">
        <f>IF(AND(ISNA(VLOOKUP(D1560,A:A,1,FALSE())),ISNA(VLOOKUP(D1560,BaseType!A:A,1,FALSE())),D1560&lt;&gt;"Struct"),"N","Y")</f>
        <v>Y</v>
      </c>
      <c r="G1560" s="153" t="s">
        <v>2284</v>
      </c>
      <c r="H1560" s="141"/>
      <c r="I1560" s="141"/>
      <c r="J1560" s="141"/>
      <c r="K1560" s="141"/>
      <c r="L1560" s="141"/>
      <c r="M1560" s="141"/>
      <c r="N1560" s="54"/>
      <c r="O1560" s="54"/>
      <c r="P1560" s="54"/>
      <c r="Q1560" s="54"/>
      <c r="R1560" s="54"/>
      <c r="S1560" s="54"/>
      <c r="T1560" s="54"/>
    </row>
    <row r="1561" spans="1:20" ht="15" customHeight="1" x14ac:dyDescent="0.2">
      <c r="A1561" s="48"/>
      <c r="B1561" s="143" t="str">
        <f>IF(ISBLANK(A1561),"",IF(AND(ISNA(VLOOKUP(A1561,Interface_Platform!E:E,1,FALSE())),ISNA(VLOOKUP(A1561,D:D,1,FALSE()))),"N","Y"))</f>
        <v/>
      </c>
      <c r="C1561" s="48" t="s">
        <v>1001</v>
      </c>
      <c r="D1561" s="48" t="s">
        <v>193</v>
      </c>
      <c r="E1561" s="46">
        <v>1</v>
      </c>
      <c r="F1561" s="144" t="str">
        <f>IF(AND(ISNA(VLOOKUP(D1561,A:A,1,FALSE())),ISNA(VLOOKUP(D1561,BaseType!A:A,1,FALSE())),D1561&lt;&gt;"Struct"),"N","Y")</f>
        <v>Y</v>
      </c>
      <c r="G1561" s="153" t="s">
        <v>2285</v>
      </c>
      <c r="H1561" s="141"/>
      <c r="I1561" s="141"/>
      <c r="J1561" s="141"/>
      <c r="K1561" s="141"/>
      <c r="L1561" s="141"/>
      <c r="M1561" s="141"/>
      <c r="N1561" s="54"/>
      <c r="O1561" s="54"/>
      <c r="P1561" s="54"/>
      <c r="Q1561" s="54"/>
      <c r="R1561" s="54"/>
      <c r="S1561" s="54"/>
      <c r="T1561" s="54"/>
    </row>
    <row r="1562" spans="1:20" ht="15" customHeight="1" x14ac:dyDescent="0.2">
      <c r="A1562" s="48"/>
      <c r="B1562" s="143" t="str">
        <f>IF(ISBLANK(A1562),"",IF(AND(ISNA(VLOOKUP(A1562,Interface_Platform!E:E,1,FALSE())),ISNA(VLOOKUP(A1562,D:D,1,FALSE()))),"N","Y"))</f>
        <v/>
      </c>
      <c r="C1562" s="48" t="s">
        <v>2286</v>
      </c>
      <c r="D1562" s="48" t="s">
        <v>193</v>
      </c>
      <c r="E1562" s="46">
        <v>1</v>
      </c>
      <c r="F1562" s="144" t="str">
        <f>IF(AND(ISNA(VLOOKUP(D1562,A:A,1,FALSE())),ISNA(VLOOKUP(D1562,BaseType!A:A,1,FALSE())),D1562&lt;&gt;"Struct"),"N","Y")</f>
        <v>Y</v>
      </c>
      <c r="G1562" s="153" t="s">
        <v>2287</v>
      </c>
      <c r="H1562" s="141"/>
      <c r="I1562" s="141"/>
      <c r="J1562" s="141"/>
      <c r="K1562" s="141"/>
      <c r="L1562" s="141"/>
      <c r="M1562" s="141"/>
      <c r="N1562" s="54"/>
      <c r="O1562" s="54"/>
      <c r="P1562" s="54"/>
      <c r="Q1562" s="54"/>
      <c r="R1562" s="54"/>
      <c r="S1562" s="54"/>
      <c r="T1562" s="54"/>
    </row>
    <row r="1563" spans="1:20" ht="15" customHeight="1" x14ac:dyDescent="0.2">
      <c r="A1563" s="48"/>
      <c r="B1563" s="143" t="str">
        <f>IF(ISBLANK(A1563),"",IF(AND(ISNA(VLOOKUP(A1563,Interface_Platform!E:E,1,FALSE())),ISNA(VLOOKUP(A1563,D:D,1,FALSE()))),"N","Y"))</f>
        <v/>
      </c>
      <c r="C1563" s="48" t="s">
        <v>2288</v>
      </c>
      <c r="D1563" s="143" t="s">
        <v>225</v>
      </c>
      <c r="E1563" s="46">
        <v>1</v>
      </c>
      <c r="F1563" s="144" t="str">
        <f>IF(AND(ISNA(VLOOKUP(D1563,A:A,1,FALSE())),ISNA(VLOOKUP(D1563,BaseType!A:A,1,FALSE())),D1563&lt;&gt;"Struct"),"N","Y")</f>
        <v>Y</v>
      </c>
      <c r="G1563" s="153" t="s">
        <v>2289</v>
      </c>
      <c r="H1563" s="141"/>
      <c r="I1563" s="141"/>
      <c r="J1563" s="141"/>
      <c r="K1563" s="141"/>
      <c r="L1563" s="141"/>
      <c r="M1563" s="141"/>
      <c r="N1563" s="54"/>
      <c r="O1563" s="54"/>
      <c r="P1563" s="54"/>
      <c r="Q1563" s="54"/>
      <c r="R1563" s="54"/>
      <c r="S1563" s="54"/>
      <c r="T1563" s="54"/>
    </row>
    <row r="1564" spans="1:20" ht="15" customHeight="1" x14ac:dyDescent="0.2">
      <c r="A1564" s="48"/>
      <c r="B1564" s="143" t="str">
        <f>IF(ISBLANK(A1564),"",IF(AND(ISNA(VLOOKUP(A1564,Interface_Platform!E:E,1,FALSE())),ISNA(VLOOKUP(A1564,D:D,1,FALSE()))),"N","Y"))</f>
        <v/>
      </c>
      <c r="C1564" s="48" t="s">
        <v>2290</v>
      </c>
      <c r="D1564" s="48" t="s">
        <v>193</v>
      </c>
      <c r="E1564" s="46">
        <v>1</v>
      </c>
      <c r="F1564" s="144" t="str">
        <f>IF(AND(ISNA(VLOOKUP(D1564,A:A,1,FALSE())),ISNA(VLOOKUP(D1564,BaseType!A:A,1,FALSE())),D1564&lt;&gt;"Struct"),"N","Y")</f>
        <v>Y</v>
      </c>
      <c r="G1564" s="153" t="s">
        <v>2291</v>
      </c>
      <c r="H1564" s="141"/>
      <c r="I1564" s="141"/>
      <c r="J1564" s="141"/>
      <c r="K1564" s="141"/>
      <c r="L1564" s="141"/>
      <c r="M1564" s="141"/>
      <c r="N1564" s="54"/>
      <c r="O1564" s="54"/>
      <c r="P1564" s="54"/>
      <c r="Q1564" s="54"/>
      <c r="R1564" s="54"/>
      <c r="S1564" s="54"/>
      <c r="T1564" s="54"/>
    </row>
    <row r="1565" spans="1:20" ht="15" customHeight="1" x14ac:dyDescent="0.2">
      <c r="A1565" s="48"/>
      <c r="B1565" s="143" t="str">
        <f>IF(ISBLANK(A1565),"",IF(AND(ISNA(VLOOKUP(A1565,Interface_Platform!E:E,1,FALSE())),ISNA(VLOOKUP(A1565,D:D,1,FALSE()))),"N","Y"))</f>
        <v/>
      </c>
      <c r="C1565" s="48" t="s">
        <v>2292</v>
      </c>
      <c r="D1565" s="48" t="s">
        <v>2293</v>
      </c>
      <c r="E1565" s="46">
        <v>1</v>
      </c>
      <c r="F1565" s="144" t="str">
        <f>IF(AND(ISNA(VLOOKUP(D1565,A:A,1,FALSE())),ISNA(VLOOKUP(D1565,BaseType!A:A,1,FALSE())),D1565&lt;&gt;"Struct"),"N","Y")</f>
        <v>Y</v>
      </c>
      <c r="G1565" s="153" t="s">
        <v>2294</v>
      </c>
      <c r="H1565" s="141"/>
      <c r="I1565" s="141"/>
      <c r="J1565" s="141"/>
      <c r="K1565" s="141"/>
      <c r="L1565" s="141"/>
      <c r="M1565" s="141"/>
      <c r="N1565" s="54"/>
      <c r="O1565" s="54"/>
      <c r="P1565" s="54"/>
      <c r="Q1565" s="54"/>
      <c r="R1565" s="54"/>
      <c r="S1565" s="54"/>
      <c r="T1565" s="54"/>
    </row>
    <row r="1566" spans="1:20" ht="15" customHeight="1" x14ac:dyDescent="0.2">
      <c r="A1566" s="48"/>
      <c r="B1566" s="143" t="str">
        <f>IF(ISBLANK(A1566),"",IF(AND(ISNA(VLOOKUP(A1566,Interface_Platform!E:E,1,FALSE())),ISNA(VLOOKUP(A1566,D:D,1,FALSE()))),"N","Y"))</f>
        <v/>
      </c>
      <c r="C1566" s="48" t="s">
        <v>2295</v>
      </c>
      <c r="D1566" s="48" t="s">
        <v>2293</v>
      </c>
      <c r="E1566" s="46">
        <v>1</v>
      </c>
      <c r="F1566" s="144" t="str">
        <f>IF(AND(ISNA(VLOOKUP(D1566,A:A,1,FALSE())),ISNA(VLOOKUP(D1566,BaseType!A:A,1,FALSE())),D1566&lt;&gt;"Struct"),"N","Y")</f>
        <v>Y</v>
      </c>
      <c r="G1566" s="153" t="s">
        <v>2296</v>
      </c>
      <c r="H1566" s="141"/>
      <c r="I1566" s="141"/>
      <c r="J1566" s="141"/>
      <c r="K1566" s="141"/>
      <c r="L1566" s="141"/>
      <c r="M1566" s="141"/>
      <c r="N1566" s="54"/>
      <c r="O1566" s="54"/>
      <c r="P1566" s="54"/>
      <c r="Q1566" s="54"/>
      <c r="R1566" s="54"/>
      <c r="S1566" s="54"/>
      <c r="T1566" s="54"/>
    </row>
    <row r="1567" spans="1:20" ht="15" customHeight="1" x14ac:dyDescent="0.2">
      <c r="A1567" s="48"/>
      <c r="B1567" s="143" t="str">
        <f>IF(ISBLANK(A1567),"",IF(AND(ISNA(VLOOKUP(A1567,Interface_Platform!E:E,1,FALSE())),ISNA(VLOOKUP(A1567,D:D,1,FALSE()))),"N","Y"))</f>
        <v/>
      </c>
      <c r="C1567" s="48" t="s">
        <v>2297</v>
      </c>
      <c r="D1567" s="48" t="s">
        <v>2298</v>
      </c>
      <c r="E1567" s="46">
        <v>1</v>
      </c>
      <c r="F1567" s="144" t="str">
        <f>IF(AND(ISNA(VLOOKUP(D1567,A:A,1,FALSE())),ISNA(VLOOKUP(D1567,BaseType!A:A,1,FALSE())),D1567&lt;&gt;"Struct"),"N","Y")</f>
        <v>Y</v>
      </c>
      <c r="G1567" s="153" t="s">
        <v>2299</v>
      </c>
      <c r="H1567" s="141"/>
      <c r="I1567" s="141"/>
      <c r="J1567" s="141"/>
      <c r="K1567" s="141"/>
      <c r="L1567" s="141"/>
      <c r="M1567" s="141"/>
      <c r="N1567" s="54"/>
      <c r="O1567" s="54"/>
      <c r="P1567" s="54"/>
      <c r="Q1567" s="54"/>
      <c r="R1567" s="54"/>
      <c r="S1567" s="54"/>
      <c r="T1567" s="54"/>
    </row>
    <row r="1568" spans="1:20" ht="15" customHeight="1" x14ac:dyDescent="0.2">
      <c r="A1568" s="48"/>
      <c r="B1568" s="143" t="str">
        <f>IF(ISBLANK(A1568),"",IF(AND(ISNA(VLOOKUP(A1568,Interface_Platform!E:E,1,FALSE())),ISNA(VLOOKUP(A1568,D:D,1,FALSE()))),"N","Y"))</f>
        <v/>
      </c>
      <c r="C1568" s="48" t="s">
        <v>2300</v>
      </c>
      <c r="D1568" s="143" t="s">
        <v>225</v>
      </c>
      <c r="E1568" s="46">
        <v>1</v>
      </c>
      <c r="F1568" s="144" t="str">
        <f>IF(AND(ISNA(VLOOKUP(D1568,A:A,1,FALSE())),ISNA(VLOOKUP(D1568,BaseType!A:A,1,FALSE())),D1568&lt;&gt;"Struct"),"N","Y")</f>
        <v>Y</v>
      </c>
      <c r="G1568" s="153" t="s">
        <v>2301</v>
      </c>
      <c r="H1568" s="141"/>
      <c r="I1568" s="141"/>
      <c r="J1568" s="141"/>
      <c r="K1568" s="141"/>
      <c r="L1568" s="141"/>
      <c r="M1568" s="141"/>
      <c r="N1568" s="54"/>
      <c r="O1568" s="54"/>
      <c r="P1568" s="54"/>
      <c r="Q1568" s="54"/>
      <c r="R1568" s="54"/>
      <c r="S1568" s="54"/>
      <c r="T1568" s="54"/>
    </row>
    <row r="1569" spans="1:20" ht="15" customHeight="1" x14ac:dyDescent="0.2">
      <c r="A1569" s="48"/>
      <c r="B1569" s="143" t="str">
        <f>IF(ISBLANK(A1569),"",IF(AND(ISNA(VLOOKUP(A1569,Interface_Platform!E:E,1,FALSE())),ISNA(VLOOKUP(A1569,D:D,1,FALSE()))),"N","Y"))</f>
        <v/>
      </c>
      <c r="C1569" s="48" t="s">
        <v>2302</v>
      </c>
      <c r="D1569" s="48" t="s">
        <v>193</v>
      </c>
      <c r="E1569" s="46">
        <v>1</v>
      </c>
      <c r="F1569" s="144" t="str">
        <f>IF(AND(ISNA(VLOOKUP(D1569,A:A,1,FALSE())),ISNA(VLOOKUP(D1569,BaseType!A:A,1,FALSE())),D1569&lt;&gt;"Struct"),"N","Y")</f>
        <v>Y</v>
      </c>
      <c r="G1569" s="153" t="s">
        <v>2303</v>
      </c>
      <c r="H1569" s="141"/>
      <c r="I1569" s="141"/>
      <c r="J1569" s="141"/>
      <c r="K1569" s="141"/>
      <c r="L1569" s="141"/>
      <c r="M1569" s="141"/>
      <c r="N1569" s="54"/>
      <c r="O1569" s="54"/>
      <c r="P1569" s="54"/>
      <c r="Q1569" s="54"/>
      <c r="R1569" s="54"/>
      <c r="S1569" s="54"/>
      <c r="T1569" s="54"/>
    </row>
    <row r="1570" spans="1:20" ht="15" customHeight="1" x14ac:dyDescent="0.2">
      <c r="A1570" s="48" t="s">
        <v>333</v>
      </c>
      <c r="B1570" s="143" t="str">
        <f>IF(ISBLANK(A1570),"",IF(AND(ISNA(VLOOKUP(A1570,Interface_Platform!E:E,1,FALSE())),ISNA(VLOOKUP(A1570,D:D,1,FALSE()))),"N","Y"))</f>
        <v>Y</v>
      </c>
      <c r="C1570" s="48"/>
      <c r="D1570" s="143" t="s">
        <v>484</v>
      </c>
      <c r="E1570" s="46"/>
      <c r="F1570" s="158" t="str">
        <f>IF(AND(ISNA(VLOOKUP(D1570,A:A,1,FALSE())),ISNA(VLOOKUP(D1570,BaseType!A:A,1,FALSE())),D1570&lt;&gt;"Struct"),"N","Y")</f>
        <v>Y</v>
      </c>
      <c r="G1570" s="153" t="s">
        <v>2283</v>
      </c>
      <c r="H1570" s="141"/>
      <c r="I1570" s="141"/>
      <c r="J1570" s="141"/>
      <c r="K1570" s="141"/>
      <c r="L1570" s="141"/>
      <c r="M1570" s="141"/>
      <c r="N1570" s="54"/>
      <c r="O1570" s="54"/>
      <c r="P1570" s="54"/>
      <c r="Q1570" s="54"/>
      <c r="R1570" s="54"/>
      <c r="S1570" s="54"/>
      <c r="T1570" s="54"/>
    </row>
    <row r="1571" spans="1:20" ht="15" customHeight="1" x14ac:dyDescent="0.2">
      <c r="A1571" s="48"/>
      <c r="B1571" s="143" t="str">
        <f>IF(ISBLANK(A1571),"",IF(AND(ISNA(VLOOKUP(A1571,Interface_Platform!E:E,1,FALSE())),ISNA(VLOOKUP(A1571,D:D,1,FALSE()))),"N","Y"))</f>
        <v/>
      </c>
      <c r="C1571" s="48" t="s">
        <v>2304</v>
      </c>
      <c r="D1571" s="48" t="s">
        <v>2293</v>
      </c>
      <c r="E1571" s="46">
        <v>1</v>
      </c>
      <c r="F1571" s="158" t="str">
        <f>IF(AND(ISNA(VLOOKUP(D1571,A:A,1,FALSE())),ISNA(VLOOKUP(D1571,BaseType!A:A,1,FALSE())),D1571&lt;&gt;"Struct"),"N","Y")</f>
        <v>Y</v>
      </c>
      <c r="G1571" s="153" t="s">
        <v>2305</v>
      </c>
      <c r="H1571" s="141"/>
      <c r="I1571" s="141"/>
      <c r="J1571" s="141"/>
      <c r="K1571" s="141"/>
      <c r="L1571" s="141"/>
      <c r="M1571" s="141"/>
      <c r="N1571" s="54"/>
      <c r="O1571" s="54"/>
      <c r="P1571" s="54"/>
      <c r="Q1571" s="54"/>
      <c r="R1571" s="54"/>
      <c r="S1571" s="54"/>
      <c r="T1571" s="54"/>
    </row>
    <row r="1572" spans="1:20" ht="15" customHeight="1" x14ac:dyDescent="0.2">
      <c r="A1572" s="48"/>
      <c r="B1572" s="143" t="str">
        <f>IF(ISBLANK(A1572),"",IF(AND(ISNA(VLOOKUP(A1572,Interface_Platform!E:E,1,FALSE())),ISNA(VLOOKUP(A1572,D:D,1,FALSE()))),"N","Y"))</f>
        <v/>
      </c>
      <c r="C1572" s="48" t="s">
        <v>2306</v>
      </c>
      <c r="D1572" s="48" t="s">
        <v>2293</v>
      </c>
      <c r="E1572" s="46">
        <v>1</v>
      </c>
      <c r="F1572" s="158" t="str">
        <f>IF(AND(ISNA(VLOOKUP(D1572,A:A,1,FALSE())),ISNA(VLOOKUP(D1572,BaseType!A:A,1,FALSE())),D1572&lt;&gt;"Struct"),"N","Y")</f>
        <v>Y</v>
      </c>
      <c r="G1572" s="153" t="s">
        <v>2307</v>
      </c>
      <c r="H1572" s="141"/>
      <c r="I1572" s="141"/>
      <c r="J1572" s="141"/>
      <c r="K1572" s="141"/>
      <c r="L1572" s="141"/>
      <c r="M1572" s="141"/>
      <c r="N1572" s="54"/>
      <c r="O1572" s="54"/>
      <c r="P1572" s="54"/>
      <c r="Q1572" s="54"/>
      <c r="R1572" s="54"/>
      <c r="S1572" s="54"/>
      <c r="T1572" s="54"/>
    </row>
    <row r="1573" spans="1:20" ht="15" customHeight="1" x14ac:dyDescent="0.2">
      <c r="A1573" s="48"/>
      <c r="B1573" s="143"/>
      <c r="C1573" s="48" t="s">
        <v>2308</v>
      </c>
      <c r="D1573" s="143" t="s">
        <v>2309</v>
      </c>
      <c r="E1573" s="46">
        <v>1</v>
      </c>
      <c r="F1573" s="158" t="str">
        <f>IF(AND(ISNA(VLOOKUP(D1573,A:A,1,FALSE())),ISNA(VLOOKUP(D1573,BaseType!A:A,1,FALSE())),D1573&lt;&gt;"Struct"),"N","Y")</f>
        <v>Y</v>
      </c>
      <c r="G1573" s="153" t="s">
        <v>2310</v>
      </c>
      <c r="H1573" s="141"/>
      <c r="I1573" s="141"/>
      <c r="J1573" s="141"/>
      <c r="K1573" s="141"/>
      <c r="L1573" s="141"/>
      <c r="M1573" s="141"/>
      <c r="N1573" s="54"/>
      <c r="O1573" s="54"/>
      <c r="P1573" s="54"/>
      <c r="Q1573" s="54"/>
      <c r="R1573" s="54"/>
      <c r="S1573" s="54"/>
      <c r="T1573" s="54"/>
    </row>
    <row r="1574" spans="1:20" ht="15" customHeight="1" x14ac:dyDescent="0.2">
      <c r="A1574" s="48" t="s">
        <v>318</v>
      </c>
      <c r="B1574" s="143" t="str">
        <f>IF(ISBLANK(A1574),"",IF(AND(ISNA(VLOOKUP(A1574,Interface_Platform!E:E,1,FALSE())),ISNA(VLOOKUP(A1574,D:D,1,FALSE()))),"N","Y"))</f>
        <v>Y</v>
      </c>
      <c r="C1574" s="48"/>
      <c r="D1574" s="143" t="s">
        <v>484</v>
      </c>
      <c r="E1574" s="46"/>
      <c r="F1574" s="158" t="str">
        <f>IF(AND(ISNA(VLOOKUP(D1574,A:A,1,FALSE())),ISNA(VLOOKUP(D1574,BaseType!A:A,1,FALSE())),D1574&lt;&gt;"Struct"),"N","Y")</f>
        <v>Y</v>
      </c>
      <c r="G1574" s="153" t="s">
        <v>2311</v>
      </c>
      <c r="H1574" s="141"/>
      <c r="I1574" s="141"/>
      <c r="J1574" s="141"/>
      <c r="K1574" s="141"/>
      <c r="L1574" s="141"/>
      <c r="M1574" s="141"/>
      <c r="N1574" s="54"/>
      <c r="O1574" s="54"/>
      <c r="P1574" s="54"/>
      <c r="Q1574" s="54"/>
      <c r="R1574" s="54"/>
      <c r="S1574" s="54"/>
      <c r="T1574" s="54"/>
    </row>
    <row r="1575" spans="1:20" ht="15" customHeight="1" x14ac:dyDescent="0.2">
      <c r="A1575" s="48"/>
      <c r="B1575" s="143" t="str">
        <f>IF(ISBLANK(A1575),"",IF(AND(ISNA(VLOOKUP(A1575,Interface_Platform!E:E,1,FALSE())),ISNA(VLOOKUP(A1575,D:D,1,FALSE()))),"N","Y"))</f>
        <v/>
      </c>
      <c r="C1575" s="48" t="s">
        <v>973</v>
      </c>
      <c r="D1575" s="143" t="s">
        <v>193</v>
      </c>
      <c r="E1575" s="46">
        <v>1</v>
      </c>
      <c r="F1575" s="144" t="str">
        <f>IF(AND(ISNA(VLOOKUP(D1575,A:A,1,FALSE())),ISNA(VLOOKUP(D1575,BaseType!A:A,1,FALSE())),D1575&lt;&gt;"Struct"),"N","Y")</f>
        <v>Y</v>
      </c>
      <c r="G1575" s="145" t="s">
        <v>2312</v>
      </c>
      <c r="H1575" s="141"/>
      <c r="I1575" s="141"/>
      <c r="J1575" s="141"/>
      <c r="K1575" s="141"/>
      <c r="L1575" s="141"/>
      <c r="M1575" s="141"/>
      <c r="N1575" s="54"/>
      <c r="O1575" s="54"/>
      <c r="P1575" s="54"/>
      <c r="Q1575" s="54"/>
      <c r="R1575" s="54"/>
      <c r="S1575" s="54"/>
      <c r="T1575" s="54"/>
    </row>
    <row r="1576" spans="1:20" ht="15" customHeight="1" x14ac:dyDescent="0.2">
      <c r="A1576" s="48"/>
      <c r="B1576" s="143" t="str">
        <f>IF(ISBLANK(A1576),"",IF(AND(ISNA(VLOOKUP(A1576,Interface_Platform!E:E,1,FALSE())),ISNA(VLOOKUP(A1576,D:D,1,FALSE()))),"N","Y"))</f>
        <v/>
      </c>
      <c r="C1576" s="48" t="s">
        <v>2313</v>
      </c>
      <c r="D1576" s="143" t="s">
        <v>225</v>
      </c>
      <c r="E1576" s="46">
        <v>1</v>
      </c>
      <c r="F1576" s="144" t="str">
        <f>IF(AND(ISNA(VLOOKUP(D1576,A:A,1,FALSE())),ISNA(VLOOKUP(D1576,BaseType!A:A,1,FALSE())),D1576&lt;&gt;"Struct"),"N","Y")</f>
        <v>Y</v>
      </c>
      <c r="G1576" s="145" t="s">
        <v>2314</v>
      </c>
      <c r="H1576" s="141"/>
      <c r="I1576" s="141"/>
      <c r="J1576" s="141"/>
      <c r="K1576" s="141"/>
      <c r="L1576" s="141"/>
      <c r="M1576" s="141"/>
      <c r="N1576" s="54"/>
      <c r="O1576" s="54"/>
      <c r="P1576" s="54"/>
      <c r="Q1576" s="54"/>
      <c r="R1576" s="54"/>
      <c r="S1576" s="54"/>
      <c r="T1576" s="54"/>
    </row>
    <row r="1577" spans="1:20" ht="15" customHeight="1" x14ac:dyDescent="0.2">
      <c r="A1577" s="48"/>
      <c r="B1577" s="143" t="str">
        <f>IF(ISBLANK(A1577),"",IF(AND(ISNA(VLOOKUP(A1577,Interface_Platform!E:E,1,FALSE())),ISNA(VLOOKUP(A1577,D:D,1,FALSE()))),"N","Y"))</f>
        <v/>
      </c>
      <c r="C1577" s="48" t="s">
        <v>2315</v>
      </c>
      <c r="D1577" s="48" t="s">
        <v>2298</v>
      </c>
      <c r="E1577" s="46">
        <v>1</v>
      </c>
      <c r="F1577" s="144" t="str">
        <f>IF(AND(ISNA(VLOOKUP(D1577,A:A,1,FALSE())),ISNA(VLOOKUP(D1577,BaseType!A:A,1,FALSE())),D1577&lt;&gt;"Struct"),"N","Y")</f>
        <v>Y</v>
      </c>
      <c r="G1577" s="145" t="s">
        <v>2299</v>
      </c>
      <c r="H1577" s="141"/>
      <c r="I1577" s="141"/>
      <c r="J1577" s="141"/>
      <c r="K1577" s="141"/>
      <c r="L1577" s="141"/>
      <c r="M1577" s="141"/>
      <c r="N1577" s="54"/>
      <c r="O1577" s="54"/>
      <c r="P1577" s="54"/>
      <c r="Q1577" s="54"/>
      <c r="R1577" s="54"/>
      <c r="S1577" s="54"/>
      <c r="T1577" s="54"/>
    </row>
    <row r="1578" spans="1:20" ht="15" customHeight="1" x14ac:dyDescent="0.2">
      <c r="A1578" s="48"/>
      <c r="B1578" s="143" t="str">
        <f>IF(ISBLANK(A1578),"",IF(AND(ISNA(VLOOKUP(A1578,Interface_Platform!E:E,1,FALSE())),ISNA(VLOOKUP(A1578,D:D,1,FALSE()))),"N","Y"))</f>
        <v/>
      </c>
      <c r="C1578" s="48" t="s">
        <v>2316</v>
      </c>
      <c r="D1578" s="143" t="s">
        <v>298</v>
      </c>
      <c r="E1578" s="46">
        <v>1</v>
      </c>
      <c r="F1578" s="144" t="str">
        <f>IF(AND(ISNA(VLOOKUP(D1578,A:A,1,FALSE())),ISNA(VLOOKUP(D1578,BaseType!A:A,1,FALSE())),D1578&lt;&gt;"Struct"),"N","Y")</f>
        <v>Y</v>
      </c>
      <c r="G1578" s="145" t="s">
        <v>2317</v>
      </c>
      <c r="H1578" s="141"/>
      <c r="I1578" s="141"/>
      <c r="J1578" s="141"/>
      <c r="K1578" s="141"/>
      <c r="L1578" s="141"/>
      <c r="M1578" s="141"/>
      <c r="N1578" s="54"/>
      <c r="O1578" s="54"/>
      <c r="P1578" s="54"/>
      <c r="Q1578" s="54"/>
      <c r="R1578" s="54"/>
      <c r="S1578" s="54"/>
      <c r="T1578" s="54"/>
    </row>
    <row r="1579" spans="1:20" ht="15" customHeight="1" x14ac:dyDescent="0.2">
      <c r="A1579" s="48"/>
      <c r="B1579" s="143" t="str">
        <f>IF(ISBLANK(A1579),"",IF(AND(ISNA(VLOOKUP(A1579,Interface_Platform!E:E,1,FALSE())),ISNA(VLOOKUP(A1579,D:D,1,FALSE()))),"N","Y"))</f>
        <v/>
      </c>
      <c r="C1579" s="48" t="s">
        <v>2318</v>
      </c>
      <c r="D1579" s="143" t="s">
        <v>193</v>
      </c>
      <c r="E1579" s="46">
        <v>1</v>
      </c>
      <c r="F1579" s="144" t="str">
        <f>IF(AND(ISNA(VLOOKUP(D1579,A:A,1,FALSE())),ISNA(VLOOKUP(D1579,BaseType!A:A,1,FALSE())),D1579&lt;&gt;"Struct"),"N","Y")</f>
        <v>Y</v>
      </c>
      <c r="G1579" s="145" t="s">
        <v>2319</v>
      </c>
      <c r="H1579" s="141"/>
      <c r="I1579" s="141"/>
      <c r="J1579" s="141"/>
      <c r="K1579" s="141"/>
      <c r="L1579" s="141"/>
      <c r="M1579" s="141"/>
      <c r="N1579" s="54"/>
      <c r="O1579" s="54"/>
      <c r="P1579" s="54"/>
      <c r="Q1579" s="54"/>
      <c r="R1579" s="54"/>
      <c r="S1579" s="54"/>
      <c r="T1579" s="54"/>
    </row>
    <row r="1580" spans="1:20" ht="15" customHeight="1" x14ac:dyDescent="0.2">
      <c r="A1580" s="48" t="s">
        <v>320</v>
      </c>
      <c r="B1580" s="143" t="str">
        <f>IF(ISBLANK(A1580),"",IF(AND(ISNA(VLOOKUP(A1580,Interface_Platform!E:E,1,FALSE())),ISNA(VLOOKUP(A1580,D:D,1,FALSE()))),"N","Y"))</f>
        <v>Y</v>
      </c>
      <c r="C1580" s="48"/>
      <c r="D1580" s="143" t="s">
        <v>484</v>
      </c>
      <c r="E1580" s="46"/>
      <c r="F1580" s="144" t="str">
        <f>IF(AND(ISNA(VLOOKUP(D1580,A:A,1,FALSE())),ISNA(VLOOKUP(D1580,BaseType!A:A,1,FALSE())),D1580&lt;&gt;"Struct"),"N","Y")</f>
        <v>Y</v>
      </c>
      <c r="G1580" s="145"/>
      <c r="H1580" s="141"/>
      <c r="I1580" s="141"/>
      <c r="J1580" s="141"/>
      <c r="K1580" s="141"/>
      <c r="L1580" s="141"/>
      <c r="M1580" s="141"/>
      <c r="N1580" s="54"/>
      <c r="O1580" s="54"/>
      <c r="P1580" s="54"/>
      <c r="Q1580" s="54"/>
      <c r="R1580" s="54"/>
      <c r="S1580" s="54"/>
      <c r="T1580" s="54"/>
    </row>
    <row r="1581" spans="1:20" ht="15" customHeight="1" x14ac:dyDescent="0.2">
      <c r="A1581" s="48"/>
      <c r="B1581" s="143" t="str">
        <f>IF(ISBLANK(A1581),"",IF(AND(ISNA(VLOOKUP(A1581,Interface_Platform!E:E,1,FALSE())),ISNA(VLOOKUP(A1581,D:D,1,FALSE()))),"N","Y"))</f>
        <v/>
      </c>
      <c r="C1581" s="48" t="s">
        <v>973</v>
      </c>
      <c r="D1581" s="143" t="s">
        <v>193</v>
      </c>
      <c r="E1581" s="46">
        <v>1</v>
      </c>
      <c r="F1581" s="144" t="str">
        <f>IF(AND(ISNA(VLOOKUP(D1581,A:A,1,FALSE())),ISNA(VLOOKUP(D1581,BaseType!A:A,1,FALSE())),D1581&lt;&gt;"Struct"),"N","Y")</f>
        <v>Y</v>
      </c>
      <c r="G1581" s="145"/>
      <c r="H1581" s="141"/>
      <c r="I1581" s="141"/>
      <c r="J1581" s="141"/>
      <c r="K1581" s="141"/>
      <c r="L1581" s="141"/>
      <c r="M1581" s="141"/>
      <c r="N1581" s="54"/>
      <c r="O1581" s="54"/>
      <c r="P1581" s="54"/>
      <c r="Q1581" s="54"/>
      <c r="R1581" s="54"/>
      <c r="S1581" s="54"/>
      <c r="T1581" s="54"/>
    </row>
    <row r="1582" spans="1:20" ht="15" customHeight="1" x14ac:dyDescent="0.2">
      <c r="A1582" s="48"/>
      <c r="B1582" s="143" t="str">
        <f>IF(ISBLANK(A1582),"",IF(AND(ISNA(VLOOKUP(A1582,Interface_Platform!E:E,1,FALSE())),ISNA(VLOOKUP(A1582,D:D,1,FALSE()))),"N","Y"))</f>
        <v/>
      </c>
      <c r="C1582" s="48" t="s">
        <v>2315</v>
      </c>
      <c r="D1582" s="48" t="s">
        <v>2298</v>
      </c>
      <c r="E1582" s="46">
        <v>1</v>
      </c>
      <c r="F1582" s="144" t="str">
        <f>IF(AND(ISNA(VLOOKUP(D1582,A:A,1,FALSE())),ISNA(VLOOKUP(D1582,BaseType!A:A,1,FALSE())),D1582&lt;&gt;"Struct"),"N","Y")</f>
        <v>Y</v>
      </c>
      <c r="G1582" s="145" t="s">
        <v>2312</v>
      </c>
      <c r="H1582" s="141"/>
      <c r="I1582" s="141"/>
      <c r="J1582" s="141"/>
      <c r="K1582" s="141"/>
      <c r="L1582" s="141"/>
      <c r="M1582" s="141"/>
      <c r="N1582" s="54"/>
      <c r="O1582" s="54"/>
      <c r="P1582" s="54"/>
      <c r="Q1582" s="54"/>
      <c r="R1582" s="54"/>
      <c r="S1582" s="54"/>
      <c r="T1582" s="54"/>
    </row>
    <row r="1583" spans="1:20" ht="15" customHeight="1" x14ac:dyDescent="0.2">
      <c r="A1583" s="48"/>
      <c r="B1583" s="143" t="str">
        <f>IF(ISBLANK(A1583),"",IF(AND(ISNA(VLOOKUP(A1583,Interface_Platform!E:E,1,FALSE())),ISNA(VLOOKUP(A1583,D:D,1,FALSE()))),"N","Y"))</f>
        <v/>
      </c>
      <c r="C1583" s="48" t="s">
        <v>2320</v>
      </c>
      <c r="D1583" s="143" t="s">
        <v>193</v>
      </c>
      <c r="E1583" s="46">
        <v>1</v>
      </c>
      <c r="F1583" s="144" t="str">
        <f>IF(AND(ISNA(VLOOKUP(D1583,A:A,1,FALSE())),ISNA(VLOOKUP(D1583,BaseType!A:A,1,FALSE())),D1583&lt;&gt;"Struct"),"N","Y")</f>
        <v>Y</v>
      </c>
      <c r="G1583" s="145"/>
      <c r="H1583" s="141"/>
      <c r="I1583" s="141"/>
      <c r="J1583" s="141"/>
      <c r="K1583" s="141"/>
      <c r="L1583" s="141"/>
      <c r="M1583" s="141"/>
      <c r="N1583" s="54"/>
      <c r="O1583" s="54"/>
      <c r="P1583" s="54"/>
      <c r="Q1583" s="54"/>
      <c r="R1583" s="54"/>
      <c r="S1583" s="54"/>
      <c r="T1583" s="54"/>
    </row>
    <row r="1584" spans="1:20" ht="15" customHeight="1" x14ac:dyDescent="0.2">
      <c r="A1584" s="48" t="s">
        <v>327</v>
      </c>
      <c r="B1584" s="143" t="str">
        <f>IF(ISBLANK(A1584),"",IF(AND(ISNA(VLOOKUP(A1584,Interface_Platform!E:E,1,FALSE())),ISNA(VLOOKUP(A1584,D:D,1,FALSE()))),"N","Y"))</f>
        <v>Y</v>
      </c>
      <c r="C1584" s="48"/>
      <c r="D1584" s="143" t="s">
        <v>454</v>
      </c>
      <c r="E1584" s="46">
        <v>6</v>
      </c>
      <c r="F1584" s="144" t="str">
        <f>IF(AND(ISNA(VLOOKUP(D1584,A:A,1,FALSE())),ISNA(VLOOKUP(D1584,BaseType!A:A,1,FALSE())),D1584&lt;&gt;"Struct"),"N","Y")</f>
        <v>Y</v>
      </c>
      <c r="G1584" s="145" t="s">
        <v>2319</v>
      </c>
      <c r="H1584" s="141"/>
      <c r="I1584" s="141"/>
      <c r="J1584" s="141"/>
      <c r="K1584" s="141"/>
      <c r="L1584" s="141"/>
      <c r="M1584" s="141"/>
      <c r="N1584" s="54"/>
      <c r="O1584" s="54"/>
      <c r="P1584" s="54"/>
      <c r="Q1584" s="54"/>
      <c r="R1584" s="54"/>
      <c r="S1584" s="54"/>
      <c r="T1584" s="54"/>
    </row>
    <row r="1585" spans="1:20" ht="15" customHeight="1" x14ac:dyDescent="0.2">
      <c r="A1585" s="48" t="s">
        <v>2321</v>
      </c>
      <c r="B1585" s="143" t="str">
        <f>IF(ISBLANK(A1585),"",IF(AND(ISNA(VLOOKUP(A1585,Interface_Platform!E:E,1,FALSE())),ISNA(VLOOKUP(A1585,D:D,1,FALSE()))),"N","Y"))</f>
        <v>Y</v>
      </c>
      <c r="C1585" s="48"/>
      <c r="D1585" s="143" t="s">
        <v>484</v>
      </c>
      <c r="E1585" s="46"/>
      <c r="F1585" s="144" t="str">
        <f>IF(AND(ISNA(VLOOKUP(D1585,A:A,1,FALSE())),ISNA(VLOOKUP(D1585,BaseType!A:A,1,FALSE())),D1585&lt;&gt;"Struct"),"N","Y")</f>
        <v>Y</v>
      </c>
      <c r="G1585" s="145"/>
      <c r="H1585" s="141"/>
      <c r="I1585" s="141"/>
      <c r="J1585" s="141"/>
      <c r="K1585" s="141"/>
      <c r="L1585" s="141"/>
      <c r="M1585" s="141"/>
      <c r="N1585" s="54"/>
      <c r="O1585" s="54"/>
      <c r="P1585" s="54"/>
      <c r="Q1585" s="54"/>
      <c r="R1585" s="54"/>
      <c r="S1585" s="54"/>
      <c r="T1585" s="54"/>
    </row>
    <row r="1586" spans="1:20" ht="15" customHeight="1" x14ac:dyDescent="0.2">
      <c r="A1586" s="48"/>
      <c r="B1586" s="143" t="str">
        <f>IF(ISBLANK(A1586),"",IF(AND(ISNA(VLOOKUP(A1586,Interface_Platform!E:E,1,FALSE())),ISNA(VLOOKUP(A1586,D:D,1,FALSE()))),"N","Y"))</f>
        <v/>
      </c>
      <c r="C1586" s="48" t="s">
        <v>1319</v>
      </c>
      <c r="D1586" s="143" t="s">
        <v>193</v>
      </c>
      <c r="E1586" s="46">
        <v>1</v>
      </c>
      <c r="F1586" s="144" t="str">
        <f>IF(AND(ISNA(VLOOKUP(D1586,A:A,1,FALSE())),ISNA(VLOOKUP(D1586,BaseType!A:A,1,FALSE())),D1586&lt;&gt;"Struct"),"N","Y")</f>
        <v>Y</v>
      </c>
      <c r="G1586" s="145" t="s">
        <v>2312</v>
      </c>
      <c r="H1586" s="141"/>
      <c r="I1586" s="141"/>
      <c r="J1586" s="141"/>
      <c r="K1586" s="141"/>
      <c r="L1586" s="141"/>
      <c r="M1586" s="141"/>
      <c r="N1586" s="54"/>
      <c r="O1586" s="54"/>
      <c r="P1586" s="54"/>
      <c r="Q1586" s="54"/>
      <c r="R1586" s="54"/>
      <c r="S1586" s="54"/>
      <c r="T1586" s="54"/>
    </row>
    <row r="1587" spans="1:20" ht="18" customHeight="1" x14ac:dyDescent="0.2">
      <c r="A1587" s="48"/>
      <c r="B1587" s="143" t="str">
        <f>IF(ISBLANK(A1587),"",IF(AND(ISNA(VLOOKUP(A1587,Interface_Platform!E:E,1,FALSE())),ISNA(VLOOKUP(A1587,D:D,1,FALSE()))),"N","Y"))</f>
        <v/>
      </c>
      <c r="C1587" s="48" t="s">
        <v>2322</v>
      </c>
      <c r="D1587" s="143" t="s">
        <v>225</v>
      </c>
      <c r="E1587" s="46">
        <v>1</v>
      </c>
      <c r="F1587" s="144" t="str">
        <f>IF(AND(ISNA(VLOOKUP(D1587,A:A,1,FALSE())),ISNA(VLOOKUP(D1587,BaseType!A:A,1,FALSE())),D1587&lt;&gt;"Struct"),"N","Y")</f>
        <v>Y</v>
      </c>
      <c r="G1587" s="145" t="s">
        <v>2323</v>
      </c>
      <c r="H1587" s="141"/>
      <c r="I1587" s="141"/>
      <c r="J1587" s="141"/>
      <c r="K1587" s="141"/>
      <c r="L1587" s="141"/>
      <c r="M1587" s="141"/>
      <c r="N1587" s="54"/>
      <c r="O1587" s="54"/>
      <c r="P1587" s="54"/>
      <c r="Q1587" s="54"/>
      <c r="R1587" s="54"/>
      <c r="S1587" s="54"/>
      <c r="T1587" s="54"/>
    </row>
    <row r="1588" spans="1:20" ht="18" customHeight="1" x14ac:dyDescent="0.2">
      <c r="A1588" s="48"/>
      <c r="B1588" s="143" t="str">
        <f>IF(ISBLANK(A1588),"",IF(AND(ISNA(VLOOKUP(A1588,Interface_Platform!E:E,1,FALSE())),ISNA(VLOOKUP(A1588,D:D,1,FALSE()))),"N","Y"))</f>
        <v/>
      </c>
      <c r="C1588" s="48" t="s">
        <v>2324</v>
      </c>
      <c r="D1588" s="143" t="s">
        <v>225</v>
      </c>
      <c r="E1588" s="46">
        <v>1</v>
      </c>
      <c r="F1588" s="144" t="str">
        <f>IF(AND(ISNA(VLOOKUP(D1588,A:A,1,FALSE())),ISNA(VLOOKUP(D1588,BaseType!A:A,1,FALSE())),D1588&lt;&gt;"Struct"),"N","Y")</f>
        <v>Y</v>
      </c>
      <c r="G1588" s="145" t="s">
        <v>2325</v>
      </c>
      <c r="H1588" s="141"/>
      <c r="I1588" s="141"/>
      <c r="J1588" s="141"/>
      <c r="K1588" s="141"/>
      <c r="L1588" s="141"/>
      <c r="M1588" s="141"/>
      <c r="N1588" s="54"/>
      <c r="O1588" s="54"/>
      <c r="P1588" s="54"/>
      <c r="Q1588" s="54"/>
      <c r="R1588" s="54"/>
      <c r="S1588" s="54"/>
      <c r="T1588" s="54"/>
    </row>
    <row r="1589" spans="1:20" ht="15" customHeight="1" x14ac:dyDescent="0.2">
      <c r="A1589" s="48"/>
      <c r="B1589" s="143" t="str">
        <f>IF(ISBLANK(A1589),"",IF(AND(ISNA(VLOOKUP(A1589,Interface_Platform!E:E,1,FALSE())),ISNA(VLOOKUP(A1589,D:D,1,FALSE()))),"N","Y"))</f>
        <v/>
      </c>
      <c r="C1589" s="48" t="s">
        <v>2326</v>
      </c>
      <c r="D1589" s="143" t="s">
        <v>225</v>
      </c>
      <c r="E1589" s="46">
        <v>1</v>
      </c>
      <c r="F1589" s="144" t="str">
        <f>IF(AND(ISNA(VLOOKUP(D1589,A:A,1,FALSE())),ISNA(VLOOKUP(D1589,BaseType!A:A,1,FALSE())),D1589&lt;&gt;"Struct"),"N","Y")</f>
        <v>Y</v>
      </c>
      <c r="G1589" s="145" t="s">
        <v>2327</v>
      </c>
      <c r="H1589" s="141"/>
      <c r="I1589" s="141"/>
      <c r="J1589" s="141"/>
      <c r="K1589" s="141"/>
      <c r="L1589" s="141"/>
      <c r="M1589" s="141"/>
      <c r="N1589" s="54"/>
      <c r="O1589" s="54"/>
      <c r="P1589" s="54"/>
      <c r="Q1589" s="54"/>
      <c r="R1589" s="54"/>
      <c r="S1589" s="54"/>
      <c r="T1589" s="54"/>
    </row>
    <row r="1590" spans="1:20" ht="15" customHeight="1" x14ac:dyDescent="0.2">
      <c r="A1590" s="48" t="s">
        <v>322</v>
      </c>
      <c r="B1590" s="143" t="str">
        <f>IF(ISBLANK(A1590),"",IF(AND(ISNA(VLOOKUP(A1590,Interface_Platform!E:E,1,FALSE())),ISNA(VLOOKUP(A1590,D:D,1,FALSE()))),"N","Y"))</f>
        <v>Y</v>
      </c>
      <c r="C1590" s="48"/>
      <c r="D1590" s="48" t="s">
        <v>2321</v>
      </c>
      <c r="E1590" s="46">
        <v>3</v>
      </c>
      <c r="F1590" s="144" t="str">
        <f>IF(AND(ISNA(VLOOKUP(D1590,A:A,1,FALSE())),ISNA(VLOOKUP(D1590,BaseType!A:A,1,FALSE())),D1590&lt;&gt;"Struct"),"N","Y")</f>
        <v>Y</v>
      </c>
      <c r="G1590" s="145"/>
      <c r="H1590" s="141"/>
      <c r="I1590" s="141"/>
      <c r="J1590" s="141"/>
      <c r="K1590" s="141"/>
      <c r="L1590" s="141"/>
      <c r="M1590" s="141"/>
      <c r="N1590" s="54"/>
      <c r="O1590" s="54"/>
      <c r="P1590" s="54"/>
      <c r="Q1590" s="54"/>
      <c r="R1590" s="54"/>
      <c r="S1590" s="54"/>
      <c r="T1590" s="54"/>
    </row>
    <row r="1591" spans="1:20" ht="15" customHeight="1" x14ac:dyDescent="0.2">
      <c r="A1591" s="48" t="s">
        <v>2293</v>
      </c>
      <c r="B1591" s="143" t="str">
        <f>IF(ISBLANK(A1591),"",IF(AND(ISNA(VLOOKUP(A1591,Interface_Platform!E:E,1,FALSE())),ISNA(VLOOKUP(A1591,D:D,1,FALSE()))),"N","Y"))</f>
        <v>Y</v>
      </c>
      <c r="C1591" s="48"/>
      <c r="D1591" s="143" t="s">
        <v>484</v>
      </c>
      <c r="E1591" s="46"/>
      <c r="F1591" s="144" t="str">
        <f>IF(AND(ISNA(VLOOKUP(D1591,A:A,1,FALSE())),ISNA(VLOOKUP(D1591,BaseType!A:A,1,FALSE())),D1591&lt;&gt;"Struct"),"N","Y")</f>
        <v>Y</v>
      </c>
      <c r="G1591" s="145"/>
      <c r="H1591" s="141"/>
      <c r="I1591" s="141"/>
      <c r="J1591" s="141"/>
      <c r="K1591" s="141"/>
      <c r="L1591" s="141"/>
      <c r="M1591" s="141"/>
      <c r="N1591" s="54"/>
      <c r="O1591" s="54"/>
      <c r="P1591" s="54"/>
      <c r="Q1591" s="54"/>
      <c r="R1591" s="54"/>
      <c r="S1591" s="54"/>
      <c r="T1591" s="54"/>
    </row>
    <row r="1592" spans="1:20" ht="15" customHeight="1" x14ac:dyDescent="0.2">
      <c r="A1592" s="48"/>
      <c r="B1592" s="143" t="str">
        <f>IF(ISBLANK(A1592),"",IF(AND(ISNA(VLOOKUP(A1592,Interface_Platform!E:E,1,FALSE())),ISNA(VLOOKUP(A1592,D:D,1,FALSE()))),"N","Y"))</f>
        <v/>
      </c>
      <c r="C1592" s="48" t="s">
        <v>973</v>
      </c>
      <c r="D1592" s="48" t="s">
        <v>298</v>
      </c>
      <c r="E1592" s="46">
        <v>1</v>
      </c>
      <c r="F1592" s="144" t="str">
        <f>IF(AND(ISNA(VLOOKUP(D1592,A:A,1,FALSE())),ISNA(VLOOKUP(D1592,BaseType!A:A,1,FALSE())),D1592&lt;&gt;"Struct"),"N","Y")</f>
        <v>Y</v>
      </c>
      <c r="G1592" s="153"/>
      <c r="H1592" s="141"/>
      <c r="I1592" s="141"/>
      <c r="J1592" s="141"/>
      <c r="K1592" s="141"/>
      <c r="L1592" s="141"/>
      <c r="M1592" s="141"/>
      <c r="N1592" s="54"/>
      <c r="O1592" s="54"/>
      <c r="P1592" s="54"/>
      <c r="Q1592" s="54"/>
      <c r="R1592" s="54"/>
      <c r="S1592" s="54"/>
      <c r="T1592" s="54"/>
    </row>
    <row r="1593" spans="1:20" ht="15" customHeight="1" x14ac:dyDescent="0.2">
      <c r="A1593" s="48"/>
      <c r="B1593" s="141"/>
      <c r="C1593" s="48" t="s">
        <v>2328</v>
      </c>
      <c r="D1593" s="48" t="s">
        <v>193</v>
      </c>
      <c r="E1593" s="46">
        <v>1</v>
      </c>
      <c r="F1593" s="144" t="str">
        <f>IF(AND(ISNA(VLOOKUP(D1593,A:A,1,FALSE())),ISNA(VLOOKUP(D1593,BaseType!A:A,1,FALSE())),D1593&lt;&gt;"Struct"),"N","Y")</f>
        <v>Y</v>
      </c>
      <c r="G1593" s="153" t="s">
        <v>2329</v>
      </c>
      <c r="H1593" s="141"/>
      <c r="I1593" s="141"/>
      <c r="J1593" s="141"/>
      <c r="K1593" s="141"/>
      <c r="L1593" s="141"/>
      <c r="M1593" s="141"/>
      <c r="N1593" s="54"/>
      <c r="O1593" s="54"/>
      <c r="P1593" s="54"/>
      <c r="Q1593" s="54"/>
      <c r="R1593" s="54"/>
      <c r="S1593" s="54"/>
      <c r="T1593" s="54"/>
    </row>
    <row r="1594" spans="1:20" ht="15" customHeight="1" x14ac:dyDescent="0.2">
      <c r="A1594" s="48"/>
      <c r="B1594" s="141"/>
      <c r="C1594" s="48" t="s">
        <v>2330</v>
      </c>
      <c r="D1594" s="48" t="s">
        <v>193</v>
      </c>
      <c r="E1594" s="46">
        <v>1</v>
      </c>
      <c r="F1594" s="158" t="str">
        <f>IF(AND(ISNA(VLOOKUP(D1594,A:A,1,FALSE())),ISNA(VLOOKUP(D1594,BaseType!A:A,1,FALSE())),D1594&lt;&gt;"Struct"),"N","Y")</f>
        <v>Y</v>
      </c>
      <c r="G1594" s="153" t="s">
        <v>2331</v>
      </c>
      <c r="H1594" s="141"/>
      <c r="I1594" s="141"/>
      <c r="J1594" s="141"/>
      <c r="K1594" s="141"/>
      <c r="L1594" s="141"/>
      <c r="M1594" s="141"/>
      <c r="N1594" s="54"/>
      <c r="O1594" s="54"/>
      <c r="P1594" s="54"/>
      <c r="Q1594" s="54"/>
      <c r="R1594" s="54"/>
      <c r="S1594" s="54"/>
      <c r="T1594" s="54"/>
    </row>
    <row r="1595" spans="1:20" ht="15" customHeight="1" x14ac:dyDescent="0.2">
      <c r="A1595" s="48"/>
      <c r="B1595" s="141"/>
      <c r="C1595" s="48" t="s">
        <v>2332</v>
      </c>
      <c r="D1595" s="48" t="s">
        <v>225</v>
      </c>
      <c r="E1595" s="46">
        <v>1</v>
      </c>
      <c r="F1595" s="158" t="str">
        <f>IF(AND(ISNA(VLOOKUP(D1595,A:A,1,FALSE())),ISNA(VLOOKUP(D1595,BaseType!A:A,1,FALSE())),D1595&lt;&gt;"Struct"),"N","Y")</f>
        <v>Y</v>
      </c>
      <c r="G1595" s="153" t="s">
        <v>2333</v>
      </c>
      <c r="H1595" s="141"/>
      <c r="I1595" s="141"/>
      <c r="J1595" s="141"/>
      <c r="K1595" s="141"/>
      <c r="L1595" s="141"/>
      <c r="M1595" s="141"/>
      <c r="N1595" s="54"/>
      <c r="O1595" s="54"/>
      <c r="P1595" s="54"/>
      <c r="Q1595" s="54"/>
      <c r="R1595" s="54"/>
      <c r="S1595" s="54"/>
      <c r="T1595" s="54"/>
    </row>
    <row r="1596" spans="1:20" ht="15" customHeight="1" x14ac:dyDescent="0.2">
      <c r="A1596" s="48"/>
      <c r="B1596" s="141"/>
      <c r="C1596" s="48" t="s">
        <v>2334</v>
      </c>
      <c r="D1596" s="48" t="s">
        <v>193</v>
      </c>
      <c r="E1596" s="46">
        <v>1</v>
      </c>
      <c r="F1596" s="158" t="str">
        <f>IF(AND(ISNA(VLOOKUP(D1596,A:A,1,FALSE())),ISNA(VLOOKUP(D1596,BaseType!A:A,1,FALSE())),D1596&lt;&gt;"Struct"),"N","Y")</f>
        <v>Y</v>
      </c>
      <c r="G1596" s="153" t="s">
        <v>2335</v>
      </c>
      <c r="H1596" s="141"/>
      <c r="I1596" s="141"/>
      <c r="J1596" s="141"/>
      <c r="K1596" s="141"/>
      <c r="L1596" s="141"/>
      <c r="M1596" s="141"/>
      <c r="N1596" s="54"/>
      <c r="O1596" s="54"/>
      <c r="P1596" s="54"/>
      <c r="Q1596" s="54"/>
      <c r="R1596" s="54"/>
      <c r="S1596" s="54"/>
      <c r="T1596" s="54"/>
    </row>
    <row r="1597" spans="1:20" ht="15" customHeight="1" x14ac:dyDescent="0.2">
      <c r="A1597" s="48"/>
      <c r="B1597" s="141"/>
      <c r="C1597" s="48" t="s">
        <v>1938</v>
      </c>
      <c r="D1597" s="48" t="s">
        <v>193</v>
      </c>
      <c r="E1597" s="46">
        <v>1</v>
      </c>
      <c r="F1597" s="144" t="str">
        <f>IF(AND(ISNA(VLOOKUP(D1597,A:A,1,FALSE())),ISNA(VLOOKUP(D1597,BaseType!A:A,1,FALSE())),D1597&lt;&gt;"Struct"),"N","Y")</f>
        <v>Y</v>
      </c>
      <c r="G1597" s="153" t="s">
        <v>2336</v>
      </c>
      <c r="H1597" s="141"/>
      <c r="I1597" s="141"/>
      <c r="J1597" s="141"/>
      <c r="K1597" s="141"/>
      <c r="L1597" s="141"/>
      <c r="M1597" s="141"/>
      <c r="N1597" s="54"/>
      <c r="O1597" s="54"/>
      <c r="P1597" s="54"/>
      <c r="Q1597" s="54"/>
      <c r="R1597" s="54"/>
      <c r="S1597" s="54"/>
      <c r="T1597" s="54"/>
    </row>
    <row r="1598" spans="1:20" ht="15" customHeight="1" x14ac:dyDescent="0.2">
      <c r="A1598" s="48"/>
      <c r="B1598" s="141"/>
      <c r="C1598" s="48" t="s">
        <v>2337</v>
      </c>
      <c r="D1598" s="48" t="s">
        <v>225</v>
      </c>
      <c r="E1598" s="46">
        <v>1</v>
      </c>
      <c r="F1598" s="144" t="str">
        <f>IF(AND(ISNA(VLOOKUP(D1598,A:A,1,FALSE())),ISNA(VLOOKUP(D1598,BaseType!A:A,1,FALSE())),D1598&lt;&gt;"Struct"),"N","Y")</f>
        <v>Y</v>
      </c>
      <c r="G1598" s="153" t="s">
        <v>2338</v>
      </c>
      <c r="H1598" s="141"/>
      <c r="I1598" s="141"/>
      <c r="J1598" s="141"/>
      <c r="K1598" s="141"/>
      <c r="L1598" s="141"/>
      <c r="M1598" s="141"/>
      <c r="N1598" s="54"/>
      <c r="O1598" s="54"/>
      <c r="P1598" s="54"/>
      <c r="Q1598" s="54"/>
      <c r="R1598" s="54"/>
      <c r="S1598" s="54"/>
      <c r="T1598" s="54"/>
    </row>
    <row r="1599" spans="1:20" ht="15" customHeight="1" x14ac:dyDescent="0.2">
      <c r="A1599" s="48"/>
      <c r="B1599" s="141"/>
      <c r="C1599" s="48" t="s">
        <v>2339</v>
      </c>
      <c r="D1599" s="48" t="s">
        <v>2251</v>
      </c>
      <c r="E1599" s="46">
        <v>1</v>
      </c>
      <c r="F1599" s="144" t="str">
        <f>IF(AND(ISNA(VLOOKUP(D1599,A:A,1,FALSE())),ISNA(VLOOKUP(D1599,BaseType!A:A,1,FALSE())),D1599&lt;&gt;"Struct"),"N","Y")</f>
        <v>Y</v>
      </c>
      <c r="G1599" s="153" t="s">
        <v>2340</v>
      </c>
      <c r="H1599" s="141"/>
      <c r="I1599" s="141"/>
      <c r="J1599" s="141"/>
      <c r="K1599" s="141"/>
      <c r="L1599" s="141"/>
      <c r="M1599" s="141"/>
      <c r="N1599" s="54"/>
      <c r="O1599" s="54"/>
      <c r="P1599" s="54"/>
      <c r="Q1599" s="54"/>
      <c r="R1599" s="54"/>
      <c r="S1599" s="54"/>
      <c r="T1599" s="54"/>
    </row>
    <row r="1600" spans="1:20" ht="15" customHeight="1" x14ac:dyDescent="0.2">
      <c r="A1600" s="48" t="s">
        <v>2298</v>
      </c>
      <c r="B1600" s="143" t="str">
        <f>IF(ISBLANK(A1600),"",IF(AND(ISNA(VLOOKUP(A1600,Interface_Platform!E:E,1,FALSE())),ISNA(VLOOKUP(A1600,D:D,1,FALSE()))),"N","Y"))</f>
        <v>Y</v>
      </c>
      <c r="C1600" s="48"/>
      <c r="D1600" s="143" t="s">
        <v>484</v>
      </c>
      <c r="E1600" s="46"/>
      <c r="F1600" s="144" t="str">
        <f>IF(AND(ISNA(VLOOKUP(D1600,A:A,1,FALSE())),ISNA(VLOOKUP(D1600,BaseType!A:A,1,FALSE())),D1600&lt;&gt;"Struct"),"N","Y")</f>
        <v>Y</v>
      </c>
      <c r="G1600" s="145"/>
      <c r="H1600" s="141"/>
      <c r="I1600" s="141"/>
      <c r="J1600" s="141"/>
      <c r="K1600" s="141"/>
      <c r="L1600" s="141"/>
      <c r="M1600" s="141"/>
      <c r="N1600" s="54"/>
      <c r="O1600" s="54"/>
      <c r="P1600" s="54"/>
      <c r="Q1600" s="54"/>
      <c r="R1600" s="54"/>
      <c r="S1600" s="54"/>
      <c r="T1600" s="54"/>
    </row>
    <row r="1601" spans="1:20" ht="15" customHeight="1" x14ac:dyDescent="0.2">
      <c r="A1601" s="48"/>
      <c r="B1601" s="141"/>
      <c r="C1601" s="48" t="s">
        <v>973</v>
      </c>
      <c r="D1601" s="48" t="s">
        <v>298</v>
      </c>
      <c r="E1601" s="46">
        <v>1</v>
      </c>
      <c r="F1601" s="144" t="str">
        <f>IF(AND(ISNA(VLOOKUP(D1601,A:A,1,FALSE())),ISNA(VLOOKUP(D1601,BaseType!A:A,1,FALSE())),D1601&lt;&gt;"Struct"),"N","Y")</f>
        <v>Y</v>
      </c>
      <c r="G1601" s="153"/>
      <c r="H1601" s="141"/>
      <c r="I1601" s="141"/>
      <c r="J1601" s="141"/>
      <c r="K1601" s="141"/>
      <c r="L1601" s="141"/>
      <c r="M1601" s="141"/>
      <c r="N1601" s="54"/>
      <c r="O1601" s="54"/>
      <c r="P1601" s="54"/>
      <c r="Q1601" s="54"/>
      <c r="R1601" s="54"/>
      <c r="S1601" s="54"/>
      <c r="T1601" s="54"/>
    </row>
    <row r="1602" spans="1:20" ht="15" customHeight="1" x14ac:dyDescent="0.2">
      <c r="A1602" s="48"/>
      <c r="B1602" s="141"/>
      <c r="C1602" s="48" t="s">
        <v>2341</v>
      </c>
      <c r="D1602" s="48" t="s">
        <v>193</v>
      </c>
      <c r="E1602" s="46">
        <v>1</v>
      </c>
      <c r="F1602" s="144" t="str">
        <f>IF(AND(ISNA(VLOOKUP(D1602,A:A,1,FALSE())),ISNA(VLOOKUP(D1602,BaseType!A:A,1,FALSE())),D1602&lt;&gt;"Struct"),"N","Y")</f>
        <v>Y</v>
      </c>
      <c r="G1602" s="153" t="s">
        <v>2342</v>
      </c>
      <c r="H1602" s="141"/>
      <c r="I1602" s="141"/>
      <c r="J1602" s="141"/>
      <c r="K1602" s="141"/>
      <c r="L1602" s="141"/>
      <c r="M1602" s="141"/>
      <c r="N1602" s="54"/>
      <c r="O1602" s="54"/>
      <c r="P1602" s="54"/>
      <c r="Q1602" s="54"/>
      <c r="R1602" s="54"/>
      <c r="S1602" s="54"/>
      <c r="T1602" s="54"/>
    </row>
    <row r="1603" spans="1:20" ht="15" customHeight="1" x14ac:dyDescent="0.2">
      <c r="A1603" s="48"/>
      <c r="B1603" s="141"/>
      <c r="C1603" s="48" t="s">
        <v>2343</v>
      </c>
      <c r="D1603" s="48" t="s">
        <v>193</v>
      </c>
      <c r="E1603" s="46">
        <v>1</v>
      </c>
      <c r="F1603" s="144" t="str">
        <f>IF(AND(ISNA(VLOOKUP(D1603,A:A,1,FALSE())),ISNA(VLOOKUP(D1603,BaseType!A:A,1,FALSE())),D1603&lt;&gt;"Struct"),"N","Y")</f>
        <v>Y</v>
      </c>
      <c r="G1603" s="153" t="s">
        <v>2344</v>
      </c>
      <c r="H1603" s="141"/>
      <c r="I1603" s="141"/>
      <c r="J1603" s="141"/>
      <c r="K1603" s="141"/>
      <c r="L1603" s="141"/>
      <c r="M1603" s="141"/>
      <c r="N1603" s="54"/>
      <c r="O1603" s="54"/>
      <c r="P1603" s="54"/>
      <c r="Q1603" s="54"/>
      <c r="R1603" s="54"/>
      <c r="S1603" s="54"/>
      <c r="T1603" s="54"/>
    </row>
    <row r="1604" spans="1:20" ht="15" customHeight="1" x14ac:dyDescent="0.2">
      <c r="A1604" s="48"/>
      <c r="B1604" s="141"/>
      <c r="C1604" s="48" t="s">
        <v>2339</v>
      </c>
      <c r="D1604" s="48" t="s">
        <v>2251</v>
      </c>
      <c r="E1604" s="46">
        <v>1</v>
      </c>
      <c r="F1604" s="144" t="str">
        <f>IF(AND(ISNA(VLOOKUP(D1604,A:A,1,FALSE())),ISNA(VLOOKUP(D1604,BaseType!A:A,1,FALSE())),D1604&lt;&gt;"Struct"),"N","Y")</f>
        <v>Y</v>
      </c>
      <c r="G1604" s="153" t="s">
        <v>2345</v>
      </c>
      <c r="H1604" s="141"/>
      <c r="I1604" s="141"/>
      <c r="J1604" s="141"/>
      <c r="K1604" s="141"/>
      <c r="L1604" s="141"/>
      <c r="M1604" s="141"/>
      <c r="N1604" s="54"/>
      <c r="O1604" s="54"/>
      <c r="P1604" s="54"/>
      <c r="Q1604" s="54"/>
      <c r="R1604" s="54"/>
      <c r="S1604" s="54"/>
      <c r="T1604" s="54"/>
    </row>
    <row r="1605" spans="1:20" ht="15" customHeight="1" x14ac:dyDescent="0.2">
      <c r="A1605" s="48" t="s">
        <v>2251</v>
      </c>
      <c r="B1605" s="143" t="str">
        <f>IF(ISBLANK(A1605),"",IF(AND(ISNA(VLOOKUP(A1605,Interface_Platform!E:E,1,FALSE())),ISNA(VLOOKUP(A1605,D:D,1,FALSE()))),"N","Y"))</f>
        <v>Y</v>
      </c>
      <c r="C1605" s="48"/>
      <c r="D1605" s="143" t="s">
        <v>484</v>
      </c>
      <c r="E1605" s="46"/>
      <c r="F1605" s="144" t="str">
        <f>IF(AND(ISNA(VLOOKUP(D1605,A:A,1,FALSE())),ISNA(VLOOKUP(D1605,BaseType!A:A,1,FALSE())),D1605&lt;&gt;"Struct"),"N","Y")</f>
        <v>Y</v>
      </c>
      <c r="G1605" s="145"/>
      <c r="H1605" s="141"/>
      <c r="I1605" s="141"/>
      <c r="J1605" s="141"/>
      <c r="K1605" s="141"/>
      <c r="L1605" s="141"/>
      <c r="M1605" s="141"/>
      <c r="N1605" s="54"/>
      <c r="O1605" s="54"/>
      <c r="P1605" s="54"/>
      <c r="Q1605" s="54"/>
      <c r="R1605" s="54"/>
      <c r="S1605" s="54"/>
      <c r="T1605" s="54"/>
    </row>
    <row r="1606" spans="1:20" ht="15" customHeight="1" x14ac:dyDescent="0.2">
      <c r="A1606" s="48"/>
      <c r="B1606" s="141"/>
      <c r="C1606" s="48" t="s">
        <v>2346</v>
      </c>
      <c r="D1606" s="48" t="s">
        <v>225</v>
      </c>
      <c r="E1606" s="46">
        <v>6</v>
      </c>
      <c r="F1606" s="144" t="str">
        <f>IF(AND(ISNA(VLOOKUP(D1606,A:A,1,FALSE())),ISNA(VLOOKUP(D1606,BaseType!A:A,1,FALSE())),D1606&lt;&gt;"Struct"),"N","Y")</f>
        <v>Y</v>
      </c>
      <c r="G1606" s="145" t="s">
        <v>2347</v>
      </c>
      <c r="H1606" s="141"/>
      <c r="I1606" s="141"/>
      <c r="J1606" s="141"/>
      <c r="K1606" s="141"/>
      <c r="L1606" s="141"/>
      <c r="M1606" s="141"/>
      <c r="N1606" s="54"/>
      <c r="O1606" s="54"/>
      <c r="P1606" s="54"/>
      <c r="Q1606" s="54"/>
      <c r="R1606" s="54"/>
      <c r="S1606" s="54"/>
      <c r="T1606" s="54"/>
    </row>
    <row r="1607" spans="1:20" ht="15" customHeight="1" x14ac:dyDescent="0.2">
      <c r="A1607" s="48"/>
      <c r="B1607" s="141"/>
      <c r="C1607" s="48" t="s">
        <v>2348</v>
      </c>
      <c r="D1607" s="48" t="s">
        <v>225</v>
      </c>
      <c r="E1607" s="46">
        <v>1</v>
      </c>
      <c r="F1607" s="144" t="str">
        <f>IF(AND(ISNA(VLOOKUP(D1607,A:A,1,FALSE())),ISNA(VLOOKUP(D1607,BaseType!A:A,1,FALSE())),D1607&lt;&gt;"Struct"),"N","Y")</f>
        <v>Y</v>
      </c>
      <c r="G1607" s="145" t="s">
        <v>2349</v>
      </c>
      <c r="H1607" s="141"/>
      <c r="I1607" s="141"/>
      <c r="J1607" s="141"/>
      <c r="K1607" s="141"/>
      <c r="L1607" s="141"/>
      <c r="M1607" s="141"/>
      <c r="N1607" s="54"/>
      <c r="O1607" s="54"/>
      <c r="P1607" s="54"/>
      <c r="Q1607" s="54"/>
      <c r="R1607" s="54"/>
      <c r="S1607" s="54"/>
      <c r="T1607" s="54"/>
    </row>
    <row r="1608" spans="1:20" ht="15" customHeight="1" x14ac:dyDescent="0.2">
      <c r="A1608" s="48"/>
      <c r="B1608" s="141"/>
      <c r="C1608" s="48" t="s">
        <v>2350</v>
      </c>
      <c r="D1608" s="48" t="s">
        <v>225</v>
      </c>
      <c r="E1608" s="46">
        <v>1</v>
      </c>
      <c r="F1608" s="144" t="str">
        <f>IF(AND(ISNA(VLOOKUP(D1608,A:A,1,FALSE())),ISNA(VLOOKUP(D1608,BaseType!A:A,1,FALSE())),D1608&lt;&gt;"Struct"),"N","Y")</f>
        <v>Y</v>
      </c>
      <c r="G1608" s="145" t="s">
        <v>2351</v>
      </c>
      <c r="H1608" s="141"/>
      <c r="I1608" s="141"/>
      <c r="J1608" s="141"/>
      <c r="K1608" s="141"/>
      <c r="L1608" s="141"/>
      <c r="M1608" s="141"/>
      <c r="N1608" s="54"/>
      <c r="O1608" s="54"/>
      <c r="P1608" s="54"/>
      <c r="Q1608" s="54"/>
      <c r="R1608" s="54"/>
      <c r="S1608" s="54"/>
      <c r="T1608" s="54"/>
    </row>
    <row r="1609" spans="1:20" ht="15" customHeight="1" x14ac:dyDescent="0.2">
      <c r="A1609" s="141" t="s">
        <v>331</v>
      </c>
      <c r="B1609" s="143" t="str">
        <f>IF(ISBLANK(A1609),"",IF(AND(ISNA(VLOOKUP(A1609,Interface_Platform!E:E,1,FALSE())),ISNA(VLOOKUP(A1609,D:D,1,FALSE()))),"N","Y"))</f>
        <v>Y</v>
      </c>
      <c r="C1609" s="48"/>
      <c r="D1609" s="143" t="s">
        <v>484</v>
      </c>
      <c r="E1609" s="46"/>
      <c r="F1609" s="144" t="str">
        <f>IF(AND(ISNA(VLOOKUP(D1609,A:A,1,FALSE())),ISNA(VLOOKUP(D1609,BaseType!A:A,1,FALSE())),D1609&lt;&gt;"Struct"),"N","Y")</f>
        <v>Y</v>
      </c>
      <c r="G1609" s="145"/>
      <c r="H1609" s="141"/>
      <c r="I1609" s="141"/>
      <c r="J1609" s="141"/>
      <c r="K1609" s="141"/>
      <c r="L1609" s="141"/>
      <c r="M1609" s="141"/>
      <c r="N1609" s="54"/>
      <c r="O1609" s="54"/>
      <c r="P1609" s="54"/>
      <c r="Q1609" s="54"/>
      <c r="R1609" s="54"/>
      <c r="S1609" s="54"/>
      <c r="T1609" s="54"/>
    </row>
    <row r="1610" spans="1:20" ht="15" customHeight="1" x14ac:dyDescent="0.2">
      <c r="A1610" s="141"/>
      <c r="B1610" s="141"/>
      <c r="C1610" s="48" t="s">
        <v>2352</v>
      </c>
      <c r="D1610" s="141" t="s">
        <v>2353</v>
      </c>
      <c r="E1610" s="46">
        <v>3</v>
      </c>
      <c r="F1610" s="144" t="str">
        <f>IF(AND(ISNA(VLOOKUP(D1610,A:A,1,FALSE())),ISNA(VLOOKUP(D1610,BaseType!A:A,1,FALSE())),D1610&lt;&gt;"Struct"),"N","Y")</f>
        <v>Y</v>
      </c>
      <c r="G1610" s="151" t="s">
        <v>2354</v>
      </c>
      <c r="H1610" s="141"/>
      <c r="I1610" s="141"/>
      <c r="J1610" s="141"/>
      <c r="K1610" s="141"/>
      <c r="L1610" s="141"/>
      <c r="M1610" s="141"/>
      <c r="N1610" s="54"/>
      <c r="O1610" s="54"/>
      <c r="P1610" s="54"/>
      <c r="Q1610" s="54"/>
      <c r="R1610" s="54"/>
      <c r="S1610" s="54"/>
      <c r="T1610" s="54"/>
    </row>
    <row r="1611" spans="1:20" ht="15" customHeight="1" x14ac:dyDescent="0.2">
      <c r="A1611" s="48"/>
      <c r="B1611" s="141"/>
      <c r="C1611" s="48" t="s">
        <v>2355</v>
      </c>
      <c r="D1611" s="141" t="s">
        <v>225</v>
      </c>
      <c r="E1611" s="46">
        <v>1</v>
      </c>
      <c r="F1611" s="144" t="str">
        <f>IF(AND(ISNA(VLOOKUP(D1611,A:A,1,FALSE())),ISNA(VLOOKUP(D1611,BaseType!A:A,1,FALSE())),D1611&lt;&gt;"Struct"),"N","Y")</f>
        <v>Y</v>
      </c>
      <c r="G1611" s="151" t="s">
        <v>2356</v>
      </c>
      <c r="H1611" s="141"/>
      <c r="I1611" s="141"/>
      <c r="J1611" s="141"/>
      <c r="K1611" s="141"/>
      <c r="L1611" s="141"/>
      <c r="M1611" s="141"/>
      <c r="N1611" s="54"/>
      <c r="O1611" s="54"/>
      <c r="P1611" s="54"/>
      <c r="Q1611" s="54"/>
      <c r="R1611" s="54"/>
      <c r="S1611" s="54"/>
      <c r="T1611" s="54"/>
    </row>
    <row r="1612" spans="1:20" ht="15" customHeight="1" x14ac:dyDescent="0.2">
      <c r="A1612" s="48"/>
      <c r="B1612" s="141"/>
      <c r="C1612" s="48" t="s">
        <v>2357</v>
      </c>
      <c r="D1612" s="91" t="s">
        <v>193</v>
      </c>
      <c r="E1612" s="46">
        <v>1</v>
      </c>
      <c r="F1612" s="144" t="str">
        <f>IF(AND(ISNA(VLOOKUP(D1612,A:A,1,FALSE())),ISNA(VLOOKUP(D1612,BaseType!A:A,1,FALSE())),D1612&lt;&gt;"Struct"),"N","Y")</f>
        <v>Y</v>
      </c>
      <c r="G1612" s="151" t="s">
        <v>2358</v>
      </c>
      <c r="H1612" s="141"/>
      <c r="I1612" s="141"/>
      <c r="J1612" s="141"/>
      <c r="K1612" s="141"/>
      <c r="L1612" s="141"/>
      <c r="M1612" s="141"/>
      <c r="N1612" s="54"/>
      <c r="O1612" s="54"/>
      <c r="P1612" s="54"/>
      <c r="Q1612" s="54"/>
      <c r="R1612" s="54"/>
      <c r="S1612" s="54"/>
      <c r="T1612" s="54"/>
    </row>
    <row r="1613" spans="1:20" ht="15" customHeight="1" x14ac:dyDescent="0.2">
      <c r="A1613" s="48"/>
      <c r="B1613" s="141"/>
      <c r="C1613" s="48" t="s">
        <v>2359</v>
      </c>
      <c r="D1613" s="141" t="s">
        <v>225</v>
      </c>
      <c r="E1613" s="46">
        <v>1</v>
      </c>
      <c r="F1613" s="144" t="str">
        <f>IF(AND(ISNA(VLOOKUP(D1613,A:A,1,FALSE())),ISNA(VLOOKUP(D1613,BaseType!A:A,1,FALSE())),D1613&lt;&gt;"Struct"),"N","Y")</f>
        <v>Y</v>
      </c>
      <c r="G1613" s="151" t="s">
        <v>2360</v>
      </c>
      <c r="H1613" s="141"/>
      <c r="I1613" s="141"/>
      <c r="J1613" s="141"/>
      <c r="K1613" s="141"/>
      <c r="L1613" s="141"/>
      <c r="M1613" s="141"/>
      <c r="N1613" s="54"/>
      <c r="O1613" s="54"/>
      <c r="P1613" s="54"/>
      <c r="Q1613" s="54"/>
      <c r="R1613" s="54"/>
      <c r="S1613" s="54"/>
      <c r="T1613" s="54"/>
    </row>
    <row r="1614" spans="1:20" ht="15" customHeight="1" x14ac:dyDescent="0.2">
      <c r="A1614" s="48"/>
      <c r="B1614" s="141"/>
      <c r="C1614" s="48" t="s">
        <v>2361</v>
      </c>
      <c r="D1614" s="141" t="s">
        <v>293</v>
      </c>
      <c r="E1614" s="46">
        <v>1</v>
      </c>
      <c r="F1614" s="144" t="str">
        <f>IF(AND(ISNA(VLOOKUP(D1614,A:A,1,FALSE())),ISNA(VLOOKUP(D1614,BaseType!A:A,1,FALSE())),D1614&lt;&gt;"Struct"),"N","Y")</f>
        <v>Y</v>
      </c>
      <c r="G1614" s="151" t="s">
        <v>2362</v>
      </c>
      <c r="H1614" s="141"/>
      <c r="I1614" s="141"/>
      <c r="J1614" s="141"/>
      <c r="K1614" s="141"/>
      <c r="L1614" s="141"/>
      <c r="M1614" s="141"/>
      <c r="N1614" s="54"/>
      <c r="O1614" s="54"/>
      <c r="P1614" s="54"/>
      <c r="Q1614" s="54"/>
      <c r="R1614" s="54"/>
      <c r="S1614" s="54"/>
      <c r="T1614" s="54"/>
    </row>
    <row r="1615" spans="1:20" ht="15" customHeight="1" x14ac:dyDescent="0.2">
      <c r="A1615" s="48"/>
      <c r="B1615" s="141"/>
      <c r="C1615" s="48" t="s">
        <v>2363</v>
      </c>
      <c r="D1615" s="141" t="s">
        <v>298</v>
      </c>
      <c r="E1615" s="46">
        <v>1</v>
      </c>
      <c r="F1615" s="144" t="str">
        <f>IF(AND(ISNA(VLOOKUP(D1615,A:A,1,FALSE())),ISNA(VLOOKUP(D1615,BaseType!A:A,1,FALSE())),D1615&lt;&gt;"Struct"),"N","Y")</f>
        <v>Y</v>
      </c>
      <c r="G1615" s="151" t="s">
        <v>2364</v>
      </c>
      <c r="H1615" s="141"/>
      <c r="I1615" s="141"/>
      <c r="J1615" s="141"/>
      <c r="K1615" s="141"/>
      <c r="L1615" s="141"/>
      <c r="M1615" s="141"/>
      <c r="N1615" s="54"/>
      <c r="O1615" s="54"/>
      <c r="P1615" s="54"/>
      <c r="Q1615" s="54"/>
      <c r="R1615" s="54"/>
      <c r="S1615" s="54"/>
      <c r="T1615" s="54"/>
    </row>
    <row r="1616" spans="1:20" ht="15" customHeight="1" x14ac:dyDescent="0.2">
      <c r="A1616" s="48" t="s">
        <v>2353</v>
      </c>
      <c r="B1616" s="143" t="str">
        <f>IF(ISBLANK(A1616),"",IF(AND(ISNA(VLOOKUP(A1616,Interface_Platform!E:E,1,FALSE())),ISNA(VLOOKUP(A1616,D:D,1,FALSE()))),"N","Y"))</f>
        <v>Y</v>
      </c>
      <c r="C1616" s="48"/>
      <c r="D1616" s="143" t="s">
        <v>484</v>
      </c>
      <c r="E1616" s="46"/>
      <c r="F1616" s="144" t="str">
        <f>IF(AND(ISNA(VLOOKUP(D1616,A:A,1,FALSE())),ISNA(VLOOKUP(D1616,BaseType!A:A,1,FALSE())),D1616&lt;&gt;"Struct"),"N","Y")</f>
        <v>Y</v>
      </c>
      <c r="G1616" s="145"/>
      <c r="H1616" s="141"/>
      <c r="I1616" s="141"/>
      <c r="J1616" s="141"/>
      <c r="K1616" s="141"/>
      <c r="L1616" s="141"/>
      <c r="M1616" s="141"/>
      <c r="N1616" s="54"/>
      <c r="O1616" s="54"/>
      <c r="P1616" s="54"/>
      <c r="Q1616" s="54"/>
      <c r="R1616" s="54"/>
      <c r="S1616" s="54"/>
      <c r="T1616" s="54"/>
    </row>
    <row r="1617" spans="1:20" ht="15" customHeight="1" x14ac:dyDescent="0.2">
      <c r="A1617" s="48"/>
      <c r="B1617" s="141"/>
      <c r="C1617" s="48" t="s">
        <v>2365</v>
      </c>
      <c r="D1617" s="91" t="s">
        <v>193</v>
      </c>
      <c r="E1617" s="46">
        <v>1</v>
      </c>
      <c r="F1617" s="144" t="str">
        <f>IF(AND(ISNA(VLOOKUP(D1617,A:A,1,FALSE())),ISNA(VLOOKUP(D1617,BaseType!A:A,1,FALSE())),D1617&lt;&gt;"Struct"),"N","Y")</f>
        <v>Y</v>
      </c>
      <c r="G1617" s="145" t="s">
        <v>2366</v>
      </c>
      <c r="H1617" s="141"/>
      <c r="I1617" s="141"/>
      <c r="J1617" s="141"/>
      <c r="K1617" s="141"/>
      <c r="L1617" s="141"/>
      <c r="M1617" s="141"/>
      <c r="N1617" s="54"/>
      <c r="O1617" s="54"/>
      <c r="P1617" s="54"/>
      <c r="Q1617" s="54"/>
      <c r="R1617" s="54"/>
      <c r="S1617" s="54"/>
      <c r="T1617" s="54"/>
    </row>
    <row r="1618" spans="1:20" ht="15" customHeight="1" x14ac:dyDescent="0.2">
      <c r="A1618" s="48"/>
      <c r="B1618" s="141"/>
      <c r="C1618" s="48" t="s">
        <v>2367</v>
      </c>
      <c r="D1618" s="91" t="s">
        <v>193</v>
      </c>
      <c r="E1618" s="46">
        <v>1</v>
      </c>
      <c r="F1618" s="144" t="str">
        <f>IF(AND(ISNA(VLOOKUP(D1618,A:A,1,FALSE())),ISNA(VLOOKUP(D1618,BaseType!A:A,1,FALSE())),D1618&lt;&gt;"Struct"),"N","Y")</f>
        <v>Y</v>
      </c>
      <c r="G1618" s="145" t="s">
        <v>2368</v>
      </c>
      <c r="H1618" s="141"/>
      <c r="I1618" s="141"/>
      <c r="J1618" s="141"/>
      <c r="K1618" s="141"/>
      <c r="L1618" s="141"/>
      <c r="M1618" s="141"/>
      <c r="N1618" s="54"/>
      <c r="O1618" s="54"/>
      <c r="P1618" s="54"/>
      <c r="Q1618" s="54"/>
      <c r="R1618" s="54"/>
      <c r="S1618" s="54"/>
      <c r="T1618" s="54"/>
    </row>
    <row r="1619" spans="1:20" ht="15" customHeight="1" x14ac:dyDescent="0.2">
      <c r="A1619" s="48"/>
      <c r="B1619" s="141"/>
      <c r="C1619" s="48" t="s">
        <v>2369</v>
      </c>
      <c r="D1619" s="91" t="s">
        <v>193</v>
      </c>
      <c r="E1619" s="46">
        <v>1</v>
      </c>
      <c r="F1619" s="144" t="str">
        <f>IF(AND(ISNA(VLOOKUP(D1619,A:A,1,FALSE())),ISNA(VLOOKUP(D1619,BaseType!A:A,1,FALSE())),D1619&lt;&gt;"Struct"),"N","Y")</f>
        <v>Y</v>
      </c>
      <c r="G1619" s="153" t="s">
        <v>2370</v>
      </c>
      <c r="H1619" s="141"/>
      <c r="I1619" s="141"/>
      <c r="J1619" s="141"/>
      <c r="K1619" s="141"/>
      <c r="L1619" s="141"/>
      <c r="M1619" s="141"/>
      <c r="N1619" s="54"/>
      <c r="O1619" s="54"/>
      <c r="P1619" s="54"/>
      <c r="Q1619" s="54"/>
      <c r="R1619" s="54"/>
      <c r="S1619" s="54"/>
      <c r="T1619" s="54"/>
    </row>
    <row r="1620" spans="1:20" ht="15" customHeight="1" x14ac:dyDescent="0.2">
      <c r="A1620" s="48"/>
      <c r="B1620" s="141"/>
      <c r="C1620" s="48" t="s">
        <v>2371</v>
      </c>
      <c r="D1620" s="91" t="s">
        <v>193</v>
      </c>
      <c r="E1620" s="46">
        <v>1</v>
      </c>
      <c r="F1620" s="144" t="str">
        <f>IF(AND(ISNA(VLOOKUP(D1620,A:A,1,FALSE())),ISNA(VLOOKUP(D1620,BaseType!A:A,1,FALSE())),D1620&lt;&gt;"Struct"),"N","Y")</f>
        <v>Y</v>
      </c>
      <c r="G1620" s="145" t="s">
        <v>2372</v>
      </c>
      <c r="H1620" s="141"/>
      <c r="I1620" s="141"/>
      <c r="J1620" s="141"/>
      <c r="K1620" s="141"/>
      <c r="L1620" s="141"/>
      <c r="M1620" s="141"/>
      <c r="N1620" s="54"/>
      <c r="O1620" s="54"/>
      <c r="P1620" s="54"/>
      <c r="Q1620" s="54"/>
      <c r="R1620" s="54"/>
      <c r="S1620" s="54"/>
      <c r="T1620" s="54"/>
    </row>
    <row r="1621" spans="1:20" ht="15" customHeight="1" x14ac:dyDescent="0.2">
      <c r="A1621" s="48"/>
      <c r="B1621" s="141"/>
      <c r="C1621" s="48" t="s">
        <v>2373</v>
      </c>
      <c r="D1621" s="48" t="s">
        <v>225</v>
      </c>
      <c r="E1621" s="46">
        <v>1</v>
      </c>
      <c r="F1621" s="144" t="str">
        <f>IF(AND(ISNA(VLOOKUP(D1621,A:A,1,FALSE())),ISNA(VLOOKUP(D1621,BaseType!A:A,1,FALSE())),D1621&lt;&gt;"Struct"),"N","Y")</f>
        <v>Y</v>
      </c>
      <c r="G1621" s="145" t="s">
        <v>2374</v>
      </c>
      <c r="H1621" s="141"/>
      <c r="I1621" s="141"/>
      <c r="J1621" s="141"/>
      <c r="K1621" s="141"/>
      <c r="L1621" s="141"/>
      <c r="M1621" s="141"/>
      <c r="N1621" s="54"/>
      <c r="O1621" s="54"/>
      <c r="P1621" s="54"/>
      <c r="Q1621" s="54"/>
      <c r="R1621" s="54"/>
      <c r="S1621" s="54"/>
      <c r="T1621" s="54"/>
    </row>
    <row r="1622" spans="1:20" ht="15" customHeight="1" x14ac:dyDescent="0.2">
      <c r="A1622" s="48" t="s">
        <v>2375</v>
      </c>
      <c r="B1622" s="143" t="str">
        <f>IF(ISBLANK(A1622),"",IF(AND(ISNA(VLOOKUP(A1622,Interface_Platform!E:E,1,FALSE())),ISNA(VLOOKUP(A1622,D:D,1,FALSE()))),"N","Y"))</f>
        <v>Y</v>
      </c>
      <c r="C1622" s="48"/>
      <c r="D1622" s="143" t="s">
        <v>484</v>
      </c>
      <c r="E1622" s="46"/>
      <c r="F1622" s="144" t="str">
        <f>IF(AND(ISNA(VLOOKUP(D1622,A:A,1,FALSE())),ISNA(VLOOKUP(D1622,BaseType!A:A,1,FALSE())),D1622&lt;&gt;"Struct"),"N","Y")</f>
        <v>Y</v>
      </c>
      <c r="G1622" s="145"/>
      <c r="H1622" s="141"/>
      <c r="I1622" s="141"/>
      <c r="J1622" s="141"/>
      <c r="K1622" s="141"/>
      <c r="L1622" s="141"/>
      <c r="M1622" s="141"/>
      <c r="N1622" s="54"/>
      <c r="O1622" s="54"/>
      <c r="P1622" s="54"/>
      <c r="Q1622" s="54"/>
      <c r="R1622" s="54"/>
      <c r="S1622" s="54"/>
      <c r="T1622" s="54"/>
    </row>
    <row r="1623" spans="1:20" ht="15" customHeight="1" x14ac:dyDescent="0.2">
      <c r="A1623" s="141"/>
      <c r="B1623" s="143" t="str">
        <f>IF(ISBLANK(A1623),"",IF(AND(ISNA(VLOOKUP(A1623,Interface_Platform!E:E,1,FALSE())),ISNA(VLOOKUP(A1623,D:D,1,FALSE()))),"N","Y"))</f>
        <v/>
      </c>
      <c r="C1623" s="48" t="s">
        <v>973</v>
      </c>
      <c r="D1623" s="48" t="s">
        <v>298</v>
      </c>
      <c r="E1623" s="46">
        <v>1</v>
      </c>
      <c r="F1623" s="144" t="str">
        <f>IF(AND(ISNA(VLOOKUP(D1623,A:A,1,FALSE())),ISNA(VLOOKUP(D1623,BaseType!A:A,1,FALSE())),D1623&lt;&gt;"Struct"),"N","Y")</f>
        <v>Y</v>
      </c>
      <c r="G1623" s="145" t="s">
        <v>2376</v>
      </c>
      <c r="H1623" s="141"/>
      <c r="I1623" s="141"/>
      <c r="J1623" s="141"/>
      <c r="K1623" s="141"/>
      <c r="L1623" s="141"/>
      <c r="M1623" s="141"/>
      <c r="N1623" s="54"/>
      <c r="O1623" s="54"/>
      <c r="P1623" s="54"/>
      <c r="Q1623" s="54"/>
      <c r="R1623" s="54"/>
      <c r="S1623" s="54"/>
      <c r="T1623" s="54"/>
    </row>
    <row r="1624" spans="1:20" ht="15" customHeight="1" x14ac:dyDescent="0.2">
      <c r="A1624" s="141"/>
      <c r="B1624" s="143" t="str">
        <f>IF(ISBLANK(A1624),"",IF(AND(ISNA(VLOOKUP(A1624,Interface_Platform!E:E,1,FALSE())),ISNA(VLOOKUP(A1624,D:D,1,FALSE()))),"N","Y"))</f>
        <v/>
      </c>
      <c r="C1624" s="48" t="s">
        <v>1938</v>
      </c>
      <c r="D1624" s="48" t="s">
        <v>193</v>
      </c>
      <c r="E1624" s="46">
        <v>1</v>
      </c>
      <c r="F1624" s="144" t="str">
        <f>IF(AND(ISNA(VLOOKUP(D1624,A:A,1,FALSE())),ISNA(VLOOKUP(D1624,BaseType!A:A,1,FALSE())),D1624&lt;&gt;"Struct"),"N","Y")</f>
        <v>Y</v>
      </c>
      <c r="G1624" s="145"/>
      <c r="H1624" s="141"/>
      <c r="I1624" s="141"/>
      <c r="J1624" s="141"/>
      <c r="K1624" s="141"/>
      <c r="L1624" s="141"/>
      <c r="M1624" s="141"/>
      <c r="N1624" s="54"/>
      <c r="O1624" s="54"/>
      <c r="P1624" s="54"/>
      <c r="Q1624" s="54"/>
      <c r="R1624" s="54"/>
      <c r="S1624" s="54"/>
      <c r="T1624" s="54"/>
    </row>
    <row r="1625" spans="1:20" ht="15" customHeight="1" x14ac:dyDescent="0.2">
      <c r="A1625" s="141"/>
      <c r="B1625" s="143" t="str">
        <f>IF(ISBLANK(A1625),"",IF(AND(ISNA(VLOOKUP(A1625,Interface_Platform!E:E,1,FALSE())),ISNA(VLOOKUP(A1625,D:D,1,FALSE()))),"N","Y"))</f>
        <v/>
      </c>
      <c r="C1625" s="48" t="s">
        <v>2377</v>
      </c>
      <c r="D1625" s="48" t="s">
        <v>193</v>
      </c>
      <c r="E1625" s="46">
        <v>1</v>
      </c>
      <c r="F1625" s="144" t="str">
        <f>IF(AND(ISNA(VLOOKUP(D1625,A:A,1,FALSE())),ISNA(VLOOKUP(D1625,BaseType!A:A,1,FALSE())),D1625&lt;&gt;"Struct"),"N","Y")</f>
        <v>Y</v>
      </c>
      <c r="G1625" s="145" t="s">
        <v>2378</v>
      </c>
      <c r="H1625" s="141"/>
      <c r="I1625" s="141"/>
      <c r="J1625" s="141"/>
      <c r="K1625" s="141"/>
      <c r="L1625" s="141"/>
      <c r="M1625" s="141"/>
      <c r="N1625" s="54"/>
      <c r="O1625" s="54"/>
      <c r="P1625" s="54"/>
      <c r="Q1625" s="54"/>
      <c r="R1625" s="54"/>
      <c r="S1625" s="54"/>
      <c r="T1625" s="54"/>
    </row>
    <row r="1626" spans="1:20" ht="15" customHeight="1" x14ac:dyDescent="0.2">
      <c r="A1626" s="141"/>
      <c r="B1626" s="143"/>
      <c r="C1626" s="48" t="s">
        <v>1906</v>
      </c>
      <c r="D1626" s="48" t="s">
        <v>193</v>
      </c>
      <c r="E1626" s="46">
        <v>1</v>
      </c>
      <c r="F1626" s="144" t="str">
        <f>IF(AND(ISNA(VLOOKUP(D1626,A:A,1,FALSE())),ISNA(VLOOKUP(D1626,BaseType!A:A,1,FALSE())),D1626&lt;&gt;"Struct"),"N","Y")</f>
        <v>Y</v>
      </c>
      <c r="G1626" s="145"/>
      <c r="H1626" s="141"/>
      <c r="I1626" s="141"/>
      <c r="J1626" s="141"/>
      <c r="K1626" s="141"/>
      <c r="L1626" s="141"/>
      <c r="M1626" s="141"/>
      <c r="N1626" s="54"/>
      <c r="O1626" s="54"/>
      <c r="P1626" s="54"/>
      <c r="Q1626" s="54"/>
      <c r="R1626" s="54"/>
      <c r="S1626" s="54"/>
      <c r="T1626" s="54"/>
    </row>
    <row r="1627" spans="1:20" ht="15" customHeight="1" x14ac:dyDescent="0.2">
      <c r="A1627" s="141"/>
      <c r="B1627" s="143" t="str">
        <f>IF(ISBLANK(A1627),"",IF(AND(ISNA(VLOOKUP(A1627,Interface_Platform!E:E,1,FALSE())),ISNA(VLOOKUP(A1627,D:D,1,FALSE()))),"N","Y"))</f>
        <v/>
      </c>
      <c r="C1627" s="48" t="s">
        <v>2379</v>
      </c>
      <c r="D1627" s="48" t="s">
        <v>1712</v>
      </c>
      <c r="E1627" s="46">
        <v>1</v>
      </c>
      <c r="F1627" s="144" t="str">
        <f>IF(AND(ISNA(VLOOKUP(D1627,A:A,1,FALSE())),ISNA(VLOOKUP(D1627,BaseType!A:A,1,FALSE())),D1627&lt;&gt;"Struct"),"N","Y")</f>
        <v>Y</v>
      </c>
      <c r="G1627" s="145" t="s">
        <v>2380</v>
      </c>
      <c r="H1627" s="141"/>
      <c r="I1627" s="141"/>
      <c r="J1627" s="141"/>
      <c r="K1627" s="141"/>
      <c r="L1627" s="141"/>
      <c r="M1627" s="141"/>
      <c r="N1627" s="54"/>
      <c r="O1627" s="54"/>
      <c r="P1627" s="54"/>
      <c r="Q1627" s="54"/>
      <c r="R1627" s="54"/>
      <c r="S1627" s="54"/>
      <c r="T1627" s="54"/>
    </row>
    <row r="1628" spans="1:20" ht="15" customHeight="1" x14ac:dyDescent="0.2">
      <c r="A1628" s="141"/>
      <c r="B1628" s="143" t="str">
        <f>IF(ISBLANK(A1628),"",IF(AND(ISNA(VLOOKUP(A1628,Interface_Platform!E:E,1,FALSE())),ISNA(VLOOKUP(A1628,D:D,1,FALSE()))),"N","Y"))</f>
        <v/>
      </c>
      <c r="C1628" s="48" t="s">
        <v>1747</v>
      </c>
      <c r="D1628" s="48" t="s">
        <v>362</v>
      </c>
      <c r="E1628" s="46">
        <v>1</v>
      </c>
      <c r="F1628" s="144" t="str">
        <f>IF(AND(ISNA(VLOOKUP(D1628,A:A,1,FALSE())),ISNA(VLOOKUP(D1628,BaseType!A:A,1,FALSE())),D1628&lt;&gt;"Struct"),"N","Y")</f>
        <v>Y</v>
      </c>
      <c r="G1628" s="145" t="s">
        <v>2381</v>
      </c>
      <c r="H1628" s="141"/>
      <c r="I1628" s="141"/>
      <c r="J1628" s="141"/>
      <c r="K1628" s="141"/>
      <c r="L1628" s="141"/>
      <c r="M1628" s="141"/>
      <c r="N1628" s="54"/>
      <c r="O1628" s="54"/>
      <c r="P1628" s="54"/>
      <c r="Q1628" s="54"/>
      <c r="R1628" s="54"/>
      <c r="S1628" s="54"/>
      <c r="T1628" s="54"/>
    </row>
    <row r="1629" spans="1:20" ht="15" customHeight="1" x14ac:dyDescent="0.2">
      <c r="A1629" s="141"/>
      <c r="B1629" s="143"/>
      <c r="C1629" s="48" t="s">
        <v>2382</v>
      </c>
      <c r="D1629" s="48" t="s">
        <v>1709</v>
      </c>
      <c r="E1629" s="46">
        <v>1</v>
      </c>
      <c r="F1629" s="144" t="str">
        <f>IF(AND(ISNA(VLOOKUP(D1629,A:A,1,FALSE())),ISNA(VLOOKUP(D1629,BaseType!A:A,1,FALSE())),D1629&lt;&gt;"Struct"),"N","Y")</f>
        <v>Y</v>
      </c>
      <c r="G1629" s="145" t="s">
        <v>2383</v>
      </c>
      <c r="H1629" s="141"/>
      <c r="I1629" s="141"/>
      <c r="J1629" s="141"/>
      <c r="K1629" s="141"/>
      <c r="L1629" s="141"/>
      <c r="M1629" s="141"/>
      <c r="N1629" s="54"/>
      <c r="O1629" s="54"/>
      <c r="P1629" s="54"/>
      <c r="Q1629" s="54"/>
      <c r="R1629" s="54"/>
      <c r="S1629" s="54"/>
      <c r="T1629" s="54"/>
    </row>
    <row r="1630" spans="1:20" ht="15" customHeight="1" x14ac:dyDescent="0.2">
      <c r="A1630" s="91"/>
      <c r="B1630" s="148"/>
      <c r="C1630" s="48" t="s">
        <v>2384</v>
      </c>
      <c r="D1630" s="48" t="s">
        <v>1709</v>
      </c>
      <c r="E1630" s="46">
        <v>1</v>
      </c>
      <c r="F1630" s="144" t="str">
        <f>IF(AND(ISNA(VLOOKUP(D1630,A:A,1,FALSE())),ISNA(VLOOKUP(D1630,BaseType!A:A,1,FALSE())),D1630&lt;&gt;"Struct"),"N","Y")</f>
        <v>Y</v>
      </c>
      <c r="G1630" s="153" t="s">
        <v>2385</v>
      </c>
      <c r="H1630" s="91"/>
      <c r="I1630" s="91"/>
      <c r="J1630" s="91"/>
      <c r="K1630" s="91"/>
      <c r="L1630" s="91"/>
      <c r="M1630" s="91"/>
      <c r="N1630" s="63"/>
      <c r="O1630" s="63"/>
      <c r="P1630" s="63"/>
      <c r="Q1630" s="63"/>
      <c r="R1630" s="63"/>
      <c r="S1630" s="63"/>
      <c r="T1630" s="63"/>
    </row>
    <row r="1631" spans="1:20" ht="15" customHeight="1" x14ac:dyDescent="0.2">
      <c r="A1631" s="91"/>
      <c r="B1631" s="148" t="str">
        <f>IF(ISBLANK(A1631),"",IF(AND(ISNA(VLOOKUP(A1631,Interface_Platform!E:E,1,FALSE())),ISNA(VLOOKUP(A1631,D:D,1,FALSE()))),"N","Y"))</f>
        <v/>
      </c>
      <c r="C1631" s="48" t="s">
        <v>2386</v>
      </c>
      <c r="D1631" s="48" t="s">
        <v>362</v>
      </c>
      <c r="E1631" s="46">
        <v>1</v>
      </c>
      <c r="F1631" s="144" t="str">
        <f>IF(AND(ISNA(VLOOKUP(D1631,A:A,1,FALSE())),ISNA(VLOOKUP(D1631,BaseType!A:A,1,FALSE())),D1631&lt;&gt;"Struct"),"N","Y")</f>
        <v>Y</v>
      </c>
      <c r="G1631" s="153" t="s">
        <v>2387</v>
      </c>
      <c r="H1631" s="91"/>
      <c r="I1631" s="91"/>
      <c r="J1631" s="91"/>
      <c r="K1631" s="91"/>
      <c r="L1631" s="91"/>
      <c r="M1631" s="91"/>
      <c r="N1631" s="63"/>
      <c r="O1631" s="63"/>
      <c r="P1631" s="63"/>
      <c r="Q1631" s="63"/>
      <c r="R1631" s="63"/>
      <c r="S1631" s="63"/>
      <c r="T1631" s="63"/>
    </row>
    <row r="1632" spans="1:20" ht="15" customHeight="1" x14ac:dyDescent="0.2">
      <c r="A1632" s="91"/>
      <c r="B1632" s="148"/>
      <c r="C1632" s="48" t="s">
        <v>2388</v>
      </c>
      <c r="D1632" s="48" t="s">
        <v>1709</v>
      </c>
      <c r="E1632" s="46">
        <v>1</v>
      </c>
      <c r="F1632" s="144" t="str">
        <f>IF(AND(ISNA(VLOOKUP(D1632,A:A,1,FALSE())),ISNA(VLOOKUP(D1632,BaseType!A:A,1,FALSE())),D1632&lt;&gt;"Struct"),"N","Y")</f>
        <v>Y</v>
      </c>
      <c r="G1632" s="153" t="s">
        <v>2389</v>
      </c>
      <c r="H1632" s="91"/>
      <c r="I1632" s="91"/>
      <c r="J1632" s="91"/>
      <c r="K1632" s="91"/>
      <c r="L1632" s="91"/>
      <c r="M1632" s="91"/>
      <c r="N1632" s="63"/>
      <c r="O1632" s="63"/>
      <c r="P1632" s="63"/>
      <c r="Q1632" s="63"/>
      <c r="R1632" s="63"/>
      <c r="S1632" s="63"/>
      <c r="T1632" s="63"/>
    </row>
    <row r="1633" spans="1:20" ht="15" customHeight="1" x14ac:dyDescent="0.2">
      <c r="A1633" s="141"/>
      <c r="B1633" s="143"/>
      <c r="C1633" s="48" t="s">
        <v>2390</v>
      </c>
      <c r="D1633" s="48" t="s">
        <v>1709</v>
      </c>
      <c r="E1633" s="46">
        <v>1</v>
      </c>
      <c r="F1633" s="144" t="str">
        <f>IF(AND(ISNA(VLOOKUP(D1633,A:A,1,FALSE())),ISNA(VLOOKUP(D1633,BaseType!A:A,1,FALSE())),D1633&lt;&gt;"Struct"),"N","Y")</f>
        <v>Y</v>
      </c>
      <c r="G1633" s="145"/>
      <c r="H1633" s="141"/>
      <c r="I1633" s="141"/>
      <c r="J1633" s="141"/>
      <c r="K1633" s="141"/>
      <c r="L1633" s="141"/>
      <c r="M1633" s="141"/>
      <c r="N1633" s="54"/>
      <c r="O1633" s="54"/>
      <c r="P1633" s="54"/>
      <c r="Q1633" s="54"/>
      <c r="R1633" s="54"/>
      <c r="S1633" s="54"/>
      <c r="T1633" s="54"/>
    </row>
    <row r="1634" spans="1:20" ht="15" customHeight="1" x14ac:dyDescent="0.2">
      <c r="A1634" s="141"/>
      <c r="B1634" s="143" t="str">
        <f>IF(ISBLANK(A1634),"",IF(AND(ISNA(VLOOKUP(A1634,Interface_Platform!E:E,1,FALSE())),ISNA(VLOOKUP(A1634,D:D,1,FALSE()))),"N","Y"))</f>
        <v/>
      </c>
      <c r="C1634" s="48" t="s">
        <v>1922</v>
      </c>
      <c r="D1634" s="48" t="s">
        <v>2391</v>
      </c>
      <c r="E1634" s="46">
        <v>1</v>
      </c>
      <c r="F1634" s="144" t="str">
        <f>IF(AND(ISNA(VLOOKUP(D1634,A:A,1,FALSE())),ISNA(VLOOKUP(D1634,BaseType!A:A,1,FALSE())),D1634&lt;&gt;"Struct"),"N","Y")</f>
        <v>Y</v>
      </c>
      <c r="G1634" s="145" t="s">
        <v>2392</v>
      </c>
      <c r="H1634" s="141"/>
      <c r="I1634" s="141"/>
      <c r="J1634" s="141"/>
      <c r="K1634" s="141"/>
      <c r="L1634" s="141"/>
      <c r="M1634" s="141"/>
      <c r="N1634" s="54"/>
      <c r="O1634" s="54"/>
      <c r="P1634" s="54"/>
      <c r="Q1634" s="54"/>
      <c r="R1634" s="54"/>
      <c r="S1634" s="54"/>
      <c r="T1634" s="54"/>
    </row>
    <row r="1635" spans="1:20" ht="15" customHeight="1" x14ac:dyDescent="0.2">
      <c r="A1635" s="141"/>
      <c r="B1635" s="143" t="str">
        <f>IF(ISBLANK(A1635),"",IF(AND(ISNA(VLOOKUP(A1635,Interface_Platform!E:E,1,FALSE())),ISNA(VLOOKUP(A1635,D:D,1,FALSE()))),"N","Y"))</f>
        <v/>
      </c>
      <c r="C1635" s="48" t="s">
        <v>2393</v>
      </c>
      <c r="D1635" s="48" t="s">
        <v>193</v>
      </c>
      <c r="E1635" s="46">
        <v>1</v>
      </c>
      <c r="F1635" s="144" t="str">
        <f>IF(AND(ISNA(VLOOKUP(D1635,A:A,1,FALSE())),ISNA(VLOOKUP(D1635,BaseType!A:A,1,FALSE())),D1635&lt;&gt;"Struct"),"N","Y")</f>
        <v>Y</v>
      </c>
      <c r="G1635" s="145" t="s">
        <v>2394</v>
      </c>
      <c r="H1635" s="141"/>
      <c r="I1635" s="141"/>
      <c r="J1635" s="141"/>
      <c r="K1635" s="141"/>
      <c r="L1635" s="141"/>
      <c r="M1635" s="141"/>
      <c r="N1635" s="54"/>
      <c r="O1635" s="54"/>
      <c r="P1635" s="54"/>
      <c r="Q1635" s="54"/>
      <c r="R1635" s="54"/>
      <c r="S1635" s="54"/>
      <c r="T1635" s="54"/>
    </row>
    <row r="1636" spans="1:20" ht="15" customHeight="1" x14ac:dyDescent="0.2">
      <c r="A1636" s="141"/>
      <c r="B1636" s="143" t="str">
        <f>IF(ISBLANK(A1636),"",IF(AND(ISNA(VLOOKUP(A1636,Interface_Platform!E:E,1,FALSE())),ISNA(VLOOKUP(A1636,D:D,1,FALSE()))),"N","Y"))</f>
        <v/>
      </c>
      <c r="C1636" s="48" t="s">
        <v>2199</v>
      </c>
      <c r="D1636" s="48" t="s">
        <v>193</v>
      </c>
      <c r="E1636" s="46">
        <v>1</v>
      </c>
      <c r="F1636" s="144" t="str">
        <f>IF(AND(ISNA(VLOOKUP(D1636,A:A,1,FALSE())),ISNA(VLOOKUP(D1636,BaseType!A:A,1,FALSE())),D1636&lt;&gt;"Struct"),"N","Y")</f>
        <v>Y</v>
      </c>
      <c r="G1636" s="145" t="s">
        <v>2395</v>
      </c>
      <c r="H1636" s="141"/>
      <c r="I1636" s="141"/>
      <c r="J1636" s="141"/>
      <c r="K1636" s="141"/>
      <c r="L1636" s="141"/>
      <c r="M1636" s="141"/>
      <c r="N1636" s="54"/>
      <c r="O1636" s="54"/>
      <c r="P1636" s="54"/>
      <c r="Q1636" s="54"/>
      <c r="R1636" s="54"/>
      <c r="S1636" s="54"/>
      <c r="T1636" s="54"/>
    </row>
    <row r="1637" spans="1:20" ht="15" customHeight="1" x14ac:dyDescent="0.2">
      <c r="A1637" s="48" t="s">
        <v>360</v>
      </c>
      <c r="B1637" s="48" t="str">
        <f>IF(ISBLANK(A1637),"",IF(AND(ISNA(VLOOKUP(A1637,Interface_Platform!E:E,1,FALSE())),ISNA(VLOOKUP(A1637,D:D,1,FALSE()))),"N","Y"))</f>
        <v>Y</v>
      </c>
      <c r="C1637" s="48"/>
      <c r="D1637" s="48" t="s">
        <v>2375</v>
      </c>
      <c r="E1637" s="46">
        <v>10</v>
      </c>
      <c r="F1637" s="144" t="str">
        <f>IF(AND(ISNA(VLOOKUP(D1637,A:A,1,FALSE())),ISNA(VLOOKUP(D1637,BaseType!A:A,1,FALSE())),D1637&lt;&gt;"Struct"),"N","Y")</f>
        <v>Y</v>
      </c>
      <c r="G1637" s="145"/>
      <c r="H1637" s="141"/>
      <c r="I1637" s="141"/>
      <c r="J1637" s="141"/>
      <c r="K1637" s="141"/>
      <c r="L1637" s="141"/>
      <c r="M1637" s="141"/>
      <c r="N1637" s="54"/>
      <c r="O1637" s="54"/>
      <c r="P1637" s="54"/>
      <c r="Q1637" s="54"/>
      <c r="R1637" s="54"/>
      <c r="S1637" s="54"/>
      <c r="T1637" s="54"/>
    </row>
    <row r="1638" spans="1:20" ht="15" customHeight="1" x14ac:dyDescent="0.2">
      <c r="A1638" s="48" t="s">
        <v>1712</v>
      </c>
      <c r="B1638" s="48" t="str">
        <f>IF(ISBLANK(A1638),"",IF(AND(ISNA(VLOOKUP(A1638,Interface_Platform!E:E,1,FALSE())),ISNA(VLOOKUP(A1638,D:D,1,FALSE()))),"N","Y"))</f>
        <v>Y</v>
      </c>
      <c r="C1638" s="48"/>
      <c r="D1638" s="164" t="s">
        <v>484</v>
      </c>
      <c r="E1638" s="46"/>
      <c r="F1638" s="144" t="str">
        <f>IF(AND(ISNA(VLOOKUP(D1638,A:A,1,FALSE())),ISNA(VLOOKUP(D1638,BaseType!A:A,1,FALSE())),D1638&lt;&gt;"Struct"),"N","Y")</f>
        <v>Y</v>
      </c>
      <c r="G1638" s="145"/>
      <c r="H1638" s="141"/>
      <c r="I1638" s="141"/>
      <c r="J1638" s="141"/>
      <c r="K1638" s="141"/>
      <c r="L1638" s="141"/>
      <c r="M1638" s="141"/>
      <c r="N1638" s="54"/>
      <c r="O1638" s="54"/>
      <c r="P1638" s="54"/>
      <c r="Q1638" s="54"/>
      <c r="R1638" s="54"/>
      <c r="S1638" s="54"/>
      <c r="T1638" s="54"/>
    </row>
    <row r="1639" spans="1:20" ht="15" customHeight="1" x14ac:dyDescent="0.2">
      <c r="A1639" s="48"/>
      <c r="B1639" s="48"/>
      <c r="C1639" s="48" t="s">
        <v>2396</v>
      </c>
      <c r="D1639" s="48" t="s">
        <v>225</v>
      </c>
      <c r="E1639" s="46">
        <v>4</v>
      </c>
      <c r="F1639" s="144" t="str">
        <f>IF(AND(ISNA(VLOOKUP(D1639,A:A,1,FALSE())),ISNA(VLOOKUP(D1639,BaseType!A:A,1,FALSE())),D1639&lt;&gt;"Struct"),"N","Y")</f>
        <v>Y</v>
      </c>
      <c r="G1639" s="145" t="s">
        <v>2397</v>
      </c>
      <c r="H1639" s="141"/>
      <c r="I1639" s="141"/>
      <c r="J1639" s="141"/>
      <c r="K1639" s="141"/>
      <c r="L1639" s="141"/>
      <c r="M1639" s="141"/>
      <c r="N1639" s="54"/>
      <c r="O1639" s="54"/>
      <c r="P1639" s="54"/>
      <c r="Q1639" s="54"/>
      <c r="R1639" s="54"/>
      <c r="S1639" s="54"/>
      <c r="T1639" s="54"/>
    </row>
    <row r="1640" spans="1:20" ht="15" customHeight="1" x14ac:dyDescent="0.2">
      <c r="A1640" s="48"/>
      <c r="B1640" s="48"/>
      <c r="C1640" s="48" t="s">
        <v>2398</v>
      </c>
      <c r="D1640" s="48" t="s">
        <v>225</v>
      </c>
      <c r="E1640" s="46">
        <v>4</v>
      </c>
      <c r="F1640" s="144" t="str">
        <f>IF(AND(ISNA(VLOOKUP(D1640,A:A,1,FALSE())),ISNA(VLOOKUP(D1640,BaseType!A:A,1,FALSE())),D1640&lt;&gt;"Struct"),"N","Y")</f>
        <v>Y</v>
      </c>
      <c r="G1640" s="145" t="s">
        <v>2397</v>
      </c>
      <c r="H1640" s="141"/>
      <c r="I1640" s="141"/>
      <c r="J1640" s="141"/>
      <c r="K1640" s="141"/>
      <c r="L1640" s="141"/>
      <c r="M1640" s="141"/>
      <c r="N1640" s="54"/>
      <c r="O1640" s="54"/>
      <c r="P1640" s="54"/>
      <c r="Q1640" s="54"/>
      <c r="R1640" s="54"/>
      <c r="S1640" s="54"/>
      <c r="T1640" s="54"/>
    </row>
    <row r="1641" spans="1:20" ht="15" customHeight="1" x14ac:dyDescent="0.2">
      <c r="A1641" s="48" t="s">
        <v>362</v>
      </c>
      <c r="B1641" s="48" t="str">
        <f>IF(ISBLANK(A1641),"",IF(AND(ISNA(VLOOKUP(A1641,Interface_Platform!E:E,1,FALSE())),ISNA(VLOOKUP(A1641,D:D,1,FALSE()))),"N","Y"))</f>
        <v>Y</v>
      </c>
      <c r="C1641" s="48"/>
      <c r="D1641" s="48" t="s">
        <v>484</v>
      </c>
      <c r="E1641" s="46"/>
      <c r="F1641" s="144" t="str">
        <f>IF(AND(ISNA(VLOOKUP(D1641,A:A,1,FALSE())),ISNA(VLOOKUP(D1641,BaseType!A:A,1,FALSE())),D1641&lt;&gt;"Struct"),"N","Y")</f>
        <v>Y</v>
      </c>
      <c r="G1641" s="145"/>
      <c r="H1641" s="141"/>
      <c r="I1641" s="141"/>
      <c r="J1641" s="141"/>
      <c r="K1641" s="141"/>
      <c r="L1641" s="141"/>
      <c r="M1641" s="141"/>
      <c r="N1641" s="54"/>
      <c r="O1641" s="54"/>
      <c r="P1641" s="54"/>
      <c r="Q1641" s="54"/>
      <c r="R1641" s="54"/>
      <c r="S1641" s="54"/>
      <c r="T1641" s="54"/>
    </row>
    <row r="1642" spans="1:20" ht="15" customHeight="1" x14ac:dyDescent="0.2">
      <c r="A1642" s="48"/>
      <c r="B1642" s="48"/>
      <c r="C1642" s="48" t="s">
        <v>132</v>
      </c>
      <c r="D1642" s="48" t="s">
        <v>225</v>
      </c>
      <c r="E1642" s="46">
        <v>1</v>
      </c>
      <c r="F1642" s="144" t="str">
        <f>IF(AND(ISNA(VLOOKUP(D1642,A:A,1,FALSE())),ISNA(VLOOKUP(D1642,BaseType!A:A,1,FALSE())),D1642&lt;&gt;"Struct"),"N","Y")</f>
        <v>Y</v>
      </c>
      <c r="G1642" s="145" t="s">
        <v>2399</v>
      </c>
      <c r="H1642" s="141"/>
      <c r="I1642" s="141"/>
      <c r="J1642" s="141"/>
      <c r="K1642" s="141"/>
      <c r="L1642" s="141"/>
      <c r="M1642" s="141"/>
      <c r="N1642" s="54"/>
      <c r="O1642" s="54"/>
      <c r="P1642" s="54"/>
      <c r="Q1642" s="54"/>
      <c r="R1642" s="54"/>
      <c r="S1642" s="54"/>
      <c r="T1642" s="54"/>
    </row>
    <row r="1643" spans="1:20" ht="15" customHeight="1" x14ac:dyDescent="0.2">
      <c r="A1643" s="48"/>
      <c r="B1643" s="48"/>
      <c r="C1643" s="48" t="s">
        <v>1315</v>
      </c>
      <c r="D1643" s="48" t="s">
        <v>225</v>
      </c>
      <c r="E1643" s="46">
        <v>1</v>
      </c>
      <c r="F1643" s="144" t="str">
        <f>IF(AND(ISNA(VLOOKUP(D1643,A:A,1,FALSE())),ISNA(VLOOKUP(D1643,BaseType!A:A,1,FALSE())),D1643&lt;&gt;"Struct"),"N","Y")</f>
        <v>Y</v>
      </c>
      <c r="G1643" s="145" t="s">
        <v>2400</v>
      </c>
      <c r="H1643" s="141"/>
      <c r="I1643" s="141"/>
      <c r="J1643" s="141"/>
      <c r="K1643" s="141"/>
      <c r="L1643" s="141"/>
      <c r="M1643" s="141"/>
      <c r="N1643" s="54"/>
      <c r="O1643" s="54"/>
      <c r="P1643" s="54"/>
      <c r="Q1643" s="54"/>
      <c r="R1643" s="54"/>
      <c r="S1643" s="54"/>
      <c r="T1643" s="54"/>
    </row>
    <row r="1644" spans="1:20" ht="15" customHeight="1" x14ac:dyDescent="0.2">
      <c r="A1644" s="48"/>
      <c r="B1644" s="48"/>
      <c r="C1644" s="48" t="s">
        <v>2401</v>
      </c>
      <c r="D1644" s="48" t="s">
        <v>225</v>
      </c>
      <c r="E1644" s="46">
        <v>1</v>
      </c>
      <c r="F1644" s="144" t="str">
        <f>IF(AND(ISNA(VLOOKUP(D1644,A:A,1,FALSE())),ISNA(VLOOKUP(D1644,BaseType!A:A,1,FALSE())),D1644&lt;&gt;"Struct"),"N","Y")</f>
        <v>Y</v>
      </c>
      <c r="G1644" s="145" t="s">
        <v>2402</v>
      </c>
      <c r="H1644" s="141"/>
      <c r="I1644" s="141"/>
      <c r="J1644" s="141"/>
      <c r="K1644" s="141"/>
      <c r="L1644" s="141"/>
      <c r="M1644" s="141"/>
      <c r="N1644" s="54"/>
      <c r="O1644" s="54"/>
      <c r="P1644" s="54"/>
      <c r="Q1644" s="54"/>
      <c r="R1644" s="54"/>
      <c r="S1644" s="54"/>
      <c r="T1644" s="54"/>
    </row>
    <row r="1645" spans="1:20" ht="15" customHeight="1" x14ac:dyDescent="0.2">
      <c r="A1645" s="48" t="s">
        <v>2391</v>
      </c>
      <c r="B1645" s="48" t="str">
        <f>IF(ISBLANK(A1645),"",IF(AND(ISNA(VLOOKUP(A1645,Interface_Platform!E:E,1,FALSE())),ISNA(VLOOKUP(A1645,D:D,1,FALSE()))),"N","Y"))</f>
        <v>Y</v>
      </c>
      <c r="C1645" s="48"/>
      <c r="D1645" s="48" t="s">
        <v>484</v>
      </c>
      <c r="E1645" s="46"/>
      <c r="F1645" s="144" t="str">
        <f>IF(AND(ISNA(VLOOKUP(D1645,A:A,1,FALSE())),ISNA(VLOOKUP(D1645,BaseType!A:A,1,FALSE())),D1645&lt;&gt;"Struct"),"N","Y")</f>
        <v>Y</v>
      </c>
      <c r="G1645" s="145"/>
      <c r="H1645" s="141"/>
      <c r="I1645" s="141"/>
      <c r="J1645" s="141"/>
      <c r="K1645" s="141"/>
      <c r="L1645" s="141"/>
      <c r="M1645" s="141"/>
      <c r="N1645" s="54"/>
      <c r="O1645" s="54"/>
      <c r="P1645" s="54"/>
      <c r="Q1645" s="54"/>
      <c r="R1645" s="54"/>
      <c r="S1645" s="54"/>
      <c r="T1645" s="54"/>
    </row>
    <row r="1646" spans="1:20" ht="15" customHeight="1" x14ac:dyDescent="0.2">
      <c r="A1646" s="48"/>
      <c r="B1646" s="48"/>
      <c r="C1646" s="48" t="s">
        <v>2403</v>
      </c>
      <c r="D1646" s="48" t="s">
        <v>225</v>
      </c>
      <c r="E1646" s="46">
        <v>1</v>
      </c>
      <c r="F1646" s="144" t="str">
        <f>IF(AND(ISNA(VLOOKUP(D1646,A:A,1,FALSE())),ISNA(VLOOKUP(D1646,BaseType!A:A,1,FALSE())),D1646&lt;&gt;"Struct"),"N","Y")</f>
        <v>Y</v>
      </c>
      <c r="G1646" s="145" t="s">
        <v>2404</v>
      </c>
      <c r="H1646" s="141"/>
      <c r="I1646" s="141"/>
      <c r="J1646" s="141"/>
      <c r="K1646" s="141"/>
      <c r="L1646" s="141"/>
      <c r="M1646" s="141"/>
      <c r="N1646" s="54"/>
      <c r="O1646" s="54"/>
      <c r="P1646" s="54"/>
      <c r="Q1646" s="54"/>
      <c r="R1646" s="54"/>
      <c r="S1646" s="54"/>
      <c r="T1646" s="54"/>
    </row>
    <row r="1647" spans="1:20" ht="15" customHeight="1" x14ac:dyDescent="0.2">
      <c r="A1647" s="48"/>
      <c r="B1647" s="48"/>
      <c r="C1647" s="48" t="s">
        <v>1328</v>
      </c>
      <c r="D1647" s="48" t="s">
        <v>225</v>
      </c>
      <c r="E1647" s="46">
        <v>1</v>
      </c>
      <c r="F1647" s="144" t="str">
        <f>IF(AND(ISNA(VLOOKUP(D1647,A:A,1,FALSE())),ISNA(VLOOKUP(D1647,BaseType!A:A,1,FALSE())),D1647&lt;&gt;"Struct"),"N","Y")</f>
        <v>Y</v>
      </c>
      <c r="G1647" s="145" t="s">
        <v>2405</v>
      </c>
      <c r="H1647" s="141"/>
      <c r="I1647" s="141"/>
      <c r="J1647" s="141"/>
      <c r="K1647" s="141"/>
      <c r="L1647" s="141"/>
      <c r="M1647" s="141"/>
      <c r="N1647" s="54"/>
      <c r="O1647" s="54"/>
      <c r="P1647" s="54"/>
      <c r="Q1647" s="54"/>
      <c r="R1647" s="54"/>
      <c r="S1647" s="54"/>
      <c r="T1647" s="54"/>
    </row>
    <row r="1648" spans="1:20" ht="15" customHeight="1" x14ac:dyDescent="0.2">
      <c r="A1648" s="48"/>
      <c r="B1648" s="48"/>
      <c r="C1648" s="48" t="s">
        <v>2406</v>
      </c>
      <c r="D1648" s="48" t="s">
        <v>225</v>
      </c>
      <c r="E1648" s="46">
        <v>1</v>
      </c>
      <c r="F1648" s="144" t="str">
        <f>IF(AND(ISNA(VLOOKUP(D1648,A:A,1,FALSE())),ISNA(VLOOKUP(D1648,BaseType!A:A,1,FALSE())),D1648&lt;&gt;"Struct"),"N","Y")</f>
        <v>Y</v>
      </c>
      <c r="G1648" s="145" t="s">
        <v>2407</v>
      </c>
      <c r="H1648" s="141"/>
      <c r="I1648" s="141"/>
      <c r="J1648" s="141"/>
      <c r="K1648" s="141"/>
      <c r="L1648" s="141"/>
      <c r="M1648" s="141"/>
      <c r="N1648" s="54"/>
      <c r="O1648" s="54"/>
      <c r="P1648" s="54"/>
      <c r="Q1648" s="54"/>
      <c r="R1648" s="54"/>
      <c r="S1648" s="54"/>
      <c r="T1648" s="54"/>
    </row>
    <row r="1649" spans="1:20" ht="15" customHeight="1" x14ac:dyDescent="0.2">
      <c r="A1649" s="48" t="s">
        <v>1709</v>
      </c>
      <c r="B1649" s="48" t="str">
        <f>IF(ISBLANK(A1649),"",IF(AND(ISNA(VLOOKUP(A1649,Interface_Platform!E:E,1,FALSE())),ISNA(VLOOKUP(A1649,D:D,1,FALSE()))),"N","Y"))</f>
        <v>Y</v>
      </c>
      <c r="C1649" s="48"/>
      <c r="D1649" s="48" t="s">
        <v>484</v>
      </c>
      <c r="E1649" s="46"/>
      <c r="F1649" s="144" t="str">
        <f>IF(AND(ISNA(VLOOKUP(D1649,A:A,1,FALSE())),ISNA(VLOOKUP(D1649,BaseType!A:A,1,FALSE())),D1649&lt;&gt;"Struct"),"N","Y")</f>
        <v>Y</v>
      </c>
      <c r="G1649" s="145"/>
      <c r="H1649" s="141"/>
      <c r="I1649" s="141"/>
      <c r="J1649" s="141"/>
      <c r="K1649" s="141"/>
      <c r="L1649" s="141"/>
      <c r="M1649" s="141"/>
      <c r="N1649" s="54"/>
      <c r="O1649" s="54"/>
      <c r="P1649" s="54"/>
      <c r="Q1649" s="54"/>
      <c r="R1649" s="54"/>
      <c r="S1649" s="54"/>
      <c r="T1649" s="54"/>
    </row>
    <row r="1650" spans="1:20" ht="15" customHeight="1" x14ac:dyDescent="0.2">
      <c r="A1650" s="48"/>
      <c r="B1650" s="48" t="str">
        <f>IF(ISBLANK(A1650),"",IF(AND(ISNA(VLOOKUP(A1650,Interface_Platform!E:E,1,FALSE())),ISNA(VLOOKUP(A1650,D:D,1,FALSE()))),"N","Y"))</f>
        <v/>
      </c>
      <c r="C1650" s="48" t="s">
        <v>132</v>
      </c>
      <c r="D1650" s="48" t="s">
        <v>225</v>
      </c>
      <c r="E1650" s="46">
        <v>1</v>
      </c>
      <c r="F1650" s="144" t="str">
        <f>IF(AND(ISNA(VLOOKUP(D1650,A:A,1,FALSE())),ISNA(VLOOKUP(D1650,BaseType!A:A,1,FALSE())),D1650&lt;&gt;"Struct"),"N","Y")</f>
        <v>Y</v>
      </c>
      <c r="G1650" s="145" t="s">
        <v>2408</v>
      </c>
      <c r="H1650" s="141"/>
      <c r="I1650" s="141"/>
      <c r="J1650" s="141"/>
      <c r="K1650" s="141"/>
      <c r="L1650" s="141"/>
      <c r="M1650" s="141"/>
      <c r="N1650" s="54"/>
      <c r="O1650" s="54"/>
      <c r="P1650" s="54"/>
      <c r="Q1650" s="54"/>
      <c r="R1650" s="54"/>
      <c r="S1650" s="54"/>
      <c r="T1650" s="54"/>
    </row>
    <row r="1651" spans="1:20" ht="15" customHeight="1" x14ac:dyDescent="0.2">
      <c r="A1651" s="48"/>
      <c r="B1651" s="48" t="str">
        <f>IF(ISBLANK(A1651),"",IF(AND(ISNA(VLOOKUP(A1651,Interface_Platform!E:E,1,FALSE())),ISNA(VLOOKUP(A1651,D:D,1,FALSE()))),"N","Y"))</f>
        <v/>
      </c>
      <c r="C1651" s="48" t="s">
        <v>1315</v>
      </c>
      <c r="D1651" s="48" t="s">
        <v>225</v>
      </c>
      <c r="E1651" s="46">
        <v>1</v>
      </c>
      <c r="F1651" s="144" t="str">
        <f>IF(AND(ISNA(VLOOKUP(D1651,A:A,1,FALSE())),ISNA(VLOOKUP(D1651,BaseType!A:A,1,FALSE())),D1651&lt;&gt;"Struct"),"N","Y")</f>
        <v>Y</v>
      </c>
      <c r="G1651" s="145" t="s">
        <v>2409</v>
      </c>
      <c r="H1651" s="141"/>
      <c r="I1651" s="141"/>
      <c r="J1651" s="141"/>
      <c r="K1651" s="141"/>
      <c r="L1651" s="141"/>
      <c r="M1651" s="141"/>
      <c r="N1651" s="54"/>
      <c r="O1651" s="54"/>
      <c r="P1651" s="54"/>
      <c r="Q1651" s="54"/>
      <c r="R1651" s="54"/>
      <c r="S1651" s="54"/>
      <c r="T1651" s="54"/>
    </row>
    <row r="1652" spans="1:20" ht="15" customHeight="1" x14ac:dyDescent="0.2">
      <c r="A1652" s="48"/>
      <c r="B1652" s="48" t="str">
        <f>IF(ISBLANK(A1652),"",IF(AND(ISNA(VLOOKUP(A1652,Interface_Platform!E:E,1,FALSE())),ISNA(VLOOKUP(A1652,D:D,1,FALSE()))),"N","Y"))</f>
        <v/>
      </c>
      <c r="C1652" s="48" t="s">
        <v>2410</v>
      </c>
      <c r="D1652" s="48" t="s">
        <v>225</v>
      </c>
      <c r="E1652" s="46">
        <v>1</v>
      </c>
      <c r="F1652" s="144" t="str">
        <f>IF(AND(ISNA(VLOOKUP(D1652,A:A,1,FALSE())),ISNA(VLOOKUP(D1652,BaseType!A:A,1,FALSE())),D1652&lt;&gt;"Struct"),"N","Y")</f>
        <v>Y</v>
      </c>
      <c r="G1652" s="145" t="s">
        <v>2411</v>
      </c>
      <c r="H1652" s="141"/>
      <c r="I1652" s="141"/>
      <c r="J1652" s="141"/>
      <c r="K1652" s="141"/>
      <c r="L1652" s="141"/>
      <c r="M1652" s="141"/>
      <c r="N1652" s="54"/>
      <c r="O1652" s="54"/>
      <c r="P1652" s="54"/>
      <c r="Q1652" s="54"/>
      <c r="R1652" s="54"/>
      <c r="S1652" s="54"/>
      <c r="T1652" s="54"/>
    </row>
    <row r="1653" spans="1:20" ht="15" customHeight="1" x14ac:dyDescent="0.2">
      <c r="A1653" s="48" t="s">
        <v>329</v>
      </c>
      <c r="B1653" s="48" t="str">
        <f>IF(ISBLANK(A1653),"",IF(AND(ISNA(VLOOKUP(A1653,Interface_Platform!E:E,1,FALSE())),ISNA(VLOOKUP(A1653,D:D,1,FALSE()))),"N","Y"))</f>
        <v>Y</v>
      </c>
      <c r="C1653" s="48"/>
      <c r="D1653" s="164" t="s">
        <v>484</v>
      </c>
      <c r="E1653" s="46"/>
      <c r="F1653" s="144" t="str">
        <f>IF(AND(ISNA(VLOOKUP(D1653,A:A,1,FALSE())),ISNA(VLOOKUP(D1653,BaseType!A:A,1,FALSE())),D1653&lt;&gt;"Struct"),"N","Y")</f>
        <v>Y</v>
      </c>
      <c r="G1653" s="145"/>
      <c r="H1653" s="141"/>
      <c r="I1653" s="141"/>
      <c r="J1653" s="141"/>
      <c r="K1653" s="141"/>
      <c r="L1653" s="141"/>
      <c r="M1653" s="141"/>
      <c r="N1653" s="54"/>
      <c r="O1653" s="54"/>
      <c r="P1653" s="54"/>
      <c r="Q1653" s="54"/>
      <c r="R1653" s="54"/>
      <c r="S1653" s="54"/>
      <c r="T1653" s="54"/>
    </row>
    <row r="1654" spans="1:20" ht="15" customHeight="1" x14ac:dyDescent="0.2">
      <c r="A1654" s="48"/>
      <c r="B1654" s="48" t="str">
        <f>IF(ISBLANK(A1654),"",IF(AND(ISNA(VLOOKUP(A1654,Interface_Platform!E:E,1,FALSE())),ISNA(VLOOKUP(A1654,D:D,1,FALSE()))),"N","Y"))</f>
        <v/>
      </c>
      <c r="C1654" s="48" t="s">
        <v>1101</v>
      </c>
      <c r="D1654" s="48" t="s">
        <v>193</v>
      </c>
      <c r="E1654" s="46">
        <v>1</v>
      </c>
      <c r="F1654" s="144" t="str">
        <f>IF(AND(ISNA(VLOOKUP(D1654,A:A,1,FALSE())),ISNA(VLOOKUP(D1654,BaseType!A:A,1,FALSE())),D1654&lt;&gt;"Struct"),"N","Y")</f>
        <v>Y</v>
      </c>
      <c r="G1654" s="145" t="s">
        <v>2412</v>
      </c>
      <c r="H1654" s="141"/>
      <c r="I1654" s="141"/>
      <c r="J1654" s="141"/>
      <c r="K1654" s="141"/>
      <c r="L1654" s="141"/>
      <c r="M1654" s="141"/>
      <c r="N1654" s="54"/>
      <c r="O1654" s="54"/>
      <c r="P1654" s="54"/>
      <c r="Q1654" s="54"/>
      <c r="R1654" s="54"/>
      <c r="S1654" s="54"/>
      <c r="T1654" s="54"/>
    </row>
    <row r="1655" spans="1:20" ht="15" customHeight="1" x14ac:dyDescent="0.2">
      <c r="A1655" s="48"/>
      <c r="B1655" s="48" t="str">
        <f>IF(ISBLANK(A1655),"",IF(AND(ISNA(VLOOKUP(A1655,Interface_Platform!E:E,1,FALSE())),ISNA(VLOOKUP(A1655,D:D,1,FALSE()))),"N","Y"))</f>
        <v/>
      </c>
      <c r="C1655" s="48" t="s">
        <v>1103</v>
      </c>
      <c r="D1655" s="48" t="s">
        <v>193</v>
      </c>
      <c r="E1655" s="46">
        <v>1</v>
      </c>
      <c r="F1655" s="144" t="str">
        <f>IF(AND(ISNA(VLOOKUP(D1655,A:A,1,FALSE())),ISNA(VLOOKUP(D1655,BaseType!A:A,1,FALSE())),D1655&lt;&gt;"Struct"),"N","Y")</f>
        <v>Y</v>
      </c>
      <c r="G1655" s="145" t="s">
        <v>2413</v>
      </c>
      <c r="H1655" s="141"/>
      <c r="I1655" s="141"/>
      <c r="J1655" s="141"/>
      <c r="K1655" s="141"/>
      <c r="L1655" s="141"/>
      <c r="M1655" s="141"/>
      <c r="N1655" s="54"/>
      <c r="O1655" s="54"/>
      <c r="P1655" s="54"/>
      <c r="Q1655" s="54"/>
      <c r="R1655" s="54"/>
      <c r="S1655" s="54"/>
      <c r="T1655" s="54"/>
    </row>
    <row r="1656" spans="1:20" ht="15" customHeight="1" x14ac:dyDescent="0.2">
      <c r="A1656" s="48"/>
      <c r="B1656" s="48" t="str">
        <f>IF(ISBLANK(A1656),"",IF(AND(ISNA(VLOOKUP(A1656,Interface_Platform!E:E,1,FALSE())),ISNA(VLOOKUP(A1656,D:D,1,FALSE()))),"N","Y"))</f>
        <v/>
      </c>
      <c r="C1656" s="48" t="s">
        <v>1105</v>
      </c>
      <c r="D1656" s="48" t="s">
        <v>193</v>
      </c>
      <c r="E1656" s="46">
        <v>1</v>
      </c>
      <c r="F1656" s="144" t="str">
        <f>IF(AND(ISNA(VLOOKUP(D1656,A:A,1,FALSE())),ISNA(VLOOKUP(D1656,BaseType!A:A,1,FALSE())),D1656&lt;&gt;"Struct"),"N","Y")</f>
        <v>Y</v>
      </c>
      <c r="G1656" s="145" t="s">
        <v>2414</v>
      </c>
      <c r="H1656" s="141"/>
      <c r="I1656" s="141"/>
      <c r="J1656" s="141"/>
      <c r="K1656" s="141"/>
      <c r="L1656" s="141"/>
      <c r="M1656" s="141"/>
      <c r="N1656" s="54"/>
      <c r="O1656" s="54"/>
      <c r="P1656" s="54"/>
      <c r="Q1656" s="54"/>
      <c r="R1656" s="54"/>
      <c r="S1656" s="54"/>
      <c r="T1656" s="54"/>
    </row>
    <row r="1657" spans="1:20" ht="15" customHeight="1" x14ac:dyDescent="0.2">
      <c r="A1657" s="48"/>
      <c r="B1657" s="48" t="str">
        <f>IF(ISBLANK(A1657),"",IF(AND(ISNA(VLOOKUP(A1657,Interface_Platform!E:E,1,FALSE())),ISNA(VLOOKUP(A1657,D:D,1,FALSE()))),"N","Y"))</f>
        <v/>
      </c>
      <c r="C1657" s="48" t="s">
        <v>2415</v>
      </c>
      <c r="D1657" s="48" t="s">
        <v>193</v>
      </c>
      <c r="E1657" s="46">
        <v>1</v>
      </c>
      <c r="F1657" s="144" t="str">
        <f>IF(AND(ISNA(VLOOKUP(D1657,A:A,1,FALSE())),ISNA(VLOOKUP(D1657,BaseType!A:A,1,FALSE())),D1657&lt;&gt;"Struct"),"N","Y")</f>
        <v>Y</v>
      </c>
      <c r="G1657" s="145" t="s">
        <v>2416</v>
      </c>
      <c r="H1657" s="141"/>
      <c r="I1657" s="141"/>
      <c r="J1657" s="141"/>
      <c r="K1657" s="141"/>
      <c r="L1657" s="141"/>
      <c r="M1657" s="141"/>
      <c r="N1657" s="54"/>
      <c r="O1657" s="54"/>
      <c r="P1657" s="54"/>
      <c r="Q1657" s="54"/>
      <c r="R1657" s="54"/>
      <c r="S1657" s="54"/>
      <c r="T1657" s="54"/>
    </row>
    <row r="1658" spans="1:20" ht="15" customHeight="1" x14ac:dyDescent="0.2">
      <c r="A1658" s="48"/>
      <c r="B1658" s="48" t="str">
        <f>IF(ISBLANK(A1658),"",IF(AND(ISNA(VLOOKUP(A1658,Interface_Platform!E:E,1,FALSE())),ISNA(VLOOKUP(A1658,D:D,1,FALSE()))),"N","Y"))</f>
        <v/>
      </c>
      <c r="C1658" s="48" t="s">
        <v>2417</v>
      </c>
      <c r="D1658" s="48" t="s">
        <v>193</v>
      </c>
      <c r="E1658" s="46">
        <v>6</v>
      </c>
      <c r="F1658" s="144" t="str">
        <f>IF(AND(ISNA(VLOOKUP(D1658,A:A,1,FALSE())),ISNA(VLOOKUP(D1658,BaseType!A:A,1,FALSE())),D1658&lt;&gt;"Struct"),"N","Y")</f>
        <v>Y</v>
      </c>
      <c r="G1658" s="145" t="s">
        <v>2418</v>
      </c>
      <c r="H1658" s="141"/>
      <c r="I1658" s="141"/>
      <c r="J1658" s="141"/>
      <c r="K1658" s="141"/>
      <c r="L1658" s="141"/>
      <c r="M1658" s="141"/>
      <c r="N1658" s="54"/>
      <c r="O1658" s="54"/>
      <c r="P1658" s="54"/>
      <c r="Q1658" s="54"/>
      <c r="R1658" s="54"/>
      <c r="S1658" s="54"/>
      <c r="T1658" s="54"/>
    </row>
    <row r="1659" spans="1:20" ht="15" customHeight="1" x14ac:dyDescent="0.2">
      <c r="A1659" s="48"/>
      <c r="B1659" s="48" t="str">
        <f>IF(ISBLANK(A1659),"",IF(AND(ISNA(VLOOKUP(A1659,Interface_Platform!E:E,1,FALSE())),ISNA(VLOOKUP(A1659,D:D,1,FALSE()))),"N","Y"))</f>
        <v/>
      </c>
      <c r="C1659" s="48" t="s">
        <v>2419</v>
      </c>
      <c r="D1659" s="48" t="s">
        <v>764</v>
      </c>
      <c r="E1659" s="46">
        <v>6</v>
      </c>
      <c r="F1659" s="144" t="str">
        <f>IF(AND(ISNA(VLOOKUP(D1659,A:A,1,FALSE())),ISNA(VLOOKUP(D1659,BaseType!A:A,1,FALSE())),D1659&lt;&gt;"Struct"),"N","Y")</f>
        <v>Y</v>
      </c>
      <c r="G1659" s="145" t="s">
        <v>2420</v>
      </c>
      <c r="H1659" s="141"/>
      <c r="I1659" s="141"/>
      <c r="J1659" s="141"/>
      <c r="K1659" s="141"/>
      <c r="L1659" s="141"/>
      <c r="M1659" s="141"/>
      <c r="N1659" s="54"/>
      <c r="O1659" s="54"/>
      <c r="P1659" s="54"/>
      <c r="Q1659" s="54"/>
      <c r="R1659" s="54"/>
      <c r="S1659" s="54"/>
      <c r="T1659" s="54"/>
    </row>
    <row r="1660" spans="1:20" ht="15" customHeight="1" x14ac:dyDescent="0.2">
      <c r="A1660" s="48"/>
      <c r="B1660" s="48"/>
      <c r="C1660" s="48" t="s">
        <v>2421</v>
      </c>
      <c r="D1660" s="48" t="s">
        <v>764</v>
      </c>
      <c r="E1660" s="46">
        <v>1</v>
      </c>
      <c r="F1660" s="144" t="str">
        <f>IF(AND(ISNA(VLOOKUP(D1660,A:A,1,FALSE())),ISNA(VLOOKUP(D1660,BaseType!A:A,1,FALSE())),D1660&lt;&gt;"Struct"),"N","Y")</f>
        <v>Y</v>
      </c>
      <c r="G1660" s="145" t="s">
        <v>2422</v>
      </c>
      <c r="H1660" s="141"/>
      <c r="I1660" s="141"/>
      <c r="J1660" s="141"/>
      <c r="K1660" s="141"/>
      <c r="L1660" s="141"/>
      <c r="M1660" s="141"/>
      <c r="N1660" s="54"/>
      <c r="O1660" s="54"/>
      <c r="P1660" s="54"/>
      <c r="Q1660" s="54"/>
      <c r="R1660" s="54"/>
      <c r="S1660" s="54"/>
      <c r="T1660" s="54"/>
    </row>
    <row r="1661" spans="1:20" ht="15" customHeight="1" x14ac:dyDescent="0.2">
      <c r="A1661" s="48"/>
      <c r="B1661" s="48" t="str">
        <f>IF(ISBLANK(A1661),"",IF(AND(ISNA(VLOOKUP(A1661,Interface_Platform!E:E,1,FALSE())),ISNA(VLOOKUP(A1661,D:D,1,FALSE()))),"N","Y"))</f>
        <v/>
      </c>
      <c r="C1661" s="48" t="s">
        <v>2423</v>
      </c>
      <c r="D1661" s="48" t="s">
        <v>764</v>
      </c>
      <c r="E1661" s="46">
        <v>1</v>
      </c>
      <c r="F1661" s="144" t="str">
        <f>IF(AND(ISNA(VLOOKUP(D1661,A:A,1,FALSE())),ISNA(VLOOKUP(D1661,BaseType!A:A,1,FALSE())),D1661&lt;&gt;"Struct"),"N","Y")</f>
        <v>Y</v>
      </c>
      <c r="G1661" s="145" t="s">
        <v>2424</v>
      </c>
      <c r="H1661" s="141"/>
      <c r="I1661" s="141"/>
      <c r="J1661" s="141"/>
      <c r="K1661" s="141"/>
      <c r="L1661" s="141"/>
      <c r="M1661" s="141"/>
      <c r="N1661" s="54"/>
      <c r="O1661" s="54"/>
      <c r="P1661" s="54"/>
      <c r="Q1661" s="54"/>
      <c r="R1661" s="54"/>
      <c r="S1661" s="54"/>
      <c r="T1661" s="54"/>
    </row>
    <row r="1662" spans="1:20" ht="15" customHeight="1" x14ac:dyDescent="0.2">
      <c r="A1662" s="48"/>
      <c r="B1662" s="48"/>
      <c r="C1662" s="48" t="s">
        <v>2425</v>
      </c>
      <c r="D1662" s="48" t="s">
        <v>193</v>
      </c>
      <c r="E1662" s="46">
        <v>1</v>
      </c>
      <c r="F1662" s="144" t="str">
        <f>IF(AND(ISNA(VLOOKUP(D1662,A:A,1,FALSE())),ISNA(VLOOKUP(D1662,BaseType!A:A,1,FALSE())),D1662&lt;&gt;"Struct"),"N","Y")</f>
        <v>Y</v>
      </c>
      <c r="G1662" s="145" t="s">
        <v>2426</v>
      </c>
      <c r="H1662" s="141"/>
      <c r="I1662" s="141"/>
      <c r="J1662" s="141"/>
      <c r="K1662" s="141"/>
      <c r="L1662" s="141"/>
      <c r="M1662" s="141"/>
      <c r="N1662" s="54"/>
      <c r="O1662" s="54"/>
      <c r="P1662" s="54"/>
      <c r="Q1662" s="54"/>
      <c r="R1662" s="54"/>
      <c r="S1662" s="54"/>
      <c r="T1662" s="54"/>
    </row>
    <row r="1663" spans="1:20" ht="15" customHeight="1" x14ac:dyDescent="0.2">
      <c r="A1663" s="48"/>
      <c r="B1663" s="48" t="str">
        <f>IF(ISBLANK(A1663),"",IF(AND(ISNA(VLOOKUP(A1663,Interface_Platform!E:E,1,FALSE())),ISNA(VLOOKUP(A1663,D:D,1,FALSE()))),"N","Y"))</f>
        <v/>
      </c>
      <c r="C1663" s="48" t="s">
        <v>2427</v>
      </c>
      <c r="D1663" s="48" t="s">
        <v>193</v>
      </c>
      <c r="E1663" s="46">
        <v>1</v>
      </c>
      <c r="F1663" s="144" t="str">
        <f>IF(AND(ISNA(VLOOKUP(D1663,A:A,1,FALSE())),ISNA(VLOOKUP(D1663,BaseType!A:A,1,FALSE())),D1663&lt;&gt;"Struct"),"N","Y")</f>
        <v>Y</v>
      </c>
      <c r="G1663" s="145" t="s">
        <v>2428</v>
      </c>
      <c r="H1663" s="141"/>
      <c r="I1663" s="141"/>
      <c r="J1663" s="141"/>
      <c r="K1663" s="141"/>
      <c r="L1663" s="141"/>
      <c r="M1663" s="141"/>
      <c r="N1663" s="54"/>
      <c r="O1663" s="54"/>
      <c r="P1663" s="54"/>
      <c r="Q1663" s="54"/>
      <c r="R1663" s="54"/>
      <c r="S1663" s="54"/>
      <c r="T1663" s="54"/>
    </row>
    <row r="1664" spans="1:20" ht="15" customHeight="1" x14ac:dyDescent="0.2">
      <c r="A1664" s="48"/>
      <c r="B1664" s="48"/>
      <c r="C1664" s="48" t="s">
        <v>2429</v>
      </c>
      <c r="D1664" s="48" t="s">
        <v>193</v>
      </c>
      <c r="E1664" s="46">
        <v>1</v>
      </c>
      <c r="F1664" s="144" t="str">
        <f>IF(AND(ISNA(VLOOKUP(D1664,A:A,1,FALSE())),ISNA(VLOOKUP(D1664,BaseType!A:A,1,FALSE())),D1664&lt;&gt;"Struct"),"N","Y")</f>
        <v>Y</v>
      </c>
      <c r="G1664" s="145" t="s">
        <v>2430</v>
      </c>
      <c r="H1664" s="141"/>
      <c r="I1664" s="141"/>
      <c r="J1664" s="141"/>
      <c r="K1664" s="141"/>
      <c r="L1664" s="141"/>
      <c r="M1664" s="141"/>
      <c r="N1664" s="54"/>
      <c r="O1664" s="54"/>
      <c r="P1664" s="54"/>
      <c r="Q1664" s="54"/>
      <c r="R1664" s="54"/>
      <c r="S1664" s="54"/>
      <c r="T1664" s="54"/>
    </row>
    <row r="1665" spans="1:20" ht="15" customHeight="1" x14ac:dyDescent="0.2">
      <c r="A1665" s="91"/>
      <c r="B1665" s="48"/>
      <c r="C1665" s="48" t="s">
        <v>2431</v>
      </c>
      <c r="D1665" s="48" t="s">
        <v>193</v>
      </c>
      <c r="E1665" s="46">
        <v>1</v>
      </c>
      <c r="F1665" s="144" t="str">
        <f>IF(AND(ISNA(VLOOKUP(D1665,A:A,1,FALSE())),ISNA(VLOOKUP(D1665,BaseType!A:A,1,FALSE())),D1665&lt;&gt;"Struct"),"N","Y")</f>
        <v>Y</v>
      </c>
      <c r="G1665" s="145" t="s">
        <v>2432</v>
      </c>
      <c r="H1665" s="141"/>
      <c r="I1665" s="141"/>
      <c r="J1665" s="141"/>
      <c r="K1665" s="141"/>
      <c r="L1665" s="141"/>
      <c r="M1665" s="141"/>
      <c r="N1665" s="54"/>
      <c r="O1665" s="54"/>
      <c r="P1665" s="54"/>
      <c r="Q1665" s="54"/>
      <c r="R1665" s="54"/>
      <c r="S1665" s="54"/>
      <c r="T1665" s="54"/>
    </row>
    <row r="1666" spans="1:20" ht="15" customHeight="1" x14ac:dyDescent="0.2">
      <c r="A1666" s="91" t="s">
        <v>2309</v>
      </c>
      <c r="B1666" s="48" t="str">
        <f>IF(ISBLANK(A1666),"",IF(AND(ISNA(VLOOKUP(A1666,Interface_Platform!E:E,1,FALSE())),ISNA(VLOOKUP(A1666,D:D,1,FALSE()))),"N","Y"))</f>
        <v>Y</v>
      </c>
      <c r="C1666" s="48"/>
      <c r="D1666" s="164" t="s">
        <v>484</v>
      </c>
      <c r="E1666" s="46"/>
      <c r="F1666" s="144" t="str">
        <f>IF(AND(ISNA(VLOOKUP(D1666,A:A,1,FALSE())),ISNA(VLOOKUP(D1666,BaseType!A:A,1,FALSE())),D1666&lt;&gt;"Struct"),"N","Y")</f>
        <v>Y</v>
      </c>
      <c r="G1666" s="145"/>
      <c r="H1666" s="141"/>
      <c r="I1666" s="141"/>
      <c r="J1666" s="141"/>
      <c r="K1666" s="141"/>
      <c r="L1666" s="141"/>
      <c r="M1666" s="141"/>
      <c r="N1666" s="54"/>
      <c r="O1666" s="54"/>
      <c r="P1666" s="54"/>
      <c r="Q1666" s="54"/>
      <c r="R1666" s="54"/>
      <c r="S1666" s="54"/>
      <c r="T1666" s="54"/>
    </row>
    <row r="1667" spans="1:20" ht="15" customHeight="1" x14ac:dyDescent="0.2">
      <c r="A1667" s="48"/>
      <c r="B1667" s="48" t="str">
        <f>IF(ISBLANK(A1667),"",IF(AND(ISNA(VLOOKUP(A1667,Interface_Platform!E:E,1,FALSE())),ISNA(VLOOKUP(A1667,D:D,1,FALSE()))),"N","Y"))</f>
        <v/>
      </c>
      <c r="C1667" s="48" t="s">
        <v>2433</v>
      </c>
      <c r="D1667" s="48" t="s">
        <v>225</v>
      </c>
      <c r="E1667" s="46">
        <v>20</v>
      </c>
      <c r="F1667" s="144" t="str">
        <f>IF(AND(ISNA(VLOOKUP(D1667,A:A,1,FALSE())),ISNA(VLOOKUP(D1667,BaseType!A:A,1,FALSE())),D1667&lt;&gt;"Struct"),"N","Y")</f>
        <v>Y</v>
      </c>
      <c r="G1667" s="145" t="s">
        <v>2434</v>
      </c>
      <c r="H1667" s="141"/>
      <c r="I1667" s="141"/>
      <c r="J1667" s="141"/>
      <c r="K1667" s="141"/>
      <c r="L1667" s="141"/>
      <c r="M1667" s="141"/>
      <c r="N1667" s="54"/>
      <c r="O1667" s="54"/>
      <c r="P1667" s="54"/>
      <c r="Q1667" s="54"/>
      <c r="R1667" s="54"/>
      <c r="S1667" s="54"/>
      <c r="T1667" s="54"/>
    </row>
    <row r="1668" spans="1:20" ht="15" customHeight="1" x14ac:dyDescent="0.2">
      <c r="A1668" s="48"/>
      <c r="B1668" s="48" t="str">
        <f>IF(ISBLANK(A1668),"",IF(AND(ISNA(VLOOKUP(A1668,Interface_Platform!E:E,1,FALSE())),ISNA(VLOOKUP(A1668,D:D,1,FALSE()))),"N","Y"))</f>
        <v/>
      </c>
      <c r="C1668" s="48" t="s">
        <v>2435</v>
      </c>
      <c r="D1668" s="48" t="s">
        <v>225</v>
      </c>
      <c r="E1668" s="46">
        <v>20</v>
      </c>
      <c r="F1668" s="144" t="str">
        <f>IF(AND(ISNA(VLOOKUP(D1668,A:A,1,FALSE())),ISNA(VLOOKUP(D1668,BaseType!A:A,1,FALSE())),D1668&lt;&gt;"Struct"),"N","Y")</f>
        <v>Y</v>
      </c>
      <c r="G1668" s="145" t="s">
        <v>2436</v>
      </c>
      <c r="H1668" s="141"/>
      <c r="I1668" s="141"/>
      <c r="J1668" s="141"/>
      <c r="K1668" s="141"/>
      <c r="L1668" s="141"/>
      <c r="M1668" s="141"/>
      <c r="N1668" s="54"/>
      <c r="O1668" s="54"/>
      <c r="P1668" s="54"/>
      <c r="Q1668" s="54"/>
      <c r="R1668" s="54"/>
      <c r="S1668" s="54"/>
      <c r="T1668" s="54"/>
    </row>
    <row r="1669" spans="1:20" ht="15" customHeight="1" x14ac:dyDescent="0.2">
      <c r="A1669" s="48"/>
      <c r="B1669" s="48" t="str">
        <f>IF(ISBLANK(A1669),"",IF(AND(ISNA(VLOOKUP(A1669,Interface_Platform!E:E,1,FALSE())),ISNA(VLOOKUP(A1669,D:D,1,FALSE()))),"N","Y"))</f>
        <v/>
      </c>
      <c r="C1669" s="48" t="s">
        <v>2437</v>
      </c>
      <c r="D1669" s="48" t="s">
        <v>193</v>
      </c>
      <c r="E1669" s="46">
        <v>1</v>
      </c>
      <c r="F1669" s="144" t="str">
        <f>IF(AND(ISNA(VLOOKUP(D1669,A:A,1,FALSE())),ISNA(VLOOKUP(D1669,BaseType!A:A,1,FALSE())),D1669&lt;&gt;"Struct"),"N","Y")</f>
        <v>Y</v>
      </c>
      <c r="G1669" s="145" t="s">
        <v>2438</v>
      </c>
      <c r="H1669" s="141"/>
      <c r="I1669" s="141"/>
      <c r="J1669" s="141"/>
      <c r="K1669" s="141"/>
      <c r="L1669" s="141"/>
      <c r="M1669" s="141"/>
      <c r="N1669" s="54"/>
      <c r="O1669" s="54"/>
      <c r="P1669" s="54"/>
      <c r="Q1669" s="54"/>
      <c r="R1669" s="54"/>
      <c r="S1669" s="54"/>
      <c r="T1669" s="54"/>
    </row>
    <row r="1670" spans="1:20" ht="15" customHeight="1" x14ac:dyDescent="0.2">
      <c r="A1670" s="48" t="s">
        <v>184</v>
      </c>
      <c r="B1670" s="48" t="str">
        <f>IF(ISBLANK(A1670),"",IF(AND(ISNA(VLOOKUP(A1670,Interface_Platform!E:E,1,FALSE())),ISNA(VLOOKUP(A1670,D:D,1,FALSE()))),"N","Y"))</f>
        <v>Y</v>
      </c>
      <c r="C1670" s="48"/>
      <c r="D1670" s="164" t="s">
        <v>484</v>
      </c>
      <c r="E1670" s="48"/>
      <c r="F1670" s="144" t="str">
        <f>IF(AND(ISNA(VLOOKUP(D1670,A:A,1,FALSE())),ISNA(VLOOKUP(D1670,BaseType!A:A,1,FALSE())),D1670&lt;&gt;"Struct"),"N","Y")</f>
        <v>Y</v>
      </c>
      <c r="G1670" s="145"/>
      <c r="H1670" s="141"/>
      <c r="I1670" s="141"/>
      <c r="J1670" s="141"/>
      <c r="K1670" s="141"/>
      <c r="L1670" s="141"/>
      <c r="M1670" s="141"/>
      <c r="N1670" s="54"/>
      <c r="O1670" s="54"/>
      <c r="P1670" s="54"/>
      <c r="Q1670" s="54"/>
      <c r="R1670" s="54"/>
      <c r="S1670" s="54"/>
      <c r="T1670" s="54"/>
    </row>
    <row r="1671" spans="1:20" ht="15" customHeight="1" x14ac:dyDescent="0.2">
      <c r="A1671" s="48"/>
      <c r="B1671" s="48" t="str">
        <f>IF(ISBLANK(A1671),"",IF(AND(ISNA(VLOOKUP(A1671,Interface_Platform!E:E,1,FALSE())),ISNA(VLOOKUP(A1671,D:D,1,FALSE()))),"N","Y"))</f>
        <v/>
      </c>
      <c r="C1671" s="48" t="s">
        <v>2439</v>
      </c>
      <c r="D1671" s="48" t="s">
        <v>193</v>
      </c>
      <c r="E1671" s="46">
        <v>1</v>
      </c>
      <c r="F1671" s="144" t="str">
        <f>IF(AND(ISNA(VLOOKUP(D1671,A:A,1,FALSE())),ISNA(VLOOKUP(D1671,BaseType!A:A,1,FALSE())),D1671&lt;&gt;"Struct"),"N","Y")</f>
        <v>Y</v>
      </c>
      <c r="G1671" s="145"/>
      <c r="H1671" s="141"/>
      <c r="I1671" s="141"/>
      <c r="J1671" s="141"/>
      <c r="K1671" s="141"/>
      <c r="L1671" s="141"/>
      <c r="M1671" s="141"/>
      <c r="N1671" s="54"/>
      <c r="O1671" s="54"/>
      <c r="P1671" s="54"/>
      <c r="Q1671" s="54"/>
      <c r="R1671" s="54"/>
      <c r="S1671" s="54"/>
      <c r="T1671" s="54"/>
    </row>
    <row r="1672" spans="1:20" ht="15" customHeight="1" x14ac:dyDescent="0.2">
      <c r="A1672" s="48"/>
      <c r="B1672" s="48" t="str">
        <f>IF(ISBLANK(A1672),"",IF(AND(ISNA(VLOOKUP(A1672,Interface_Platform!E:E,1,FALSE())),ISNA(VLOOKUP(A1672,D:D,1,FALSE()))),"N","Y"))</f>
        <v/>
      </c>
      <c r="C1672" s="48" t="s">
        <v>2440</v>
      </c>
      <c r="D1672" s="48" t="s">
        <v>298</v>
      </c>
      <c r="E1672" s="46">
        <v>1</v>
      </c>
      <c r="F1672" s="144" t="str">
        <f>IF(AND(ISNA(VLOOKUP(D1672,A:A,1,FALSE())),ISNA(VLOOKUP(D1672,BaseType!A:A,1,FALSE())),D1672&lt;&gt;"Struct"),"N","Y")</f>
        <v>Y</v>
      </c>
      <c r="G1672" s="145"/>
      <c r="H1672" s="141"/>
      <c r="I1672" s="141"/>
      <c r="J1672" s="141"/>
      <c r="K1672" s="141"/>
      <c r="L1672" s="141"/>
      <c r="M1672" s="141"/>
      <c r="N1672" s="54"/>
      <c r="O1672" s="54"/>
      <c r="P1672" s="54"/>
      <c r="Q1672" s="54"/>
      <c r="R1672" s="54"/>
      <c r="S1672" s="54"/>
      <c r="T1672" s="54"/>
    </row>
    <row r="1673" spans="1:20" ht="15" customHeight="1" x14ac:dyDescent="0.2">
      <c r="A1673" s="48"/>
      <c r="B1673" s="48" t="str">
        <f>IF(ISBLANK(A1673),"",IF(AND(ISNA(VLOOKUP(A1673,Interface_Platform!E:E,1,FALSE())),ISNA(VLOOKUP(A1673,D:D,1,FALSE()))),"N","Y"))</f>
        <v/>
      </c>
      <c r="C1673" s="48" t="s">
        <v>2441</v>
      </c>
      <c r="D1673" s="48" t="s">
        <v>631</v>
      </c>
      <c r="E1673" s="46">
        <v>1</v>
      </c>
      <c r="F1673" s="144" t="str">
        <f>IF(AND(ISNA(VLOOKUP(D1673,A:A,1,FALSE())),ISNA(VLOOKUP(D1673,BaseType!A:A,1,FALSE())),D1673&lt;&gt;"Struct"),"N","Y")</f>
        <v>Y</v>
      </c>
      <c r="G1673" s="145"/>
      <c r="H1673" s="141"/>
      <c r="I1673" s="141"/>
      <c r="J1673" s="141"/>
      <c r="K1673" s="141"/>
      <c r="L1673" s="141"/>
      <c r="M1673" s="141"/>
      <c r="N1673" s="54"/>
      <c r="O1673" s="54"/>
      <c r="P1673" s="54"/>
      <c r="Q1673" s="54"/>
      <c r="R1673" s="54"/>
      <c r="S1673" s="54"/>
      <c r="T1673" s="54"/>
    </row>
    <row r="1674" spans="1:20" ht="15" customHeight="1" x14ac:dyDescent="0.2">
      <c r="A1674" s="48" t="s">
        <v>187</v>
      </c>
      <c r="B1674" s="48" t="str">
        <f>IF(ISBLANK(A1674),"",IF(AND(ISNA(VLOOKUP(A1674,Interface_Platform!E:E,1,FALSE())),ISNA(VLOOKUP(A1674,D:D,1,FALSE()))),"N","Y"))</f>
        <v>Y</v>
      </c>
      <c r="C1674" s="141"/>
      <c r="D1674" s="164" t="s">
        <v>484</v>
      </c>
      <c r="E1674" s="46">
        <v>1</v>
      </c>
      <c r="F1674" s="144" t="str">
        <f>IF(AND(ISNA(VLOOKUP(D1674,A:A,1,FALSE())),ISNA(VLOOKUP(D1674,BaseType!A:A,1,FALSE())),D1674&lt;&gt;"Struct"),"N","Y")</f>
        <v>Y</v>
      </c>
      <c r="G1674" s="145"/>
      <c r="H1674" s="141"/>
      <c r="I1674" s="141"/>
      <c r="J1674" s="141"/>
      <c r="K1674" s="141"/>
      <c r="L1674" s="141"/>
      <c r="M1674" s="141"/>
      <c r="N1674" s="54"/>
      <c r="O1674" s="54"/>
      <c r="P1674" s="54"/>
      <c r="Q1674" s="54"/>
      <c r="R1674" s="54"/>
      <c r="S1674" s="54"/>
      <c r="T1674" s="54"/>
    </row>
    <row r="1675" spans="1:20" ht="15" customHeight="1" x14ac:dyDescent="0.2">
      <c r="A1675" s="141"/>
      <c r="B1675" s="48" t="str">
        <f>IF(ISBLANK(A1675),"",IF(AND(ISNA(VLOOKUP(A1675,Interface_Platform!E:E,1,FALSE())),ISNA(VLOOKUP(A1675,D:D,1,FALSE()))),"N","Y"))</f>
        <v/>
      </c>
      <c r="C1675" s="48" t="s">
        <v>2442</v>
      </c>
      <c r="D1675" s="48" t="s">
        <v>193</v>
      </c>
      <c r="E1675" s="46">
        <v>1</v>
      </c>
      <c r="F1675" s="144" t="str">
        <f>IF(AND(ISNA(VLOOKUP(D1675,A:A,1,FALSE())),ISNA(VLOOKUP(D1675,BaseType!A:A,1,FALSE())),D1675&lt;&gt;"Struct"),"N","Y")</f>
        <v>Y</v>
      </c>
      <c r="G1675" s="145" t="s">
        <v>2443</v>
      </c>
      <c r="H1675" s="141"/>
      <c r="I1675" s="141"/>
      <c r="J1675" s="141"/>
      <c r="K1675" s="141"/>
      <c r="L1675" s="141"/>
      <c r="M1675" s="141"/>
      <c r="N1675" s="54"/>
      <c r="O1675" s="54"/>
      <c r="P1675" s="54"/>
      <c r="Q1675" s="54"/>
      <c r="R1675" s="54"/>
      <c r="S1675" s="54"/>
      <c r="T1675" s="54"/>
    </row>
    <row r="1676" spans="1:20" ht="15" customHeight="1" x14ac:dyDescent="0.2">
      <c r="A1676" s="141"/>
      <c r="B1676" s="48" t="str">
        <f>IF(ISBLANK(A1676),"",IF(AND(ISNA(VLOOKUP(A1676,Interface_Platform!E:E,1,FALSE())),ISNA(VLOOKUP(A1676,D:D,1,FALSE()))),"N","Y"))</f>
        <v/>
      </c>
      <c r="C1676" s="48" t="s">
        <v>2444</v>
      </c>
      <c r="D1676" s="48" t="s">
        <v>193</v>
      </c>
      <c r="E1676" s="46">
        <v>1</v>
      </c>
      <c r="F1676" s="144" t="str">
        <f>IF(AND(ISNA(VLOOKUP(D1676,A:A,1,FALSE())),ISNA(VLOOKUP(D1676,BaseType!A:A,1,FALSE())),D1676&lt;&gt;"Struct"),"N","Y")</f>
        <v>Y</v>
      </c>
      <c r="G1676" s="145"/>
      <c r="H1676" s="141"/>
      <c r="I1676" s="141"/>
      <c r="J1676" s="141"/>
      <c r="K1676" s="141"/>
      <c r="L1676" s="141"/>
      <c r="M1676" s="141"/>
      <c r="N1676" s="54"/>
      <c r="O1676" s="54"/>
      <c r="P1676" s="54"/>
      <c r="Q1676" s="54"/>
      <c r="R1676" s="54"/>
      <c r="S1676" s="54"/>
      <c r="T1676" s="54"/>
    </row>
    <row r="1677" spans="1:20" ht="15" customHeight="1" x14ac:dyDescent="0.2">
      <c r="A1677" s="141"/>
      <c r="B1677" s="48" t="str">
        <f>IF(ISBLANK(A1677),"",IF(AND(ISNA(VLOOKUP(A1677,Interface_Platform!E:E,1,FALSE())),ISNA(VLOOKUP(A1677,D:D,1,FALSE()))),"N","Y"))</f>
        <v/>
      </c>
      <c r="C1677" s="48" t="s">
        <v>2445</v>
      </c>
      <c r="D1677" s="48" t="s">
        <v>193</v>
      </c>
      <c r="E1677" s="46">
        <v>1</v>
      </c>
      <c r="F1677" s="144" t="str">
        <f>IF(AND(ISNA(VLOOKUP(D1677,A:A,1,FALSE())),ISNA(VLOOKUP(D1677,BaseType!A:A,1,FALSE())),D1677&lt;&gt;"Struct"),"N","Y")</f>
        <v>Y</v>
      </c>
      <c r="G1677" s="145"/>
      <c r="H1677" s="141"/>
      <c r="I1677" s="141"/>
      <c r="J1677" s="141"/>
      <c r="K1677" s="141"/>
      <c r="L1677" s="141"/>
      <c r="M1677" s="141"/>
      <c r="N1677" s="54"/>
      <c r="O1677" s="54"/>
      <c r="P1677" s="54"/>
      <c r="Q1677" s="54"/>
      <c r="R1677" s="54"/>
      <c r="S1677" s="54"/>
      <c r="T1677" s="54"/>
    </row>
    <row r="1678" spans="1:20" ht="15" customHeight="1" x14ac:dyDescent="0.2">
      <c r="A1678" s="141"/>
      <c r="B1678" s="48"/>
      <c r="C1678" s="48" t="s">
        <v>2446</v>
      </c>
      <c r="D1678" s="48" t="s">
        <v>193</v>
      </c>
      <c r="E1678" s="46">
        <v>1</v>
      </c>
      <c r="F1678" s="144" t="str">
        <f>IF(AND(ISNA(VLOOKUP(D1678,A:A,1,FALSE())),ISNA(VLOOKUP(D1678,BaseType!A:A,1,FALSE())),D1678&lt;&gt;"Struct"),"N","Y")</f>
        <v>Y</v>
      </c>
      <c r="G1678" s="145"/>
      <c r="H1678" s="141"/>
      <c r="I1678" s="141"/>
      <c r="J1678" s="141"/>
      <c r="K1678" s="141"/>
      <c r="L1678" s="141"/>
      <c r="M1678" s="141"/>
      <c r="N1678" s="54"/>
      <c r="O1678" s="54"/>
      <c r="P1678" s="54"/>
      <c r="Q1678" s="54"/>
      <c r="R1678" s="54"/>
      <c r="S1678" s="54"/>
      <c r="T1678" s="54"/>
    </row>
    <row r="1679" spans="1:20" ht="15" customHeight="1" x14ac:dyDescent="0.2">
      <c r="A1679" s="141"/>
      <c r="B1679" s="48" t="str">
        <f>IF(ISBLANK(A1679),"",IF(AND(ISNA(VLOOKUP(A1679,Interface_Platform!E:E,1,FALSE())),ISNA(VLOOKUP(A1679,D:D,1,FALSE()))),"N","Y"))</f>
        <v/>
      </c>
      <c r="C1679" s="48" t="s">
        <v>2447</v>
      </c>
      <c r="D1679" s="48" t="s">
        <v>193</v>
      </c>
      <c r="E1679" s="46">
        <v>1</v>
      </c>
      <c r="F1679" s="144" t="str">
        <f>IF(AND(ISNA(VLOOKUP(D1679,A:A,1,FALSE())),ISNA(VLOOKUP(D1679,BaseType!A:A,1,FALSE())),D1679&lt;&gt;"Struct"),"N","Y")</f>
        <v>Y</v>
      </c>
      <c r="G1679" s="145"/>
      <c r="H1679" s="141"/>
      <c r="I1679" s="141"/>
      <c r="J1679" s="141"/>
      <c r="K1679" s="141"/>
      <c r="L1679" s="141"/>
      <c r="M1679" s="141"/>
      <c r="N1679" s="54"/>
      <c r="O1679" s="54"/>
      <c r="P1679" s="54"/>
      <c r="Q1679" s="54"/>
      <c r="R1679" s="54"/>
      <c r="S1679" s="54"/>
      <c r="T1679" s="54"/>
    </row>
    <row r="1680" spans="1:20" ht="15" customHeight="1" x14ac:dyDescent="0.2">
      <c r="A1680" s="141"/>
      <c r="B1680" s="48" t="str">
        <f>IF(ISBLANK(A1680),"",IF(AND(ISNA(VLOOKUP(A1680,Interface_Platform!E:E,1,FALSE())),ISNA(VLOOKUP(A1680,D:D,1,FALSE()))),"N","Y"))</f>
        <v/>
      </c>
      <c r="C1680" s="48" t="s">
        <v>2448</v>
      </c>
      <c r="D1680" s="48" t="s">
        <v>193</v>
      </c>
      <c r="E1680" s="46">
        <v>1</v>
      </c>
      <c r="F1680" s="144" t="str">
        <f>IF(AND(ISNA(VLOOKUP(D1680,A:A,1,FALSE())),ISNA(VLOOKUP(D1680,BaseType!A:A,1,FALSE())),D1680&lt;&gt;"Struct"),"N","Y")</f>
        <v>Y</v>
      </c>
      <c r="G1680" s="145"/>
      <c r="H1680" s="141"/>
      <c r="I1680" s="141"/>
      <c r="J1680" s="141"/>
      <c r="K1680" s="141"/>
      <c r="L1680" s="141"/>
      <c r="M1680" s="141"/>
      <c r="N1680" s="54"/>
      <c r="O1680" s="54"/>
      <c r="P1680" s="54"/>
      <c r="Q1680" s="54"/>
      <c r="R1680" s="54"/>
      <c r="S1680" s="54"/>
      <c r="T1680" s="54"/>
    </row>
    <row r="1681" spans="1:20" ht="15" customHeight="1" x14ac:dyDescent="0.2">
      <c r="A1681" s="141"/>
      <c r="B1681" s="48" t="str">
        <f>IF(ISBLANK(A1681),"",IF(AND(ISNA(VLOOKUP(A1681,Interface_Platform!E:E,1,FALSE())),ISNA(VLOOKUP(A1681,D:D,1,FALSE()))),"N","Y"))</f>
        <v/>
      </c>
      <c r="C1681" s="48" t="s">
        <v>2449</v>
      </c>
      <c r="D1681" s="48" t="s">
        <v>193</v>
      </c>
      <c r="E1681" s="46">
        <v>1</v>
      </c>
      <c r="F1681" s="144" t="str">
        <f>IF(AND(ISNA(VLOOKUP(D1681,A:A,1,FALSE())),ISNA(VLOOKUP(D1681,BaseType!A:A,1,FALSE())),D1681&lt;&gt;"Struct"),"N","Y")</f>
        <v>Y</v>
      </c>
      <c r="G1681" s="145"/>
      <c r="H1681" s="141"/>
      <c r="I1681" s="141"/>
      <c r="J1681" s="141"/>
      <c r="K1681" s="141"/>
      <c r="L1681" s="141"/>
      <c r="M1681" s="141"/>
      <c r="N1681" s="54"/>
      <c r="O1681" s="54"/>
      <c r="P1681" s="54"/>
      <c r="Q1681" s="54"/>
      <c r="R1681" s="54"/>
      <c r="S1681" s="54"/>
      <c r="T1681" s="54"/>
    </row>
    <row r="1682" spans="1:20" ht="15" customHeight="1" x14ac:dyDescent="0.2">
      <c r="A1682" s="141"/>
      <c r="B1682" s="48" t="str">
        <f>IF(ISBLANK(A1682),"",IF(AND(ISNA(VLOOKUP(A1682,Interface_Platform!E:E,1,FALSE())),ISNA(VLOOKUP(A1682,D:D,1,FALSE()))),"N","Y"))</f>
        <v/>
      </c>
      <c r="C1682" s="48" t="s">
        <v>2450</v>
      </c>
      <c r="D1682" s="48" t="s">
        <v>193</v>
      </c>
      <c r="E1682" s="46">
        <v>1</v>
      </c>
      <c r="F1682" s="144" t="str">
        <f>IF(AND(ISNA(VLOOKUP(D1682,A:A,1,FALSE())),ISNA(VLOOKUP(D1682,BaseType!A:A,1,FALSE())),D1682&lt;&gt;"Struct"),"N","Y")</f>
        <v>Y</v>
      </c>
      <c r="G1682" s="145"/>
      <c r="H1682" s="141"/>
      <c r="I1682" s="141"/>
      <c r="J1682" s="141"/>
      <c r="K1682" s="141"/>
      <c r="L1682" s="141"/>
      <c r="M1682" s="141"/>
      <c r="N1682" s="54"/>
      <c r="O1682" s="54"/>
      <c r="P1682" s="54"/>
      <c r="Q1682" s="54"/>
      <c r="R1682" s="54"/>
      <c r="S1682" s="54"/>
      <c r="T1682" s="54"/>
    </row>
    <row r="1683" spans="1:20" ht="15" customHeight="1" x14ac:dyDescent="0.2">
      <c r="A1683" s="141"/>
      <c r="B1683" s="48" t="str">
        <f>IF(ISBLANK(A1683),"",IF(AND(ISNA(VLOOKUP(A1683,Interface_Platform!E:E,1,FALSE())),ISNA(VLOOKUP(A1683,D:D,1,FALSE()))),"N","Y"))</f>
        <v/>
      </c>
      <c r="C1683" s="48" t="s">
        <v>2451</v>
      </c>
      <c r="D1683" s="48" t="s">
        <v>193</v>
      </c>
      <c r="E1683" s="46">
        <v>1</v>
      </c>
      <c r="F1683" s="144" t="str">
        <f>IF(AND(ISNA(VLOOKUP(D1683,A:A,1,FALSE())),ISNA(VLOOKUP(D1683,BaseType!A:A,1,FALSE())),D1683&lt;&gt;"Struct"),"N","Y")</f>
        <v>Y</v>
      </c>
      <c r="G1683" s="145"/>
      <c r="H1683" s="141"/>
      <c r="I1683" s="141"/>
      <c r="J1683" s="141"/>
      <c r="K1683" s="141"/>
      <c r="L1683" s="141"/>
      <c r="M1683" s="141"/>
      <c r="N1683" s="54"/>
      <c r="O1683" s="54"/>
      <c r="P1683" s="54"/>
      <c r="Q1683" s="54"/>
      <c r="R1683" s="54"/>
      <c r="S1683" s="54"/>
      <c r="T1683" s="54"/>
    </row>
    <row r="1684" spans="1:20" ht="15" customHeight="1" x14ac:dyDescent="0.2">
      <c r="A1684" s="141"/>
      <c r="B1684" s="48" t="str">
        <f>IF(ISBLANK(A1684),"",IF(AND(ISNA(VLOOKUP(A1684,Interface_Platform!E:E,1,FALSE())),ISNA(VLOOKUP(A1684,D:D,1,FALSE()))),"N","Y"))</f>
        <v/>
      </c>
      <c r="C1684" s="48" t="s">
        <v>2452</v>
      </c>
      <c r="D1684" s="48" t="s">
        <v>193</v>
      </c>
      <c r="E1684" s="46">
        <v>1</v>
      </c>
      <c r="F1684" s="144" t="str">
        <f>IF(AND(ISNA(VLOOKUP(D1684,A:A,1,FALSE())),ISNA(VLOOKUP(D1684,BaseType!A:A,1,FALSE())),D1684&lt;&gt;"Struct"),"N","Y")</f>
        <v>Y</v>
      </c>
      <c r="G1684" s="145"/>
      <c r="H1684" s="141"/>
      <c r="I1684" s="141"/>
      <c r="J1684" s="141"/>
      <c r="K1684" s="141"/>
      <c r="L1684" s="141"/>
      <c r="M1684" s="141"/>
      <c r="N1684" s="54"/>
      <c r="O1684" s="54"/>
      <c r="P1684" s="54"/>
      <c r="Q1684" s="54"/>
      <c r="R1684" s="54"/>
      <c r="S1684" s="54"/>
      <c r="T1684" s="54"/>
    </row>
    <row r="1685" spans="1:20" ht="15" customHeight="1" x14ac:dyDescent="0.2">
      <c r="A1685" s="141"/>
      <c r="B1685" s="48" t="str">
        <f>IF(ISBLANK(A1685),"",IF(AND(ISNA(VLOOKUP(A1685,Interface_Platform!E:E,1,FALSE())),ISNA(VLOOKUP(A1685,D:D,1,FALSE()))),"N","Y"))</f>
        <v/>
      </c>
      <c r="C1685" s="48" t="s">
        <v>2453</v>
      </c>
      <c r="D1685" s="48" t="s">
        <v>193</v>
      </c>
      <c r="E1685" s="46">
        <v>1</v>
      </c>
      <c r="F1685" s="144" t="str">
        <f>IF(AND(ISNA(VLOOKUP(D1685,A:A,1,FALSE())),ISNA(VLOOKUP(D1685,BaseType!A:A,1,FALSE())),D1685&lt;&gt;"Struct"),"N","Y")</f>
        <v>Y</v>
      </c>
      <c r="G1685" s="145"/>
      <c r="H1685" s="141"/>
      <c r="I1685" s="141"/>
      <c r="J1685" s="141"/>
      <c r="K1685" s="141"/>
      <c r="L1685" s="141"/>
      <c r="M1685" s="141"/>
      <c r="N1685" s="54"/>
      <c r="O1685" s="54"/>
      <c r="P1685" s="54"/>
      <c r="Q1685" s="54"/>
      <c r="R1685" s="54"/>
      <c r="S1685" s="54"/>
      <c r="T1685" s="54"/>
    </row>
    <row r="1686" spans="1:20" ht="15" customHeight="1" x14ac:dyDescent="0.2">
      <c r="A1686" s="141"/>
      <c r="B1686" s="48" t="str">
        <f>IF(ISBLANK(A1686),"",IF(AND(ISNA(VLOOKUP(A1686,Interface_Platform!E:E,1,FALSE())),ISNA(VLOOKUP(A1686,D:D,1,FALSE()))),"N","Y"))</f>
        <v/>
      </c>
      <c r="C1686" s="48" t="s">
        <v>2454</v>
      </c>
      <c r="D1686" s="48" t="s">
        <v>193</v>
      </c>
      <c r="E1686" s="46">
        <v>1</v>
      </c>
      <c r="F1686" s="144" t="str">
        <f>IF(AND(ISNA(VLOOKUP(D1686,A:A,1,FALSE())),ISNA(VLOOKUP(D1686,BaseType!A:A,1,FALSE())),D1686&lt;&gt;"Struct"),"N","Y")</f>
        <v>Y</v>
      </c>
      <c r="G1686" s="145"/>
      <c r="H1686" s="141"/>
      <c r="I1686" s="141"/>
      <c r="J1686" s="141"/>
      <c r="K1686" s="141"/>
      <c r="L1686" s="141"/>
      <c r="M1686" s="141"/>
      <c r="N1686" s="54"/>
      <c r="O1686" s="54"/>
      <c r="P1686" s="54"/>
      <c r="Q1686" s="54"/>
      <c r="R1686" s="54"/>
      <c r="S1686" s="54"/>
      <c r="T1686" s="54"/>
    </row>
    <row r="1687" spans="1:20" ht="15" customHeight="1" x14ac:dyDescent="0.2">
      <c r="A1687" s="141"/>
      <c r="B1687" s="48" t="str">
        <f>IF(ISBLANK(A1687),"",IF(AND(ISNA(VLOOKUP(A1687,Interface_Platform!E:E,1,FALSE())),ISNA(VLOOKUP(A1687,D:D,1,FALSE()))),"N","Y"))</f>
        <v/>
      </c>
      <c r="C1687" s="48" t="s">
        <v>2455</v>
      </c>
      <c r="D1687" s="48" t="s">
        <v>193</v>
      </c>
      <c r="E1687" s="46">
        <v>1</v>
      </c>
      <c r="F1687" s="144" t="str">
        <f>IF(AND(ISNA(VLOOKUP(D1687,A:A,1,FALSE())),ISNA(VLOOKUP(D1687,BaseType!A:A,1,FALSE())),D1687&lt;&gt;"Struct"),"N","Y")</f>
        <v>Y</v>
      </c>
      <c r="G1687" s="145"/>
      <c r="H1687" s="141"/>
      <c r="I1687" s="141"/>
      <c r="J1687" s="141"/>
      <c r="K1687" s="141"/>
      <c r="L1687" s="141"/>
      <c r="M1687" s="141"/>
      <c r="N1687" s="54"/>
      <c r="O1687" s="54"/>
      <c r="P1687" s="54"/>
      <c r="Q1687" s="54"/>
      <c r="R1687" s="54"/>
      <c r="S1687" s="54"/>
      <c r="T1687" s="54"/>
    </row>
    <row r="1688" spans="1:20" ht="15" customHeight="1" x14ac:dyDescent="0.2">
      <c r="A1688" s="141"/>
      <c r="B1688" s="48" t="str">
        <f>IF(ISBLANK(A1688),"",IF(AND(ISNA(VLOOKUP(A1688,Interface_Platform!E:E,1,FALSE())),ISNA(VLOOKUP(A1688,D:D,1,FALSE()))),"N","Y"))</f>
        <v/>
      </c>
      <c r="C1688" s="48" t="s">
        <v>2456</v>
      </c>
      <c r="D1688" s="48" t="s">
        <v>193</v>
      </c>
      <c r="E1688" s="46">
        <v>1</v>
      </c>
      <c r="F1688" s="144" t="str">
        <f>IF(AND(ISNA(VLOOKUP(D1688,A:A,1,FALSE())),ISNA(VLOOKUP(D1688,BaseType!A:A,1,FALSE())),D1688&lt;&gt;"Struct"),"N","Y")</f>
        <v>Y</v>
      </c>
      <c r="G1688" s="145"/>
      <c r="H1688" s="141"/>
      <c r="I1688" s="141"/>
      <c r="J1688" s="141"/>
      <c r="K1688" s="141"/>
      <c r="L1688" s="141"/>
      <c r="M1688" s="141"/>
      <c r="N1688" s="54"/>
      <c r="O1688" s="54"/>
      <c r="P1688" s="54"/>
      <c r="Q1688" s="54"/>
      <c r="R1688" s="54"/>
      <c r="S1688" s="54"/>
      <c r="T1688" s="54"/>
    </row>
    <row r="1689" spans="1:20" ht="15" customHeight="1" x14ac:dyDescent="0.2">
      <c r="A1689" s="141"/>
      <c r="B1689" s="48"/>
      <c r="C1689" s="48" t="s">
        <v>2457</v>
      </c>
      <c r="D1689" s="48" t="s">
        <v>193</v>
      </c>
      <c r="E1689" s="46">
        <v>1</v>
      </c>
      <c r="F1689" s="144" t="str">
        <f>IF(AND(ISNA(VLOOKUP(D1689,A:A,1,FALSE())),ISNA(VLOOKUP(D1689,BaseType!A:A,1,FALSE())),D1689&lt;&gt;"Struct"),"N","Y")</f>
        <v>Y</v>
      </c>
      <c r="G1689" s="145"/>
      <c r="H1689" s="141"/>
      <c r="I1689" s="141"/>
      <c r="J1689" s="141"/>
      <c r="K1689" s="141"/>
      <c r="L1689" s="141"/>
      <c r="M1689" s="141"/>
      <c r="N1689" s="54"/>
      <c r="O1689" s="54"/>
      <c r="P1689" s="54"/>
      <c r="Q1689" s="54"/>
      <c r="R1689" s="54"/>
      <c r="S1689" s="54"/>
      <c r="T1689" s="54"/>
    </row>
    <row r="1690" spans="1:20" ht="15" customHeight="1" x14ac:dyDescent="0.2">
      <c r="A1690" s="141"/>
      <c r="B1690" s="48"/>
      <c r="C1690" s="48" t="s">
        <v>2458</v>
      </c>
      <c r="D1690" s="48" t="s">
        <v>193</v>
      </c>
      <c r="E1690" s="46">
        <v>1</v>
      </c>
      <c r="F1690" s="144" t="str">
        <f>IF(AND(ISNA(VLOOKUP(D1690,A:A,1,FALSE())),ISNA(VLOOKUP(D1690,BaseType!A:A,1,FALSE())),D1690&lt;&gt;"Struct"),"N","Y")</f>
        <v>Y</v>
      </c>
      <c r="G1690" s="145"/>
      <c r="H1690" s="141"/>
      <c r="I1690" s="141"/>
      <c r="J1690" s="141"/>
      <c r="K1690" s="141"/>
      <c r="L1690" s="141"/>
      <c r="M1690" s="141"/>
      <c r="N1690" s="54"/>
      <c r="O1690" s="54"/>
      <c r="P1690" s="54"/>
      <c r="Q1690" s="54"/>
      <c r="R1690" s="54"/>
      <c r="S1690" s="54"/>
      <c r="T1690" s="54"/>
    </row>
    <row r="1691" spans="1:20" ht="15" customHeight="1" x14ac:dyDescent="0.2">
      <c r="A1691" s="141"/>
      <c r="B1691" s="48"/>
      <c r="C1691" s="48" t="s">
        <v>2459</v>
      </c>
      <c r="D1691" s="48" t="s">
        <v>193</v>
      </c>
      <c r="E1691" s="46">
        <v>1</v>
      </c>
      <c r="F1691" s="144" t="str">
        <f>IF(AND(ISNA(VLOOKUP(D1691,A:A,1,FALSE())),ISNA(VLOOKUP(D1691,BaseType!A:A,1,FALSE())),D1691&lt;&gt;"Struct"),"N","Y")</f>
        <v>Y</v>
      </c>
      <c r="G1691" s="145"/>
      <c r="H1691" s="141"/>
      <c r="I1691" s="141"/>
      <c r="J1691" s="141"/>
      <c r="K1691" s="141"/>
      <c r="L1691" s="141"/>
      <c r="M1691" s="141"/>
      <c r="N1691" s="54"/>
      <c r="O1691" s="54"/>
      <c r="P1691" s="54"/>
      <c r="Q1691" s="54"/>
      <c r="R1691" s="54"/>
      <c r="S1691" s="54"/>
      <c r="T1691" s="54"/>
    </row>
    <row r="1692" spans="1:20" ht="15" customHeight="1" x14ac:dyDescent="0.2">
      <c r="A1692" s="141"/>
      <c r="B1692" s="48"/>
      <c r="C1692" s="48" t="s">
        <v>2460</v>
      </c>
      <c r="D1692" s="48" t="s">
        <v>193</v>
      </c>
      <c r="E1692" s="46">
        <v>1</v>
      </c>
      <c r="F1692" s="144" t="str">
        <f>IF(AND(ISNA(VLOOKUP(D1692,A:A,1,FALSE())),ISNA(VLOOKUP(D1692,BaseType!A:A,1,FALSE())),D1692&lt;&gt;"Struct"),"N","Y")</f>
        <v>Y</v>
      </c>
      <c r="G1692" s="145"/>
      <c r="H1692" s="141"/>
      <c r="I1692" s="141"/>
      <c r="J1692" s="141"/>
      <c r="K1692" s="141"/>
      <c r="L1692" s="141"/>
      <c r="M1692" s="141"/>
      <c r="N1692" s="54"/>
      <c r="O1692" s="54"/>
      <c r="P1692" s="54"/>
      <c r="Q1692" s="54"/>
      <c r="R1692" s="54"/>
      <c r="S1692" s="54"/>
      <c r="T1692" s="54"/>
    </row>
    <row r="1693" spans="1:20" ht="15" customHeight="1" x14ac:dyDescent="0.2">
      <c r="A1693" s="141"/>
      <c r="B1693" s="48" t="str">
        <f>IF(ISBLANK(A1693),"",IF(AND(ISNA(VLOOKUP(A1693,Interface_Platform!E:E,1,FALSE())),ISNA(VLOOKUP(A1693,D:D,1,FALSE()))),"N","Y"))</f>
        <v/>
      </c>
      <c r="C1693" s="48" t="s">
        <v>2461</v>
      </c>
      <c r="D1693" s="48" t="s">
        <v>193</v>
      </c>
      <c r="E1693" s="46">
        <v>1</v>
      </c>
      <c r="F1693" s="144" t="str">
        <f>IF(AND(ISNA(VLOOKUP(D1693,A:A,1,FALSE())),ISNA(VLOOKUP(D1693,BaseType!A:A,1,FALSE())),D1693&lt;&gt;"Struct"),"N","Y")</f>
        <v>Y</v>
      </c>
      <c r="G1693" s="145"/>
      <c r="H1693" s="141"/>
      <c r="I1693" s="141"/>
      <c r="J1693" s="141"/>
      <c r="K1693" s="141"/>
      <c r="L1693" s="141"/>
      <c r="M1693" s="141"/>
      <c r="N1693" s="54"/>
      <c r="O1693" s="54"/>
      <c r="P1693" s="54"/>
      <c r="Q1693" s="54"/>
      <c r="R1693" s="54"/>
      <c r="S1693" s="54"/>
      <c r="T1693" s="54"/>
    </row>
    <row r="1694" spans="1:20" ht="15" customHeight="1" x14ac:dyDescent="0.2">
      <c r="A1694" s="141"/>
      <c r="B1694" s="48" t="str">
        <f>IF(ISBLANK(A1694),"",IF(AND(ISNA(VLOOKUP(A1694,Interface_Platform!E:E,1,FALSE())),ISNA(VLOOKUP(A1694,D:D,1,FALSE()))),"N","Y"))</f>
        <v/>
      </c>
      <c r="C1694" s="48" t="s">
        <v>2462</v>
      </c>
      <c r="D1694" s="48" t="s">
        <v>193</v>
      </c>
      <c r="E1694" s="46">
        <v>1</v>
      </c>
      <c r="F1694" s="144" t="str">
        <f>IF(AND(ISNA(VLOOKUP(D1694,A:A,1,FALSE())),ISNA(VLOOKUP(D1694,BaseType!A:A,1,FALSE())),D1694&lt;&gt;"Struct"),"N","Y")</f>
        <v>Y</v>
      </c>
      <c r="G1694" s="145"/>
      <c r="H1694" s="141"/>
      <c r="I1694" s="141"/>
      <c r="J1694" s="141"/>
      <c r="K1694" s="141"/>
      <c r="L1694" s="141"/>
      <c r="M1694" s="141"/>
      <c r="N1694" s="54"/>
      <c r="O1694" s="54"/>
      <c r="P1694" s="54"/>
      <c r="Q1694" s="54"/>
      <c r="R1694" s="54"/>
      <c r="S1694" s="54"/>
      <c r="T1694" s="54"/>
    </row>
    <row r="1695" spans="1:20" ht="15" customHeight="1" x14ac:dyDescent="0.2">
      <c r="A1695" s="141"/>
      <c r="B1695" s="48" t="str">
        <f>IF(ISBLANK(A1695),"",IF(AND(ISNA(VLOOKUP(A1695,Interface_Platform!E:E,1,FALSE())),ISNA(VLOOKUP(A1695,D:D,1,FALSE()))),"N","Y"))</f>
        <v/>
      </c>
      <c r="C1695" s="48" t="s">
        <v>2463</v>
      </c>
      <c r="D1695" s="48" t="s">
        <v>193</v>
      </c>
      <c r="E1695" s="46">
        <v>1</v>
      </c>
      <c r="F1695" s="144" t="str">
        <f>IF(AND(ISNA(VLOOKUP(D1695,A:A,1,FALSE())),ISNA(VLOOKUP(D1695,BaseType!A:A,1,FALSE())),D1695&lt;&gt;"Struct"),"N","Y")</f>
        <v>Y</v>
      </c>
      <c r="G1695" s="145"/>
      <c r="H1695" s="141"/>
      <c r="I1695" s="141"/>
      <c r="J1695" s="141"/>
      <c r="K1695" s="141"/>
      <c r="L1695" s="141"/>
      <c r="M1695" s="141"/>
      <c r="N1695" s="54"/>
      <c r="O1695" s="54"/>
      <c r="P1695" s="54"/>
      <c r="Q1695" s="54"/>
      <c r="R1695" s="54"/>
      <c r="S1695" s="54"/>
      <c r="T1695" s="54"/>
    </row>
    <row r="1696" spans="1:20" ht="15" customHeight="1" x14ac:dyDescent="0.2">
      <c r="A1696" s="141"/>
      <c r="B1696" s="48" t="str">
        <f>IF(ISBLANK(A1696),"",IF(AND(ISNA(VLOOKUP(A1696,Interface_Platform!E:E,1,FALSE())),ISNA(VLOOKUP(A1696,D:D,1,FALSE()))),"N","Y"))</f>
        <v/>
      </c>
      <c r="C1696" s="48" t="s">
        <v>2464</v>
      </c>
      <c r="D1696" s="48" t="s">
        <v>193</v>
      </c>
      <c r="E1696" s="46">
        <v>1</v>
      </c>
      <c r="F1696" s="144" t="str">
        <f>IF(AND(ISNA(VLOOKUP(D1696,A:A,1,FALSE())),ISNA(VLOOKUP(D1696,BaseType!A:A,1,FALSE())),D1696&lt;&gt;"Struct"),"N","Y")</f>
        <v>Y</v>
      </c>
      <c r="G1696" s="145"/>
      <c r="H1696" s="141"/>
      <c r="I1696" s="141"/>
      <c r="J1696" s="141"/>
      <c r="K1696" s="141"/>
      <c r="L1696" s="141"/>
      <c r="M1696" s="141"/>
      <c r="N1696" s="54"/>
      <c r="O1696" s="54"/>
      <c r="P1696" s="54"/>
      <c r="Q1696" s="54"/>
      <c r="R1696" s="54"/>
      <c r="S1696" s="54"/>
      <c r="T1696" s="54"/>
    </row>
    <row r="1697" spans="1:20" ht="15" customHeight="1" x14ac:dyDescent="0.2">
      <c r="A1697" s="141"/>
      <c r="B1697" s="48" t="str">
        <f>IF(ISBLANK(A1697),"",IF(AND(ISNA(VLOOKUP(A1697,Interface_Platform!E:E,1,FALSE())),ISNA(VLOOKUP(A1697,D:D,1,FALSE()))),"N","Y"))</f>
        <v/>
      </c>
      <c r="C1697" s="48" t="s">
        <v>2465</v>
      </c>
      <c r="D1697" s="48" t="s">
        <v>193</v>
      </c>
      <c r="E1697" s="46">
        <v>1</v>
      </c>
      <c r="F1697" s="144" t="str">
        <f>IF(AND(ISNA(VLOOKUP(D1697,A:A,1,FALSE())),ISNA(VLOOKUP(D1697,BaseType!A:A,1,FALSE())),D1697&lt;&gt;"Struct"),"N","Y")</f>
        <v>Y</v>
      </c>
      <c r="G1697" s="145"/>
      <c r="H1697" s="141"/>
      <c r="I1697" s="141"/>
      <c r="J1697" s="141"/>
      <c r="K1697" s="141"/>
      <c r="L1697" s="141"/>
      <c r="M1697" s="141"/>
      <c r="N1697" s="54"/>
      <c r="O1697" s="54"/>
      <c r="P1697" s="54"/>
      <c r="Q1697" s="54"/>
      <c r="R1697" s="54"/>
      <c r="S1697" s="54"/>
      <c r="T1697" s="54"/>
    </row>
    <row r="1698" spans="1:20" ht="15" customHeight="1" x14ac:dyDescent="0.2">
      <c r="A1698" s="141"/>
      <c r="B1698" s="48"/>
      <c r="C1698" s="48" t="s">
        <v>2466</v>
      </c>
      <c r="D1698" s="48" t="s">
        <v>193</v>
      </c>
      <c r="E1698" s="46">
        <v>1</v>
      </c>
      <c r="F1698" s="144" t="str">
        <f>IF(AND(ISNA(VLOOKUP(D1698,A:A,1,FALSE())),ISNA(VLOOKUP(D1698,BaseType!A:A,1,FALSE())),D1698&lt;&gt;"Struct"),"N","Y")</f>
        <v>Y</v>
      </c>
      <c r="G1698" s="145"/>
      <c r="H1698" s="141"/>
      <c r="I1698" s="141"/>
      <c r="J1698" s="141"/>
      <c r="K1698" s="141"/>
      <c r="L1698" s="141"/>
      <c r="M1698" s="141"/>
      <c r="N1698" s="54"/>
      <c r="O1698" s="54"/>
      <c r="P1698" s="54"/>
      <c r="Q1698" s="54"/>
      <c r="R1698" s="54"/>
      <c r="S1698" s="54"/>
      <c r="T1698" s="54"/>
    </row>
    <row r="1699" spans="1:20" ht="15" customHeight="1" x14ac:dyDescent="0.2">
      <c r="A1699" s="141"/>
      <c r="B1699" s="48" t="str">
        <f>IF(ISBLANK(A1699),"",IF(AND(ISNA(VLOOKUP(A1699,Interface_Platform!E:E,1,FALSE())),ISNA(VLOOKUP(A1699,D:D,1,FALSE()))),"N","Y"))</f>
        <v/>
      </c>
      <c r="C1699" s="48" t="s">
        <v>2467</v>
      </c>
      <c r="D1699" s="48" t="s">
        <v>193</v>
      </c>
      <c r="E1699" s="46">
        <v>1</v>
      </c>
      <c r="F1699" s="144" t="str">
        <f>IF(AND(ISNA(VLOOKUP(D1699,A:A,1,FALSE())),ISNA(VLOOKUP(D1699,BaseType!A:A,1,FALSE())),D1699&lt;&gt;"Struct"),"N","Y")</f>
        <v>Y</v>
      </c>
      <c r="G1699" s="145"/>
      <c r="H1699" s="141"/>
      <c r="I1699" s="141"/>
      <c r="J1699" s="141"/>
      <c r="K1699" s="141"/>
      <c r="L1699" s="141"/>
      <c r="M1699" s="141"/>
      <c r="N1699" s="54"/>
      <c r="O1699" s="54"/>
      <c r="P1699" s="54"/>
      <c r="Q1699" s="54"/>
      <c r="R1699" s="54"/>
      <c r="S1699" s="54"/>
      <c r="T1699" s="54"/>
    </row>
    <row r="1700" spans="1:20" ht="15" customHeight="1" x14ac:dyDescent="0.2">
      <c r="A1700" s="141"/>
      <c r="B1700" s="48"/>
      <c r="C1700" s="48" t="s">
        <v>2468</v>
      </c>
      <c r="D1700" s="48" t="s">
        <v>193</v>
      </c>
      <c r="E1700" s="46">
        <v>1</v>
      </c>
      <c r="F1700" s="144" t="str">
        <f>IF(AND(ISNA(VLOOKUP(D1700,A:A,1,FALSE())),ISNA(VLOOKUP(D1700,BaseType!A:A,1,FALSE())),D1700&lt;&gt;"Struct"),"N","Y")</f>
        <v>Y</v>
      </c>
      <c r="G1700" s="145"/>
      <c r="H1700" s="141"/>
      <c r="I1700" s="141"/>
      <c r="J1700" s="141"/>
      <c r="K1700" s="141"/>
      <c r="L1700" s="141"/>
      <c r="M1700" s="141"/>
      <c r="N1700" s="54"/>
      <c r="O1700" s="54"/>
      <c r="P1700" s="54"/>
      <c r="Q1700" s="54"/>
      <c r="R1700" s="54"/>
      <c r="S1700" s="54"/>
      <c r="T1700" s="54"/>
    </row>
    <row r="1701" spans="1:20" ht="15" customHeight="1" x14ac:dyDescent="0.2">
      <c r="A1701" s="141"/>
      <c r="B1701" s="48"/>
      <c r="C1701" s="48" t="s">
        <v>2469</v>
      </c>
      <c r="D1701" s="48" t="s">
        <v>193</v>
      </c>
      <c r="E1701" s="46">
        <v>1</v>
      </c>
      <c r="F1701" s="144" t="str">
        <f>IF(AND(ISNA(VLOOKUP(D1701,A:A,1,FALSE())),ISNA(VLOOKUP(D1701,BaseType!A:A,1,FALSE())),D1701&lt;&gt;"Struct"),"N","Y")</f>
        <v>Y</v>
      </c>
      <c r="G1701" s="145"/>
      <c r="H1701" s="141"/>
      <c r="I1701" s="141"/>
      <c r="J1701" s="141"/>
      <c r="K1701" s="141"/>
      <c r="L1701" s="141"/>
      <c r="M1701" s="141"/>
      <c r="N1701" s="54"/>
      <c r="O1701" s="54"/>
      <c r="P1701" s="54"/>
      <c r="Q1701" s="54"/>
      <c r="R1701" s="54"/>
      <c r="S1701" s="54"/>
      <c r="T1701" s="54"/>
    </row>
    <row r="1702" spans="1:20" ht="15" customHeight="1" x14ac:dyDescent="0.2">
      <c r="A1702" s="141"/>
      <c r="B1702" s="48" t="str">
        <f>IF(ISBLANK(A1702),"",IF(AND(ISNA(VLOOKUP(A1702,Interface_Platform!E:E,1,FALSE())),ISNA(VLOOKUP(A1702,D:D,1,FALSE()))),"N","Y"))</f>
        <v/>
      </c>
      <c r="C1702" s="48" t="s">
        <v>2470</v>
      </c>
      <c r="D1702" s="48" t="s">
        <v>193</v>
      </c>
      <c r="E1702" s="46">
        <v>1</v>
      </c>
      <c r="F1702" s="144" t="str">
        <f>IF(AND(ISNA(VLOOKUP(D1702,A:A,1,FALSE())),ISNA(VLOOKUP(D1702,BaseType!A:A,1,FALSE())),D1702&lt;&gt;"Struct"),"N","Y")</f>
        <v>Y</v>
      </c>
      <c r="G1702" s="145"/>
      <c r="H1702" s="141"/>
      <c r="I1702" s="141"/>
      <c r="J1702" s="141"/>
      <c r="K1702" s="141"/>
      <c r="L1702" s="141"/>
      <c r="M1702" s="141"/>
      <c r="N1702" s="54"/>
      <c r="O1702" s="54"/>
      <c r="P1702" s="54"/>
      <c r="Q1702" s="54"/>
      <c r="R1702" s="54"/>
      <c r="S1702" s="54"/>
      <c r="T1702" s="54"/>
    </row>
    <row r="1703" spans="1:20" ht="15" customHeight="1" x14ac:dyDescent="0.2">
      <c r="A1703" s="141"/>
      <c r="B1703" s="48" t="str">
        <f>IF(ISBLANK(A1703),"",IF(AND(ISNA(VLOOKUP(A1703,Interface_Platform!E:E,1,FALSE())),ISNA(VLOOKUP(A1703,D:D,1,FALSE()))),"N","Y"))</f>
        <v/>
      </c>
      <c r="C1703" s="48" t="s">
        <v>2471</v>
      </c>
      <c r="D1703" s="48" t="s">
        <v>193</v>
      </c>
      <c r="E1703" s="46">
        <v>1</v>
      </c>
      <c r="F1703" s="144" t="str">
        <f>IF(AND(ISNA(VLOOKUP(D1703,A:A,1,FALSE())),ISNA(VLOOKUP(D1703,BaseType!A:A,1,FALSE())),D1703&lt;&gt;"Struct"),"N","Y")</f>
        <v>Y</v>
      </c>
      <c r="G1703" s="145"/>
      <c r="H1703" s="141"/>
      <c r="I1703" s="141"/>
      <c r="J1703" s="141"/>
      <c r="K1703" s="141"/>
      <c r="L1703" s="141"/>
      <c r="M1703" s="141"/>
      <c r="N1703" s="54"/>
      <c r="O1703" s="54"/>
      <c r="P1703" s="54"/>
      <c r="Q1703" s="54"/>
      <c r="R1703" s="54"/>
      <c r="S1703" s="54"/>
      <c r="T1703" s="54"/>
    </row>
    <row r="1704" spans="1:20" ht="15" customHeight="1" x14ac:dyDescent="0.2">
      <c r="A1704" s="141"/>
      <c r="B1704" s="48"/>
      <c r="C1704" s="48" t="s">
        <v>2472</v>
      </c>
      <c r="D1704" s="48" t="s">
        <v>193</v>
      </c>
      <c r="E1704" s="46">
        <v>1</v>
      </c>
      <c r="F1704" s="144" t="str">
        <f>IF(AND(ISNA(VLOOKUP(D1704,A:A,1,FALSE())),ISNA(VLOOKUP(D1704,BaseType!A:A,1,FALSE())),D1704&lt;&gt;"Struct"),"N","Y")</f>
        <v>Y</v>
      </c>
      <c r="G1704" s="145"/>
      <c r="H1704" s="141"/>
      <c r="I1704" s="141"/>
      <c r="J1704" s="141"/>
      <c r="K1704" s="141"/>
      <c r="L1704" s="141"/>
      <c r="M1704" s="141"/>
      <c r="N1704" s="54"/>
      <c r="O1704" s="54"/>
      <c r="P1704" s="54"/>
      <c r="Q1704" s="54"/>
      <c r="R1704" s="54"/>
      <c r="S1704" s="54"/>
      <c r="T1704" s="54"/>
    </row>
    <row r="1705" spans="1:20" ht="15" customHeight="1" x14ac:dyDescent="0.2">
      <c r="A1705" s="141"/>
      <c r="B1705" s="48"/>
      <c r="C1705" s="48" t="s">
        <v>2473</v>
      </c>
      <c r="D1705" s="48" t="s">
        <v>193</v>
      </c>
      <c r="E1705" s="46">
        <v>1</v>
      </c>
      <c r="F1705" s="144" t="str">
        <f>IF(AND(ISNA(VLOOKUP(D1705,A:A,1,FALSE())),ISNA(VLOOKUP(D1705,BaseType!A:A,1,FALSE())),D1705&lt;&gt;"Struct"),"N","Y")</f>
        <v>Y</v>
      </c>
      <c r="G1705" s="145"/>
      <c r="H1705" s="141"/>
      <c r="I1705" s="141"/>
      <c r="J1705" s="141"/>
      <c r="K1705" s="141"/>
      <c r="L1705" s="141"/>
      <c r="M1705" s="141"/>
      <c r="N1705" s="54"/>
      <c r="O1705" s="54"/>
      <c r="P1705" s="54"/>
      <c r="Q1705" s="54"/>
      <c r="R1705" s="54"/>
      <c r="S1705" s="54"/>
      <c r="T1705" s="54"/>
    </row>
    <row r="1706" spans="1:20" ht="15" customHeight="1" x14ac:dyDescent="0.2">
      <c r="A1706" s="141"/>
      <c r="B1706" s="48"/>
      <c r="C1706" s="48" t="s">
        <v>2474</v>
      </c>
      <c r="D1706" s="48" t="s">
        <v>193</v>
      </c>
      <c r="E1706" s="46">
        <v>1</v>
      </c>
      <c r="F1706" s="144" t="str">
        <f>IF(AND(ISNA(VLOOKUP(D1706,A:A,1,FALSE())),ISNA(VLOOKUP(D1706,BaseType!A:A,1,FALSE())),D1706&lt;&gt;"Struct"),"N","Y")</f>
        <v>Y</v>
      </c>
      <c r="G1706" s="145"/>
      <c r="H1706" s="141"/>
      <c r="I1706" s="141"/>
      <c r="J1706" s="141"/>
      <c r="K1706" s="141"/>
      <c r="L1706" s="141"/>
      <c r="M1706" s="141"/>
      <c r="N1706" s="54"/>
      <c r="O1706" s="54"/>
      <c r="P1706" s="54"/>
      <c r="Q1706" s="54"/>
      <c r="R1706" s="54"/>
      <c r="S1706" s="54"/>
      <c r="T1706" s="54"/>
    </row>
    <row r="1707" spans="1:20" ht="15" customHeight="1" x14ac:dyDescent="0.2">
      <c r="A1707" s="141"/>
      <c r="B1707" s="48" t="str">
        <f>IF(ISBLANK(A1707),"",IF(AND(ISNA(VLOOKUP(A1707,Interface_Platform!E:E,1,FALSE())),ISNA(VLOOKUP(A1707,D:D,1,FALSE()))),"N","Y"))</f>
        <v/>
      </c>
      <c r="C1707" s="48" t="s">
        <v>2475</v>
      </c>
      <c r="D1707" s="48" t="s">
        <v>193</v>
      </c>
      <c r="E1707" s="46">
        <v>1</v>
      </c>
      <c r="F1707" s="144" t="str">
        <f>IF(AND(ISNA(VLOOKUP(D1707,A:A,1,FALSE())),ISNA(VLOOKUP(D1707,BaseType!A:A,1,FALSE())),D1707&lt;&gt;"Struct"),"N","Y")</f>
        <v>Y</v>
      </c>
      <c r="G1707" s="145"/>
      <c r="H1707" s="141"/>
      <c r="I1707" s="141"/>
      <c r="J1707" s="141"/>
      <c r="K1707" s="141"/>
      <c r="L1707" s="141"/>
      <c r="M1707" s="141"/>
      <c r="N1707" s="54"/>
      <c r="O1707" s="54"/>
      <c r="P1707" s="54"/>
      <c r="Q1707" s="54"/>
      <c r="R1707" s="54"/>
      <c r="S1707" s="54"/>
      <c r="T1707" s="54"/>
    </row>
    <row r="1708" spans="1:20" ht="15" customHeight="1" x14ac:dyDescent="0.2">
      <c r="A1708" s="141"/>
      <c r="B1708" s="48"/>
      <c r="C1708" s="48" t="s">
        <v>2476</v>
      </c>
      <c r="D1708" s="48" t="s">
        <v>193</v>
      </c>
      <c r="E1708" s="46">
        <v>1</v>
      </c>
      <c r="F1708" s="144" t="str">
        <f>IF(AND(ISNA(VLOOKUP(D1708,A:A,1,FALSE())),ISNA(VLOOKUP(D1708,BaseType!A:A,1,FALSE())),D1708&lt;&gt;"Struct"),"N","Y")</f>
        <v>Y</v>
      </c>
      <c r="G1708" s="145"/>
      <c r="H1708" s="141"/>
      <c r="I1708" s="141"/>
      <c r="J1708" s="141"/>
      <c r="K1708" s="141"/>
      <c r="L1708" s="141"/>
      <c r="M1708" s="141"/>
      <c r="N1708" s="54"/>
      <c r="O1708" s="54"/>
      <c r="P1708" s="54"/>
      <c r="Q1708" s="54"/>
      <c r="R1708" s="54"/>
      <c r="S1708" s="54"/>
      <c r="T1708" s="54"/>
    </row>
    <row r="1709" spans="1:20" ht="15" customHeight="1" x14ac:dyDescent="0.2">
      <c r="A1709" s="141"/>
      <c r="B1709" s="48" t="str">
        <f>IF(ISBLANK(A1709),"",IF(AND(ISNA(VLOOKUP(A1709,Interface_Platform!E:E,1,FALSE())),ISNA(VLOOKUP(A1709,D:D,1,FALSE()))),"N","Y"))</f>
        <v/>
      </c>
      <c r="C1709" s="48" t="s">
        <v>2477</v>
      </c>
      <c r="D1709" s="48" t="s">
        <v>193</v>
      </c>
      <c r="E1709" s="46">
        <v>1</v>
      </c>
      <c r="F1709" s="144" t="str">
        <f>IF(AND(ISNA(VLOOKUP(D1709,A:A,1,FALSE())),ISNA(VLOOKUP(D1709,BaseType!A:A,1,FALSE())),D1709&lt;&gt;"Struct"),"N","Y")</f>
        <v>Y</v>
      </c>
      <c r="G1709" s="145"/>
      <c r="H1709" s="141"/>
      <c r="I1709" s="141"/>
      <c r="J1709" s="141"/>
      <c r="K1709" s="141"/>
      <c r="L1709" s="141"/>
      <c r="M1709" s="141"/>
      <c r="N1709" s="54"/>
      <c r="O1709" s="54"/>
      <c r="P1709" s="54"/>
      <c r="Q1709" s="54"/>
      <c r="R1709" s="54"/>
      <c r="S1709" s="54"/>
      <c r="T1709" s="54"/>
    </row>
    <row r="1710" spans="1:20" ht="15" customHeight="1" x14ac:dyDescent="0.2">
      <c r="A1710" s="141"/>
      <c r="B1710" s="48" t="str">
        <f>IF(ISBLANK(A1710),"",IF(AND(ISNA(VLOOKUP(A1710,Interface_Platform!E:E,1,FALSE())),ISNA(VLOOKUP(A1710,D:D,1,FALSE()))),"N","Y"))</f>
        <v/>
      </c>
      <c r="C1710" s="48" t="s">
        <v>2478</v>
      </c>
      <c r="D1710" s="48" t="s">
        <v>193</v>
      </c>
      <c r="E1710" s="46">
        <v>1</v>
      </c>
      <c r="F1710" s="144" t="str">
        <f>IF(AND(ISNA(VLOOKUP(D1710,A:A,1,FALSE())),ISNA(VLOOKUP(D1710,BaseType!A:A,1,FALSE())),D1710&lt;&gt;"Struct"),"N","Y")</f>
        <v>Y</v>
      </c>
      <c r="G1710" s="145"/>
      <c r="H1710" s="141"/>
      <c r="I1710" s="141"/>
      <c r="J1710" s="141"/>
      <c r="K1710" s="141"/>
      <c r="L1710" s="141"/>
      <c r="M1710" s="141"/>
      <c r="N1710" s="54"/>
      <c r="O1710" s="54"/>
      <c r="P1710" s="54"/>
      <c r="Q1710" s="54"/>
      <c r="R1710" s="54"/>
      <c r="S1710" s="54"/>
      <c r="T1710" s="54"/>
    </row>
    <row r="1711" spans="1:20" ht="15" customHeight="1" x14ac:dyDescent="0.2">
      <c r="A1711" s="141"/>
      <c r="B1711" s="48" t="str">
        <f>IF(ISBLANK(A1711),"",IF(AND(ISNA(VLOOKUP(A1711,Interface_Platform!E:E,1,FALSE())),ISNA(VLOOKUP(A1711,D:D,1,FALSE()))),"N","Y"))</f>
        <v/>
      </c>
      <c r="C1711" s="48" t="s">
        <v>2479</v>
      </c>
      <c r="D1711" s="48" t="s">
        <v>193</v>
      </c>
      <c r="E1711" s="46">
        <v>1</v>
      </c>
      <c r="F1711" s="144" t="str">
        <f>IF(AND(ISNA(VLOOKUP(D1711,A:A,1,FALSE())),ISNA(VLOOKUP(D1711,BaseType!A:A,1,FALSE())),D1711&lt;&gt;"Struct"),"N","Y")</f>
        <v>Y</v>
      </c>
      <c r="G1711" s="145"/>
      <c r="H1711" s="141"/>
      <c r="I1711" s="141"/>
      <c r="J1711" s="141"/>
      <c r="K1711" s="141"/>
      <c r="L1711" s="141"/>
      <c r="M1711" s="141"/>
      <c r="N1711" s="54"/>
      <c r="O1711" s="54"/>
      <c r="P1711" s="54"/>
      <c r="Q1711" s="54"/>
      <c r="R1711" s="54"/>
      <c r="S1711" s="54"/>
      <c r="T1711" s="54"/>
    </row>
    <row r="1712" spans="1:20" ht="15" customHeight="1" x14ac:dyDescent="0.2">
      <c r="A1712" s="48"/>
      <c r="B1712" s="228"/>
      <c r="C1712" s="48" t="s">
        <v>2480</v>
      </c>
      <c r="D1712" s="48" t="s">
        <v>764</v>
      </c>
      <c r="E1712" s="46">
        <v>1</v>
      </c>
      <c r="F1712" s="144" t="s">
        <v>388</v>
      </c>
      <c r="G1712" s="151" t="s">
        <v>2481</v>
      </c>
      <c r="H1712" s="91"/>
      <c r="I1712" s="91"/>
      <c r="J1712" s="91"/>
      <c r="K1712" s="91"/>
      <c r="L1712" s="91"/>
      <c r="M1712" s="91"/>
      <c r="N1712" s="42"/>
      <c r="O1712" s="42"/>
      <c r="P1712" s="42"/>
      <c r="Q1712" s="42"/>
      <c r="R1712" s="42"/>
      <c r="S1712" s="42"/>
      <c r="T1712" s="42"/>
    </row>
    <row r="1713" spans="1:20" ht="15" customHeight="1" x14ac:dyDescent="0.2">
      <c r="A1713" s="141" t="s">
        <v>431</v>
      </c>
      <c r="B1713" s="48" t="str">
        <f>IF(ISBLANK(A1713),"",IF(AND(ISNA(VLOOKUP(A1713,Interface_Platform!E:E,1,FALSE())),ISNA(VLOOKUP(A1713,D:D,1,FALSE()))),"N","Y"))</f>
        <v>Y</v>
      </c>
      <c r="C1713" s="91"/>
      <c r="D1713" s="164" t="s">
        <v>484</v>
      </c>
      <c r="E1713" s="46"/>
      <c r="F1713" s="144" t="str">
        <f>IF(AND(ISNA(VLOOKUP(D1713,A:A,1,FALSE())),ISNA(VLOOKUP(D1713,BaseType!A:A,1,FALSE())),D1713&lt;&gt;"Struct"),"N","Y")</f>
        <v>Y</v>
      </c>
      <c r="G1713" s="145"/>
      <c r="H1713" s="141"/>
      <c r="I1713" s="141"/>
      <c r="J1713" s="141"/>
      <c r="K1713" s="141"/>
      <c r="L1713" s="141"/>
      <c r="M1713" s="141"/>
      <c r="N1713" s="54"/>
      <c r="O1713" s="54"/>
      <c r="P1713" s="54"/>
      <c r="Q1713" s="54"/>
      <c r="R1713" s="54"/>
      <c r="S1713" s="54"/>
      <c r="T1713" s="54"/>
    </row>
    <row r="1714" spans="1:20" ht="15" customHeight="1" x14ac:dyDescent="0.2">
      <c r="A1714" s="141"/>
      <c r="B1714" s="141"/>
      <c r="C1714" s="91" t="s">
        <v>339</v>
      </c>
      <c r="D1714" s="91" t="s">
        <v>340</v>
      </c>
      <c r="E1714" s="46">
        <v>1</v>
      </c>
      <c r="F1714" s="144" t="str">
        <f>IF(AND(ISNA(VLOOKUP(D1714,A:A,1,FALSE())),ISNA(VLOOKUP(D1714,BaseType!A:A,1,FALSE())),D1714&lt;&gt;"Struct"),"N","Y")</f>
        <v>Y</v>
      </c>
      <c r="G1714" s="145"/>
      <c r="H1714" s="141"/>
      <c r="I1714" s="141"/>
      <c r="J1714" s="141"/>
      <c r="K1714" s="141"/>
      <c r="L1714" s="141"/>
      <c r="M1714" s="141"/>
      <c r="N1714" s="54"/>
      <c r="O1714" s="54"/>
      <c r="P1714" s="54"/>
      <c r="Q1714" s="54"/>
      <c r="R1714" s="54"/>
      <c r="S1714" s="54"/>
      <c r="T1714" s="54"/>
    </row>
    <row r="1715" spans="1:20" ht="15" customHeight="1" x14ac:dyDescent="0.2">
      <c r="A1715" s="141"/>
      <c r="B1715" s="141"/>
      <c r="C1715" s="91" t="s">
        <v>202</v>
      </c>
      <c r="D1715" s="91" t="s">
        <v>203</v>
      </c>
      <c r="E1715" s="46">
        <v>1</v>
      </c>
      <c r="F1715" s="144" t="str">
        <f>IF(AND(ISNA(VLOOKUP(D1715,A:A,1,FALSE())),ISNA(VLOOKUP(D1715,BaseType!A:A,1,FALSE())),D1715&lt;&gt;"Struct"),"N","Y")</f>
        <v>Y</v>
      </c>
      <c r="G1715" s="145"/>
      <c r="H1715" s="141"/>
      <c r="I1715" s="141"/>
      <c r="J1715" s="141"/>
      <c r="K1715" s="141"/>
      <c r="L1715" s="141"/>
      <c r="M1715" s="141"/>
      <c r="N1715" s="54"/>
      <c r="O1715" s="54"/>
      <c r="P1715" s="54"/>
      <c r="Q1715" s="54"/>
      <c r="R1715" s="54"/>
      <c r="S1715" s="54"/>
      <c r="T1715" s="54"/>
    </row>
    <row r="1716" spans="1:20" ht="15" customHeight="1" x14ac:dyDescent="0.2">
      <c r="A1716" s="141"/>
      <c r="B1716" s="141"/>
      <c r="C1716" s="91" t="s">
        <v>204</v>
      </c>
      <c r="D1716" s="91" t="s">
        <v>205</v>
      </c>
      <c r="E1716" s="46">
        <v>1</v>
      </c>
      <c r="F1716" s="144" t="str">
        <f>IF(AND(ISNA(VLOOKUP(D1716,A:A,1,FALSE())),ISNA(VLOOKUP(D1716,BaseType!A:A,1,FALSE())),D1716&lt;&gt;"Struct"),"N","Y")</f>
        <v>Y</v>
      </c>
      <c r="G1716" s="145"/>
      <c r="H1716" s="141"/>
      <c r="I1716" s="141"/>
      <c r="J1716" s="141"/>
      <c r="K1716" s="141"/>
      <c r="L1716" s="141"/>
      <c r="M1716" s="141"/>
      <c r="N1716" s="54"/>
      <c r="O1716" s="54"/>
      <c r="P1716" s="54"/>
      <c r="Q1716" s="54"/>
      <c r="R1716" s="54"/>
      <c r="S1716" s="54"/>
      <c r="T1716" s="54"/>
    </row>
    <row r="1717" spans="1:20" ht="15" customHeight="1" x14ac:dyDescent="0.2">
      <c r="A1717" s="141"/>
      <c r="B1717" s="141"/>
      <c r="C1717" s="91" t="s">
        <v>194</v>
      </c>
      <c r="D1717" s="91" t="s">
        <v>195</v>
      </c>
      <c r="E1717" s="46">
        <v>1</v>
      </c>
      <c r="F1717" s="144" t="str">
        <f>IF(AND(ISNA(VLOOKUP(D1717,A:A,1,FALSE())),ISNA(VLOOKUP(D1717,BaseType!A:A,1,FALSE())),D1717&lt;&gt;"Struct"),"N","Y")</f>
        <v>Y</v>
      </c>
      <c r="G1717" s="145"/>
      <c r="H1717" s="141"/>
      <c r="I1717" s="141"/>
      <c r="J1717" s="141"/>
      <c r="K1717" s="141"/>
      <c r="L1717" s="141"/>
      <c r="M1717" s="141"/>
      <c r="N1717" s="54"/>
      <c r="O1717" s="54"/>
      <c r="P1717" s="54"/>
      <c r="Q1717" s="54"/>
      <c r="R1717" s="54"/>
      <c r="S1717" s="54"/>
      <c r="T1717" s="54"/>
    </row>
    <row r="1718" spans="1:20" ht="15" customHeight="1" x14ac:dyDescent="0.2">
      <c r="A1718" s="141"/>
      <c r="B1718" s="141"/>
      <c r="C1718" s="91" t="s">
        <v>196</v>
      </c>
      <c r="D1718" s="91" t="s">
        <v>197</v>
      </c>
      <c r="E1718" s="46">
        <v>1</v>
      </c>
      <c r="F1718" s="144" t="str">
        <f>IF(AND(ISNA(VLOOKUP(D1718,A:A,1,FALSE())),ISNA(VLOOKUP(D1718,BaseType!A:A,1,FALSE())),D1718&lt;&gt;"Struct"),"N","Y")</f>
        <v>Y</v>
      </c>
      <c r="G1718" s="145"/>
      <c r="H1718" s="141"/>
      <c r="I1718" s="141"/>
      <c r="J1718" s="141"/>
      <c r="K1718" s="141"/>
      <c r="L1718" s="141"/>
      <c r="M1718" s="141"/>
      <c r="N1718" s="54"/>
      <c r="O1718" s="54"/>
      <c r="P1718" s="54"/>
      <c r="Q1718" s="54"/>
      <c r="R1718" s="54"/>
      <c r="S1718" s="54"/>
      <c r="T1718" s="54"/>
    </row>
    <row r="1719" spans="1:20" ht="15" customHeight="1" x14ac:dyDescent="0.2">
      <c r="A1719" s="141" t="s">
        <v>433</v>
      </c>
      <c r="B1719" s="48" t="str">
        <f>IF(ISBLANK(A1719),"",IF(AND(ISNA(VLOOKUP(A1719,Interface_Platform!E:E,1,FALSE())),ISNA(VLOOKUP(A1719,D:D,1,FALSE()))),"N","Y"))</f>
        <v>Y</v>
      </c>
      <c r="C1719" s="91"/>
      <c r="D1719" s="164" t="s">
        <v>484</v>
      </c>
      <c r="E1719" s="46"/>
      <c r="F1719" s="144" t="str">
        <f>IF(AND(ISNA(VLOOKUP(D1719,A:A,1,FALSE())),ISNA(VLOOKUP(D1719,BaseType!A:A,1,FALSE())),D1719&lt;&gt;"Struct"),"N","Y")</f>
        <v>Y</v>
      </c>
      <c r="G1719" s="145"/>
      <c r="H1719" s="141"/>
      <c r="I1719" s="141"/>
      <c r="J1719" s="141"/>
      <c r="K1719" s="141"/>
      <c r="L1719" s="141"/>
      <c r="M1719" s="141"/>
      <c r="N1719" s="54"/>
      <c r="O1719" s="54"/>
      <c r="P1719" s="54"/>
      <c r="Q1719" s="54"/>
      <c r="R1719" s="54"/>
      <c r="S1719" s="54"/>
      <c r="T1719" s="54"/>
    </row>
    <row r="1720" spans="1:20" ht="15" customHeight="1" x14ac:dyDescent="0.2">
      <c r="A1720" s="141"/>
      <c r="B1720" s="141"/>
      <c r="C1720" s="91" t="s">
        <v>206</v>
      </c>
      <c r="D1720" s="91" t="s">
        <v>207</v>
      </c>
      <c r="E1720" s="46">
        <v>1</v>
      </c>
      <c r="F1720" s="144" t="str">
        <f>IF(AND(ISNA(VLOOKUP(D1720,A:A,1,FALSE())),ISNA(VLOOKUP(D1720,BaseType!A:A,1,FALSE())),D1720&lt;&gt;"Struct"),"N","Y")</f>
        <v>Y</v>
      </c>
      <c r="G1720" s="145"/>
      <c r="H1720" s="141"/>
      <c r="I1720" s="141"/>
      <c r="J1720" s="141"/>
      <c r="K1720" s="141"/>
      <c r="L1720" s="141"/>
      <c r="M1720" s="141"/>
      <c r="N1720" s="54"/>
      <c r="O1720" s="54"/>
      <c r="P1720" s="54"/>
      <c r="Q1720" s="54"/>
      <c r="R1720" s="54"/>
      <c r="S1720" s="54"/>
      <c r="T1720" s="54"/>
    </row>
    <row r="1721" spans="1:20" ht="15" customHeight="1" x14ac:dyDescent="0.2">
      <c r="A1721" s="141"/>
      <c r="B1721" s="141"/>
      <c r="C1721" s="91" t="s">
        <v>198</v>
      </c>
      <c r="D1721" s="91" t="s">
        <v>199</v>
      </c>
      <c r="E1721" s="46">
        <v>1</v>
      </c>
      <c r="F1721" s="144" t="str">
        <f>IF(AND(ISNA(VLOOKUP(D1721,A:A,1,FALSE())),ISNA(VLOOKUP(D1721,BaseType!A:A,1,FALSE())),D1721&lt;&gt;"Struct"),"N","Y")</f>
        <v>Y</v>
      </c>
      <c r="G1721" s="145"/>
      <c r="H1721" s="141"/>
      <c r="I1721" s="141"/>
      <c r="J1721" s="141"/>
      <c r="K1721" s="141"/>
      <c r="L1721" s="141"/>
      <c r="M1721" s="141"/>
      <c r="N1721" s="54"/>
      <c r="O1721" s="54"/>
      <c r="P1721" s="54"/>
      <c r="Q1721" s="54"/>
      <c r="R1721" s="54"/>
      <c r="S1721" s="54"/>
      <c r="T1721" s="54"/>
    </row>
    <row r="1722" spans="1:20" ht="15" customHeight="1" x14ac:dyDescent="0.2">
      <c r="A1722" s="141"/>
      <c r="B1722" s="141"/>
      <c r="C1722" s="91" t="s">
        <v>315</v>
      </c>
      <c r="D1722" s="91" t="s">
        <v>316</v>
      </c>
      <c r="E1722" s="46">
        <v>1</v>
      </c>
      <c r="F1722" s="144" t="str">
        <f>IF(AND(ISNA(VLOOKUP(D1722,A:A,1,FALSE())),ISNA(VLOOKUP(D1722,BaseType!A:A,1,FALSE())),D1722&lt;&gt;"Struct"),"N","Y")</f>
        <v>Y</v>
      </c>
      <c r="G1722" s="145"/>
      <c r="H1722" s="141"/>
      <c r="I1722" s="141"/>
      <c r="J1722" s="141"/>
      <c r="K1722" s="141"/>
      <c r="L1722" s="141"/>
      <c r="M1722" s="141"/>
      <c r="N1722" s="54"/>
      <c r="O1722" s="54"/>
      <c r="P1722" s="54"/>
      <c r="Q1722" s="54"/>
      <c r="R1722" s="54"/>
      <c r="S1722" s="54"/>
      <c r="T1722" s="54"/>
    </row>
    <row r="1723" spans="1:20" ht="15" customHeight="1" x14ac:dyDescent="0.2">
      <c r="A1723" s="141"/>
      <c r="B1723" s="141"/>
      <c r="C1723" s="91" t="s">
        <v>351</v>
      </c>
      <c r="D1723" s="91" t="s">
        <v>352</v>
      </c>
      <c r="E1723" s="46">
        <v>1</v>
      </c>
      <c r="F1723" s="144" t="str">
        <f>IF(AND(ISNA(VLOOKUP(D1723,A:A,1,FALSE())),ISNA(VLOOKUP(D1723,BaseType!A:A,1,FALSE())),D1723&lt;&gt;"Struct"),"N","Y")</f>
        <v>Y</v>
      </c>
      <c r="G1723" s="145"/>
      <c r="H1723" s="141"/>
      <c r="I1723" s="141"/>
      <c r="J1723" s="141"/>
      <c r="K1723" s="141"/>
      <c r="L1723" s="141"/>
      <c r="M1723" s="141"/>
      <c r="N1723" s="54"/>
      <c r="O1723" s="54"/>
      <c r="P1723" s="54"/>
      <c r="Q1723" s="54"/>
      <c r="R1723" s="54"/>
      <c r="S1723" s="54"/>
      <c r="T1723" s="54"/>
    </row>
    <row r="1724" spans="1:20" ht="15" customHeight="1" x14ac:dyDescent="0.2">
      <c r="A1724" s="141"/>
      <c r="B1724" s="141"/>
      <c r="C1724" s="91" t="s">
        <v>299</v>
      </c>
      <c r="D1724" s="91" t="s">
        <v>300</v>
      </c>
      <c r="E1724" s="46">
        <v>1</v>
      </c>
      <c r="F1724" s="144" t="str">
        <f>IF(AND(ISNA(VLOOKUP(D1724,A:A,1,FALSE())),ISNA(VLOOKUP(D1724,BaseType!A:A,1,FALSE())),D1724&lt;&gt;"Struct"),"N","Y")</f>
        <v>Y</v>
      </c>
      <c r="G1724" s="145"/>
      <c r="H1724" s="141"/>
      <c r="I1724" s="141"/>
      <c r="J1724" s="141"/>
      <c r="K1724" s="141"/>
      <c r="L1724" s="141"/>
      <c r="M1724" s="141"/>
      <c r="N1724" s="54"/>
      <c r="O1724" s="54"/>
      <c r="P1724" s="54"/>
      <c r="Q1724" s="54"/>
      <c r="R1724" s="54"/>
      <c r="S1724" s="54"/>
      <c r="T1724" s="54"/>
    </row>
    <row r="1725" spans="1:20" ht="15" customHeight="1" x14ac:dyDescent="0.2">
      <c r="A1725" s="141"/>
      <c r="B1725" s="141"/>
      <c r="C1725" s="91" t="s">
        <v>364</v>
      </c>
      <c r="D1725" s="91" t="s">
        <v>365</v>
      </c>
      <c r="E1725" s="46">
        <v>1</v>
      </c>
      <c r="F1725" s="144" t="str">
        <f>IF(AND(ISNA(VLOOKUP(D1725,A:A,1,FALSE())),ISNA(VLOOKUP(D1725,BaseType!A:A,1,FALSE())),D1725&lt;&gt;"Struct"),"N","Y")</f>
        <v>Y</v>
      </c>
      <c r="G1725" s="145"/>
      <c r="H1725" s="141"/>
      <c r="I1725" s="141"/>
      <c r="J1725" s="141"/>
      <c r="K1725" s="141"/>
      <c r="L1725" s="141"/>
      <c r="M1725" s="141"/>
      <c r="N1725" s="54"/>
      <c r="O1725" s="54"/>
      <c r="P1725" s="54"/>
      <c r="Q1725" s="54"/>
      <c r="R1725" s="54"/>
      <c r="S1725" s="54"/>
      <c r="T1725" s="54"/>
    </row>
    <row r="1726" spans="1:20" ht="15" customHeight="1" x14ac:dyDescent="0.2">
      <c r="A1726" s="141" t="s">
        <v>435</v>
      </c>
      <c r="B1726" s="48" t="str">
        <f>IF(ISBLANK(A1726),"",IF(AND(ISNA(VLOOKUP(A1726,Interface_Platform!E:E,1,FALSE())),ISNA(VLOOKUP(A1726,D:D,1,FALSE()))),"N","Y"))</f>
        <v>Y</v>
      </c>
      <c r="C1726" s="91"/>
      <c r="D1726" s="164" t="s">
        <v>484</v>
      </c>
      <c r="E1726" s="46"/>
      <c r="F1726" s="144"/>
      <c r="G1726" s="145"/>
      <c r="H1726" s="141"/>
      <c r="I1726" s="141"/>
      <c r="J1726" s="141"/>
      <c r="K1726" s="141"/>
      <c r="L1726" s="141"/>
      <c r="M1726" s="141"/>
      <c r="N1726" s="54"/>
      <c r="O1726" s="54"/>
      <c r="P1726" s="54"/>
      <c r="Q1726" s="54"/>
      <c r="R1726" s="54"/>
      <c r="S1726" s="54"/>
      <c r="T1726" s="54"/>
    </row>
    <row r="1727" spans="1:20" ht="15" customHeight="1" x14ac:dyDescent="0.2">
      <c r="A1727" s="141"/>
      <c r="B1727" s="141"/>
      <c r="C1727" s="91" t="s">
        <v>251</v>
      </c>
      <c r="D1727" s="91" t="s">
        <v>252</v>
      </c>
      <c r="E1727" s="46">
        <v>1</v>
      </c>
      <c r="F1727" s="144" t="str">
        <f>IF(AND(ISNA(VLOOKUP(D1727,A:A,1,FALSE())),ISNA(VLOOKUP(D1727,BaseType!A:A,1,FALSE())),D1727&lt;&gt;"Struct"),"N","Y")</f>
        <v>Y</v>
      </c>
      <c r="G1727" s="145"/>
      <c r="H1727" s="141"/>
      <c r="I1727" s="141"/>
      <c r="J1727" s="141"/>
      <c r="K1727" s="141"/>
      <c r="L1727" s="141"/>
      <c r="M1727" s="141"/>
      <c r="N1727" s="54"/>
      <c r="O1727" s="54"/>
      <c r="P1727" s="54"/>
      <c r="Q1727" s="54"/>
      <c r="R1727" s="54"/>
      <c r="S1727" s="54"/>
      <c r="T1727" s="54"/>
    </row>
    <row r="1728" spans="1:20" ht="15" customHeight="1" x14ac:dyDescent="0.2">
      <c r="A1728" s="141" t="s">
        <v>437</v>
      </c>
      <c r="B1728" s="48" t="str">
        <f>IF(ISBLANK(A1728),"",IF(AND(ISNA(VLOOKUP(A1728,Interface_Platform!E:E,1,FALSE())),ISNA(VLOOKUP(A1728,D:D,1,FALSE()))),"N","Y"))</f>
        <v>Y</v>
      </c>
      <c r="C1728" s="91"/>
      <c r="D1728" s="164" t="s">
        <v>484</v>
      </c>
      <c r="E1728" s="46"/>
      <c r="F1728" s="144"/>
      <c r="G1728" s="145"/>
      <c r="H1728" s="141"/>
      <c r="I1728" s="141"/>
      <c r="J1728" s="141"/>
      <c r="K1728" s="141"/>
      <c r="L1728" s="141"/>
      <c r="M1728" s="141"/>
      <c r="N1728" s="54"/>
      <c r="O1728" s="54"/>
      <c r="P1728" s="54"/>
      <c r="Q1728" s="54"/>
      <c r="R1728" s="54"/>
      <c r="S1728" s="54"/>
      <c r="T1728" s="54"/>
    </row>
    <row r="1729" spans="1:20" ht="15" customHeight="1" x14ac:dyDescent="0.2">
      <c r="A1729" s="141"/>
      <c r="B1729" s="141"/>
      <c r="C1729" s="91" t="s">
        <v>281</v>
      </c>
      <c r="D1729" s="91" t="s">
        <v>225</v>
      </c>
      <c r="E1729" s="46">
        <v>1</v>
      </c>
      <c r="F1729" s="144" t="str">
        <f>IF(AND(ISNA(VLOOKUP(D1729,A:A,1,FALSE())),ISNA(VLOOKUP(D1729,BaseType!A:A,1,FALSE())),D1729&lt;&gt;"Struct"),"N","Y")</f>
        <v>Y</v>
      </c>
      <c r="G1729" s="145"/>
      <c r="H1729" s="141"/>
      <c r="I1729" s="141"/>
      <c r="J1729" s="141"/>
      <c r="K1729" s="141"/>
      <c r="L1729" s="141"/>
      <c r="M1729" s="141"/>
      <c r="N1729" s="54"/>
      <c r="O1729" s="54"/>
      <c r="P1729" s="54"/>
      <c r="Q1729" s="54"/>
      <c r="R1729" s="54"/>
      <c r="S1729" s="54"/>
      <c r="T1729" s="54"/>
    </row>
    <row r="1730" spans="1:20" ht="15" customHeight="1" x14ac:dyDescent="0.2">
      <c r="A1730" s="141"/>
      <c r="B1730" s="141"/>
      <c r="C1730" s="91" t="s">
        <v>282</v>
      </c>
      <c r="D1730" s="91" t="s">
        <v>225</v>
      </c>
      <c r="E1730" s="46">
        <v>1</v>
      </c>
      <c r="F1730" s="144" t="str">
        <f>IF(AND(ISNA(VLOOKUP(D1730,A:A,1,FALSE())),ISNA(VLOOKUP(D1730,BaseType!A:A,1,FALSE())),D1730&lt;&gt;"Struct"),"N","Y")</f>
        <v>Y</v>
      </c>
      <c r="G1730" s="145"/>
      <c r="H1730" s="141"/>
      <c r="I1730" s="141"/>
      <c r="J1730" s="141"/>
      <c r="K1730" s="141"/>
      <c r="L1730" s="141"/>
      <c r="M1730" s="141"/>
      <c r="N1730" s="54"/>
      <c r="O1730" s="54"/>
      <c r="P1730" s="54"/>
      <c r="Q1730" s="54"/>
      <c r="R1730" s="54"/>
      <c r="S1730" s="54"/>
      <c r="T1730" s="54"/>
    </row>
    <row r="1731" spans="1:20" ht="15" customHeight="1" x14ac:dyDescent="0.2">
      <c r="A1731" s="141"/>
      <c r="B1731" s="141"/>
      <c r="C1731" s="91" t="s">
        <v>283</v>
      </c>
      <c r="D1731" s="91" t="s">
        <v>225</v>
      </c>
      <c r="E1731" s="46">
        <v>1</v>
      </c>
      <c r="F1731" s="144" t="str">
        <f>IF(AND(ISNA(VLOOKUP(D1731,A:A,1,FALSE())),ISNA(VLOOKUP(D1731,BaseType!A:A,1,FALSE())),D1731&lt;&gt;"Struct"),"N","Y")</f>
        <v>Y</v>
      </c>
      <c r="G1731" s="145"/>
      <c r="H1731" s="141"/>
      <c r="I1731" s="141"/>
      <c r="J1731" s="141"/>
      <c r="K1731" s="141"/>
      <c r="L1731" s="141"/>
      <c r="M1731" s="141"/>
      <c r="N1731" s="54"/>
      <c r="O1731" s="54"/>
      <c r="P1731" s="54"/>
      <c r="Q1731" s="54"/>
      <c r="R1731" s="54"/>
      <c r="S1731" s="54"/>
      <c r="T1731" s="54"/>
    </row>
    <row r="1732" spans="1:20" ht="15" customHeight="1" x14ac:dyDescent="0.2">
      <c r="A1732" s="141"/>
      <c r="B1732" s="141"/>
      <c r="C1732" s="91" t="s">
        <v>284</v>
      </c>
      <c r="D1732" s="91" t="s">
        <v>225</v>
      </c>
      <c r="E1732" s="46">
        <v>1</v>
      </c>
      <c r="F1732" s="144" t="str">
        <f>IF(AND(ISNA(VLOOKUP(D1732,A:A,1,FALSE())),ISNA(VLOOKUP(D1732,BaseType!A:A,1,FALSE())),D1732&lt;&gt;"Struct"),"N","Y")</f>
        <v>Y</v>
      </c>
      <c r="G1732" s="145"/>
      <c r="H1732" s="141"/>
      <c r="I1732" s="141"/>
      <c r="J1732" s="141"/>
      <c r="K1732" s="141"/>
      <c r="L1732" s="141"/>
      <c r="M1732" s="141"/>
      <c r="N1732" s="54"/>
      <c r="O1732" s="54"/>
      <c r="P1732" s="54"/>
      <c r="Q1732" s="54"/>
      <c r="R1732" s="54"/>
      <c r="S1732" s="54"/>
      <c r="T1732" s="54"/>
    </row>
    <row r="1733" spans="1:20" ht="15" customHeight="1" x14ac:dyDescent="0.2">
      <c r="A1733" s="141"/>
      <c r="B1733" s="141"/>
      <c r="C1733" s="91" t="s">
        <v>285</v>
      </c>
      <c r="D1733" s="91" t="s">
        <v>225</v>
      </c>
      <c r="E1733" s="46">
        <v>1</v>
      </c>
      <c r="F1733" s="144" t="str">
        <f>IF(AND(ISNA(VLOOKUP(D1733,A:A,1,FALSE())),ISNA(VLOOKUP(D1733,BaseType!A:A,1,FALSE())),D1733&lt;&gt;"Struct"),"N","Y")</f>
        <v>Y</v>
      </c>
      <c r="G1733" s="145"/>
      <c r="H1733" s="141"/>
      <c r="I1733" s="141"/>
      <c r="J1733" s="141"/>
      <c r="K1733" s="141"/>
      <c r="L1733" s="141"/>
      <c r="M1733" s="141"/>
      <c r="N1733" s="54"/>
      <c r="O1733" s="54"/>
      <c r="P1733" s="54"/>
      <c r="Q1733" s="54"/>
      <c r="R1733" s="54"/>
      <c r="S1733" s="54"/>
      <c r="T1733" s="54"/>
    </row>
    <row r="1734" spans="1:20" ht="15" customHeight="1" x14ac:dyDescent="0.2">
      <c r="A1734" s="141"/>
      <c r="B1734" s="141"/>
      <c r="C1734" s="91" t="s">
        <v>286</v>
      </c>
      <c r="D1734" s="91" t="s">
        <v>225</v>
      </c>
      <c r="E1734" s="46">
        <v>1</v>
      </c>
      <c r="F1734" s="144" t="str">
        <f>IF(AND(ISNA(VLOOKUP(D1734,A:A,1,FALSE())),ISNA(VLOOKUP(D1734,BaseType!A:A,1,FALSE())),D1734&lt;&gt;"Struct"),"N","Y")</f>
        <v>Y</v>
      </c>
      <c r="G1734" s="145"/>
      <c r="H1734" s="141"/>
      <c r="I1734" s="141"/>
      <c r="J1734" s="141"/>
      <c r="K1734" s="141"/>
      <c r="L1734" s="141"/>
      <c r="M1734" s="141"/>
      <c r="N1734" s="54"/>
      <c r="O1734" s="54"/>
      <c r="P1734" s="54"/>
      <c r="Q1734" s="54"/>
      <c r="R1734" s="54"/>
      <c r="S1734" s="54"/>
      <c r="T1734" s="54"/>
    </row>
    <row r="1735" spans="1:20" ht="15" customHeight="1" x14ac:dyDescent="0.2">
      <c r="A1735" s="141"/>
      <c r="B1735" s="141"/>
      <c r="C1735" s="91" t="s">
        <v>287</v>
      </c>
      <c r="D1735" s="91" t="s">
        <v>225</v>
      </c>
      <c r="E1735" s="46">
        <v>1</v>
      </c>
      <c r="F1735" s="144" t="str">
        <f>IF(AND(ISNA(VLOOKUP(D1735,A:A,1,FALSE())),ISNA(VLOOKUP(D1735,BaseType!A:A,1,FALSE())),D1735&lt;&gt;"Struct"),"N","Y")</f>
        <v>Y</v>
      </c>
      <c r="G1735" s="145"/>
      <c r="H1735" s="141"/>
      <c r="I1735" s="141"/>
      <c r="J1735" s="141"/>
      <c r="K1735" s="141"/>
      <c r="L1735" s="141"/>
      <c r="M1735" s="141"/>
      <c r="N1735" s="54"/>
      <c r="O1735" s="54"/>
      <c r="P1735" s="54"/>
      <c r="Q1735" s="54"/>
      <c r="R1735" s="54"/>
      <c r="S1735" s="54"/>
      <c r="T1735" s="54"/>
    </row>
    <row r="1736" spans="1:20" ht="15" customHeight="1" x14ac:dyDescent="0.2">
      <c r="A1736" s="141"/>
      <c r="B1736" s="141"/>
      <c r="C1736" s="91" t="s">
        <v>288</v>
      </c>
      <c r="D1736" s="91" t="s">
        <v>225</v>
      </c>
      <c r="E1736" s="46">
        <v>1</v>
      </c>
      <c r="F1736" s="144" t="str">
        <f>IF(AND(ISNA(VLOOKUP(D1736,A:A,1,FALSE())),ISNA(VLOOKUP(D1736,BaseType!A:A,1,FALSE())),D1736&lt;&gt;"Struct"),"N","Y")</f>
        <v>Y</v>
      </c>
      <c r="G1736" s="145"/>
      <c r="H1736" s="141"/>
      <c r="I1736" s="141"/>
      <c r="J1736" s="141"/>
      <c r="K1736" s="141"/>
      <c r="L1736" s="141"/>
      <c r="M1736" s="141"/>
      <c r="N1736" s="54"/>
      <c r="O1736" s="54"/>
      <c r="P1736" s="54"/>
      <c r="Q1736" s="54"/>
      <c r="R1736" s="54"/>
      <c r="S1736" s="54"/>
      <c r="T1736" s="54"/>
    </row>
    <row r="1737" spans="1:20" ht="15" customHeight="1" x14ac:dyDescent="0.2">
      <c r="A1737" s="141"/>
      <c r="B1737" s="141"/>
      <c r="C1737" s="91" t="s">
        <v>289</v>
      </c>
      <c r="D1737" s="91" t="s">
        <v>225</v>
      </c>
      <c r="E1737" s="46">
        <v>1</v>
      </c>
      <c r="F1737" s="144" t="str">
        <f>IF(AND(ISNA(VLOOKUP(D1737,A:A,1,FALSE())),ISNA(VLOOKUP(D1737,BaseType!A:A,1,FALSE())),D1737&lt;&gt;"Struct"),"N","Y")</f>
        <v>Y</v>
      </c>
      <c r="G1737" s="145"/>
      <c r="H1737" s="141"/>
      <c r="I1737" s="141"/>
      <c r="J1737" s="141"/>
      <c r="K1737" s="141"/>
      <c r="L1737" s="141"/>
      <c r="M1737" s="141"/>
      <c r="N1737" s="54"/>
      <c r="O1737" s="54"/>
      <c r="P1737" s="54"/>
      <c r="Q1737" s="54"/>
      <c r="R1737" s="54"/>
      <c r="S1737" s="54"/>
      <c r="T1737" s="54"/>
    </row>
    <row r="1738" spans="1:20" ht="15" customHeight="1" x14ac:dyDescent="0.2">
      <c r="A1738" s="141"/>
      <c r="B1738" s="141"/>
      <c r="C1738" s="91" t="s">
        <v>290</v>
      </c>
      <c r="D1738" s="91" t="s">
        <v>225</v>
      </c>
      <c r="E1738" s="46">
        <v>1</v>
      </c>
      <c r="F1738" s="144" t="str">
        <f>IF(AND(ISNA(VLOOKUP(D1738,A:A,1,FALSE())),ISNA(VLOOKUP(D1738,BaseType!A:A,1,FALSE())),D1738&lt;&gt;"Struct"),"N","Y")</f>
        <v>Y</v>
      </c>
      <c r="G1738" s="145"/>
      <c r="H1738" s="141"/>
      <c r="I1738" s="141"/>
      <c r="J1738" s="141"/>
      <c r="K1738" s="141"/>
      <c r="L1738" s="141"/>
      <c r="M1738" s="141"/>
      <c r="N1738" s="54"/>
      <c r="O1738" s="54"/>
      <c r="P1738" s="54"/>
      <c r="Q1738" s="54"/>
      <c r="R1738" s="54"/>
      <c r="S1738" s="54"/>
      <c r="T1738" s="54"/>
    </row>
    <row r="1739" spans="1:20" ht="15" customHeight="1" x14ac:dyDescent="0.2">
      <c r="A1739" s="141"/>
      <c r="B1739" s="141"/>
      <c r="C1739" s="91" t="s">
        <v>291</v>
      </c>
      <c r="D1739" s="91" t="s">
        <v>225</v>
      </c>
      <c r="E1739" s="46">
        <v>1</v>
      </c>
      <c r="F1739" s="144" t="str">
        <f>IF(AND(ISNA(VLOOKUP(D1739,A:A,1,FALSE())),ISNA(VLOOKUP(D1739,BaseType!A:A,1,FALSE())),D1739&lt;&gt;"Struct"),"N","Y")</f>
        <v>Y</v>
      </c>
      <c r="G1739" s="145"/>
      <c r="H1739" s="141"/>
      <c r="I1739" s="141"/>
      <c r="J1739" s="141"/>
      <c r="K1739" s="141"/>
      <c r="L1739" s="141"/>
      <c r="M1739" s="141"/>
      <c r="N1739" s="54"/>
      <c r="O1739" s="54"/>
      <c r="P1739" s="54"/>
      <c r="Q1739" s="54"/>
      <c r="R1739" s="54"/>
      <c r="S1739" s="54"/>
      <c r="T1739" s="54"/>
    </row>
    <row r="1740" spans="1:20" ht="15" customHeight="1" x14ac:dyDescent="0.2">
      <c r="A1740" s="141"/>
      <c r="B1740" s="141"/>
      <c r="C1740" s="91" t="s">
        <v>224</v>
      </c>
      <c r="D1740" s="91" t="s">
        <v>225</v>
      </c>
      <c r="E1740" s="46">
        <v>1</v>
      </c>
      <c r="F1740" s="144" t="str">
        <f>IF(AND(ISNA(VLOOKUP(D1740,A:A,1,FALSE())),ISNA(VLOOKUP(D1740,BaseType!A:A,1,FALSE())),D1740&lt;&gt;"Struct"),"N","Y")</f>
        <v>Y</v>
      </c>
      <c r="G1740" s="145"/>
      <c r="H1740" s="141"/>
      <c r="I1740" s="141"/>
      <c r="J1740" s="141"/>
      <c r="K1740" s="141"/>
      <c r="L1740" s="141"/>
      <c r="M1740" s="141"/>
      <c r="N1740" s="54"/>
      <c r="O1740" s="54"/>
      <c r="P1740" s="54"/>
      <c r="Q1740" s="54"/>
      <c r="R1740" s="54"/>
      <c r="S1740" s="54"/>
      <c r="T1740" s="54"/>
    </row>
    <row r="1741" spans="1:20" ht="15" customHeight="1" x14ac:dyDescent="0.2">
      <c r="A1741" s="141"/>
      <c r="B1741" s="141"/>
      <c r="C1741" s="91" t="s">
        <v>292</v>
      </c>
      <c r="D1741" s="91" t="s">
        <v>293</v>
      </c>
      <c r="E1741" s="46">
        <v>1</v>
      </c>
      <c r="F1741" s="144" t="str">
        <f>IF(AND(ISNA(VLOOKUP(D1741,A:A,1,FALSE())),ISNA(VLOOKUP(D1741,BaseType!A:A,1,FALSE())),D1741&lt;&gt;"Struct"),"N","Y")</f>
        <v>Y</v>
      </c>
      <c r="G1741" s="145"/>
      <c r="H1741" s="141"/>
      <c r="I1741" s="141"/>
      <c r="J1741" s="141"/>
      <c r="K1741" s="141"/>
      <c r="L1741" s="141"/>
      <c r="M1741" s="141"/>
      <c r="N1741" s="54"/>
      <c r="O1741" s="54"/>
      <c r="P1741" s="54"/>
      <c r="Q1741" s="54"/>
      <c r="R1741" s="54"/>
      <c r="S1741" s="54"/>
      <c r="T1741" s="54"/>
    </row>
    <row r="1742" spans="1:20" ht="15" customHeight="1" x14ac:dyDescent="0.2">
      <c r="A1742" s="141"/>
      <c r="B1742" s="141"/>
      <c r="C1742" s="91" t="s">
        <v>294</v>
      </c>
      <c r="D1742" s="91" t="s">
        <v>225</v>
      </c>
      <c r="E1742" s="46">
        <v>1</v>
      </c>
      <c r="F1742" s="144" t="str">
        <f>IF(AND(ISNA(VLOOKUP(D1742,A:A,1,FALSE())),ISNA(VLOOKUP(D1742,BaseType!A:A,1,FALSE())),D1742&lt;&gt;"Struct"),"N","Y")</f>
        <v>Y</v>
      </c>
      <c r="G1742" s="145"/>
      <c r="H1742" s="141"/>
      <c r="I1742" s="141"/>
      <c r="J1742" s="141"/>
      <c r="K1742" s="141"/>
      <c r="L1742" s="141"/>
      <c r="M1742" s="141"/>
      <c r="N1742" s="54"/>
      <c r="O1742" s="54"/>
      <c r="P1742" s="54"/>
      <c r="Q1742" s="54"/>
      <c r="R1742" s="54"/>
      <c r="S1742" s="54"/>
      <c r="T1742" s="54"/>
    </row>
    <row r="1743" spans="1:20" ht="15" customHeight="1" x14ac:dyDescent="0.2">
      <c r="A1743" s="141"/>
      <c r="B1743" s="141"/>
      <c r="C1743" s="91" t="s">
        <v>295</v>
      </c>
      <c r="D1743" s="91" t="s">
        <v>225</v>
      </c>
      <c r="E1743" s="46">
        <v>1</v>
      </c>
      <c r="F1743" s="144" t="str">
        <f>IF(AND(ISNA(VLOOKUP(D1743,A:A,1,FALSE())),ISNA(VLOOKUP(D1743,BaseType!A:A,1,FALSE())),D1743&lt;&gt;"Struct"),"N","Y")</f>
        <v>Y</v>
      </c>
      <c r="G1743" s="145"/>
      <c r="H1743" s="141"/>
      <c r="I1743" s="141"/>
      <c r="J1743" s="141"/>
      <c r="K1743" s="141"/>
      <c r="L1743" s="141"/>
      <c r="M1743" s="141"/>
      <c r="N1743" s="54"/>
      <c r="O1743" s="54"/>
      <c r="P1743" s="54"/>
      <c r="Q1743" s="54"/>
      <c r="R1743" s="54"/>
      <c r="S1743" s="54"/>
      <c r="T1743" s="54"/>
    </row>
    <row r="1744" spans="1:20" ht="15" customHeight="1" x14ac:dyDescent="0.2">
      <c r="A1744" s="141"/>
      <c r="B1744" s="141"/>
      <c r="C1744" s="91" t="s">
        <v>253</v>
      </c>
      <c r="D1744" s="91" t="s">
        <v>254</v>
      </c>
      <c r="E1744" s="46">
        <v>1</v>
      </c>
      <c r="F1744" s="144" t="str">
        <f>IF(AND(ISNA(VLOOKUP(D1744,A:A,1,FALSE())),ISNA(VLOOKUP(D1744,BaseType!A:A,1,FALSE())),D1744&lt;&gt;"Struct"),"N","Y")</f>
        <v>Y</v>
      </c>
      <c r="G1744" s="145"/>
      <c r="H1744" s="141"/>
      <c r="I1744" s="141"/>
      <c r="J1744" s="141"/>
      <c r="K1744" s="141"/>
      <c r="L1744" s="141"/>
      <c r="M1744" s="141"/>
      <c r="N1744" s="54"/>
      <c r="O1744" s="54"/>
      <c r="P1744" s="54"/>
      <c r="Q1744" s="54"/>
      <c r="R1744" s="54"/>
      <c r="S1744" s="54"/>
      <c r="T1744" s="54"/>
    </row>
    <row r="1745" spans="1:20" ht="15" customHeight="1" x14ac:dyDescent="0.2">
      <c r="A1745" s="141" t="s">
        <v>439</v>
      </c>
      <c r="B1745" s="48" t="str">
        <f>IF(ISBLANK(A1745),"",IF(AND(ISNA(VLOOKUP(A1745,Interface_Platform!E:E,1,FALSE())),ISNA(VLOOKUP(A1745,D:D,1,FALSE()))),"N","Y"))</f>
        <v>Y</v>
      </c>
      <c r="C1745" s="91"/>
      <c r="D1745" s="164" t="s">
        <v>484</v>
      </c>
      <c r="E1745" s="46"/>
      <c r="F1745" s="144"/>
      <c r="G1745" s="145"/>
      <c r="H1745" s="141"/>
      <c r="I1745" s="141"/>
      <c r="J1745" s="141"/>
      <c r="K1745" s="141"/>
      <c r="L1745" s="141"/>
      <c r="M1745" s="141"/>
      <c r="N1745" s="54"/>
      <c r="O1745" s="54"/>
      <c r="P1745" s="54"/>
      <c r="Q1745" s="54"/>
      <c r="R1745" s="54"/>
      <c r="S1745" s="54"/>
      <c r="T1745" s="54"/>
    </row>
    <row r="1746" spans="1:20" ht="15" customHeight="1" x14ac:dyDescent="0.2">
      <c r="A1746" s="141"/>
      <c r="B1746" s="141"/>
      <c r="C1746" s="91" t="s">
        <v>208</v>
      </c>
      <c r="D1746" s="91" t="s">
        <v>209</v>
      </c>
      <c r="E1746" s="46">
        <v>1</v>
      </c>
      <c r="F1746" s="144" t="str">
        <f>IF(AND(ISNA(VLOOKUP(D1746,A:A,1,FALSE())),ISNA(VLOOKUP(D1746,BaseType!A:A,1,FALSE())),D1746&lt;&gt;"Struct"),"N","Y")</f>
        <v>Y</v>
      </c>
      <c r="G1746" s="145"/>
      <c r="H1746" s="141"/>
      <c r="I1746" s="141"/>
      <c r="J1746" s="141"/>
      <c r="K1746" s="141"/>
      <c r="L1746" s="141"/>
      <c r="M1746" s="141"/>
      <c r="N1746" s="54"/>
      <c r="O1746" s="54"/>
      <c r="P1746" s="54"/>
      <c r="Q1746" s="54"/>
      <c r="R1746" s="54"/>
      <c r="S1746" s="54"/>
      <c r="T1746" s="54"/>
    </row>
    <row r="1747" spans="1:20" ht="15" customHeight="1" x14ac:dyDescent="0.2">
      <c r="A1747" s="141"/>
      <c r="B1747" s="141"/>
      <c r="C1747" s="91" t="s">
        <v>214</v>
      </c>
      <c r="D1747" s="91" t="s">
        <v>215</v>
      </c>
      <c r="E1747" s="46">
        <v>1</v>
      </c>
      <c r="F1747" s="144" t="str">
        <f>IF(AND(ISNA(VLOOKUP(D1747,A:A,1,FALSE())),ISNA(VLOOKUP(D1747,BaseType!A:A,1,FALSE())),D1747&lt;&gt;"Struct"),"N","Y")</f>
        <v>Y</v>
      </c>
      <c r="G1747" s="145"/>
      <c r="H1747" s="141"/>
      <c r="I1747" s="141"/>
      <c r="J1747" s="141"/>
      <c r="K1747" s="141"/>
      <c r="L1747" s="141"/>
      <c r="M1747" s="141"/>
      <c r="N1747" s="54"/>
      <c r="O1747" s="54"/>
      <c r="P1747" s="54"/>
      <c r="Q1747" s="54"/>
      <c r="R1747" s="54"/>
      <c r="S1747" s="54"/>
      <c r="T1747" s="54"/>
    </row>
    <row r="1748" spans="1:20" ht="15" customHeight="1" x14ac:dyDescent="0.2">
      <c r="A1748" s="141"/>
      <c r="B1748" s="141"/>
      <c r="C1748" s="91" t="s">
        <v>255</v>
      </c>
      <c r="D1748" s="91" t="s">
        <v>256</v>
      </c>
      <c r="E1748" s="46">
        <v>1</v>
      </c>
      <c r="F1748" s="144" t="str">
        <f>IF(AND(ISNA(VLOOKUP(D1748,A:A,1,FALSE())),ISNA(VLOOKUP(D1748,BaseType!A:A,1,FALSE())),D1748&lt;&gt;"Struct"),"N","Y")</f>
        <v>Y</v>
      </c>
      <c r="G1748" s="145"/>
      <c r="H1748" s="141"/>
      <c r="I1748" s="141"/>
      <c r="J1748" s="141"/>
      <c r="K1748" s="141"/>
      <c r="L1748" s="141"/>
      <c r="M1748" s="141"/>
      <c r="N1748" s="54"/>
      <c r="O1748" s="54"/>
      <c r="P1748" s="54"/>
      <c r="Q1748" s="54"/>
      <c r="R1748" s="54"/>
      <c r="S1748" s="54"/>
      <c r="T1748" s="54"/>
    </row>
    <row r="1749" spans="1:20" ht="15" customHeight="1" x14ac:dyDescent="0.2">
      <c r="A1749" s="141"/>
      <c r="B1749" s="141"/>
      <c r="C1749" s="91" t="s">
        <v>257</v>
      </c>
      <c r="D1749" s="91" t="s">
        <v>258</v>
      </c>
      <c r="E1749" s="46">
        <v>1</v>
      </c>
      <c r="F1749" s="144" t="str">
        <f>IF(AND(ISNA(VLOOKUP(D1749,A:A,1,FALSE())),ISNA(VLOOKUP(D1749,BaseType!A:A,1,FALSE())),D1749&lt;&gt;"Struct"),"N","Y")</f>
        <v>Y</v>
      </c>
      <c r="G1749" s="145"/>
      <c r="H1749" s="141"/>
      <c r="I1749" s="141"/>
      <c r="J1749" s="141"/>
      <c r="K1749" s="141"/>
      <c r="L1749" s="141"/>
      <c r="M1749" s="141"/>
      <c r="N1749" s="54"/>
      <c r="O1749" s="54"/>
      <c r="P1749" s="54"/>
      <c r="Q1749" s="54"/>
      <c r="R1749" s="54"/>
      <c r="S1749" s="54"/>
      <c r="T1749" s="54"/>
    </row>
    <row r="1750" spans="1:20" ht="15" customHeight="1" x14ac:dyDescent="0.2">
      <c r="A1750" s="141"/>
      <c r="B1750" s="141"/>
      <c r="C1750" s="91" t="s">
        <v>249</v>
      </c>
      <c r="D1750" s="91" t="s">
        <v>250</v>
      </c>
      <c r="E1750" s="46">
        <v>1</v>
      </c>
      <c r="F1750" s="144" t="str">
        <f>IF(AND(ISNA(VLOOKUP(D1750,A:A,1,FALSE())),ISNA(VLOOKUP(D1750,BaseType!A:A,1,FALSE())),D1750&lt;&gt;"Struct"),"N","Y")</f>
        <v>Y</v>
      </c>
      <c r="G1750" s="145"/>
      <c r="H1750" s="141"/>
      <c r="I1750" s="141"/>
      <c r="J1750" s="141"/>
      <c r="K1750" s="141"/>
      <c r="L1750" s="141"/>
      <c r="M1750" s="141"/>
      <c r="N1750" s="54"/>
      <c r="O1750" s="54"/>
      <c r="P1750" s="54"/>
      <c r="Q1750" s="54"/>
      <c r="R1750" s="54"/>
      <c r="S1750" s="54"/>
      <c r="T1750" s="54"/>
    </row>
    <row r="1751" spans="1:20" ht="15" customHeight="1" x14ac:dyDescent="0.2">
      <c r="A1751" s="141"/>
      <c r="B1751" s="141"/>
      <c r="C1751" s="91" t="s">
        <v>336</v>
      </c>
      <c r="D1751" s="91" t="s">
        <v>337</v>
      </c>
      <c r="E1751" s="46">
        <v>1</v>
      </c>
      <c r="F1751" s="144" t="str">
        <f>IF(AND(ISNA(VLOOKUP(D1751,A:A,1,FALSE())),ISNA(VLOOKUP(D1751,BaseType!A:A,1,FALSE())),D1751&lt;&gt;"Struct"),"N","Y")</f>
        <v>Y</v>
      </c>
      <c r="G1751" s="145"/>
      <c r="H1751" s="141"/>
      <c r="I1751" s="141"/>
      <c r="J1751" s="141"/>
      <c r="K1751" s="141"/>
      <c r="L1751" s="141"/>
      <c r="M1751" s="141"/>
      <c r="N1751" s="54"/>
      <c r="O1751" s="54"/>
      <c r="P1751" s="54"/>
      <c r="Q1751" s="54"/>
      <c r="R1751" s="54"/>
      <c r="S1751" s="54"/>
      <c r="T1751" s="54"/>
    </row>
    <row r="1752" spans="1:20" ht="15" customHeight="1" x14ac:dyDescent="0.2">
      <c r="A1752" s="141"/>
      <c r="B1752" s="141"/>
      <c r="C1752" s="91" t="s">
        <v>319</v>
      </c>
      <c r="D1752" s="91" t="s">
        <v>320</v>
      </c>
      <c r="E1752" s="46">
        <v>1</v>
      </c>
      <c r="F1752" s="144" t="str">
        <f>IF(AND(ISNA(VLOOKUP(D1752,A:A,1,FALSE())),ISNA(VLOOKUP(D1752,BaseType!A:A,1,FALSE())),D1752&lt;&gt;"Struct"),"N","Y")</f>
        <v>Y</v>
      </c>
      <c r="G1752" s="145"/>
      <c r="H1752" s="141"/>
      <c r="I1752" s="141"/>
      <c r="J1752" s="141"/>
      <c r="K1752" s="141"/>
      <c r="L1752" s="141"/>
      <c r="M1752" s="141"/>
      <c r="N1752" s="54"/>
      <c r="O1752" s="54"/>
      <c r="P1752" s="54"/>
      <c r="Q1752" s="54"/>
      <c r="R1752" s="54"/>
      <c r="S1752" s="54"/>
      <c r="T1752" s="54"/>
    </row>
    <row r="1753" spans="1:20" ht="15" customHeight="1" x14ac:dyDescent="0.2">
      <c r="A1753" s="141"/>
      <c r="B1753" s="141"/>
      <c r="C1753" s="91" t="s">
        <v>317</v>
      </c>
      <c r="D1753" s="91" t="s">
        <v>318</v>
      </c>
      <c r="E1753" s="46">
        <v>1</v>
      </c>
      <c r="F1753" s="144" t="str">
        <f>IF(AND(ISNA(VLOOKUP(D1753,A:A,1,FALSE())),ISNA(VLOOKUP(D1753,BaseType!A:A,1,FALSE())),D1753&lt;&gt;"Struct"),"N","Y")</f>
        <v>Y</v>
      </c>
      <c r="G1753" s="145"/>
      <c r="H1753" s="141"/>
      <c r="I1753" s="141"/>
      <c r="J1753" s="141"/>
      <c r="K1753" s="141"/>
      <c r="L1753" s="141"/>
      <c r="M1753" s="141"/>
      <c r="N1753" s="54"/>
      <c r="O1753" s="54"/>
      <c r="P1753" s="54"/>
      <c r="Q1753" s="54"/>
      <c r="R1753" s="54"/>
      <c r="S1753" s="54"/>
      <c r="T1753" s="54"/>
    </row>
    <row r="1754" spans="1:20" ht="15" customHeight="1" x14ac:dyDescent="0.2">
      <c r="A1754" s="141"/>
      <c r="B1754" s="141"/>
      <c r="C1754" s="91" t="s">
        <v>297</v>
      </c>
      <c r="D1754" s="91" t="s">
        <v>298</v>
      </c>
      <c r="E1754" s="46">
        <v>1</v>
      </c>
      <c r="F1754" s="144" t="str">
        <f>IF(AND(ISNA(VLOOKUP(D1754,A:A,1,FALSE())),ISNA(VLOOKUP(D1754,BaseType!A:A,1,FALSE())),D1754&lt;&gt;"Struct"),"N","Y")</f>
        <v>Y</v>
      </c>
      <c r="G1754" s="145"/>
      <c r="H1754" s="141"/>
      <c r="I1754" s="141"/>
      <c r="J1754" s="141"/>
      <c r="K1754" s="141"/>
      <c r="L1754" s="141"/>
      <c r="M1754" s="141"/>
      <c r="N1754" s="54"/>
      <c r="O1754" s="54"/>
      <c r="P1754" s="54"/>
      <c r="Q1754" s="54"/>
      <c r="R1754" s="54"/>
      <c r="S1754" s="54"/>
      <c r="T1754" s="54"/>
    </row>
    <row r="1755" spans="1:20" ht="15" customHeight="1" x14ac:dyDescent="0.2">
      <c r="A1755" s="141"/>
      <c r="B1755" s="141"/>
      <c r="C1755" s="91" t="s">
        <v>346</v>
      </c>
      <c r="D1755" s="91" t="s">
        <v>2209</v>
      </c>
      <c r="E1755" s="46">
        <v>1</v>
      </c>
      <c r="F1755" s="144" t="str">
        <f>IF(AND(ISNA(VLOOKUP(D1755,A:A,1,FALSE())),ISNA(VLOOKUP(D1755,BaseType!A:A,1,FALSE())),D1755&lt;&gt;"Struct"),"N","Y")</f>
        <v>Y</v>
      </c>
      <c r="G1755" s="145"/>
      <c r="H1755" s="141"/>
      <c r="I1755" s="141"/>
      <c r="J1755" s="141"/>
      <c r="K1755" s="141"/>
      <c r="L1755" s="141"/>
      <c r="M1755" s="141"/>
      <c r="N1755" s="54"/>
      <c r="O1755" s="54"/>
      <c r="P1755" s="54"/>
      <c r="Q1755" s="54"/>
      <c r="R1755" s="54"/>
      <c r="S1755" s="54"/>
      <c r="T1755" s="54"/>
    </row>
    <row r="1756" spans="1:20" ht="15" customHeight="1" x14ac:dyDescent="0.2">
      <c r="A1756" s="141"/>
      <c r="B1756" s="141"/>
      <c r="C1756" s="91" t="s">
        <v>321</v>
      </c>
      <c r="D1756" s="91" t="s">
        <v>322</v>
      </c>
      <c r="E1756" s="46">
        <v>1</v>
      </c>
      <c r="F1756" s="144" t="str">
        <f>IF(AND(ISNA(VLOOKUP(D1756,A:A,1,FALSE())),ISNA(VLOOKUP(D1756,BaseType!A:A,1,FALSE())),D1756&lt;&gt;"Struct"),"N","Y")</f>
        <v>Y</v>
      </c>
      <c r="G1756" s="145"/>
      <c r="H1756" s="141"/>
      <c r="I1756" s="141"/>
      <c r="J1756" s="141"/>
      <c r="K1756" s="141"/>
      <c r="L1756" s="141"/>
      <c r="M1756" s="141"/>
      <c r="N1756" s="54"/>
      <c r="O1756" s="54"/>
      <c r="P1756" s="54"/>
      <c r="Q1756" s="54"/>
      <c r="R1756" s="54"/>
      <c r="S1756" s="54"/>
      <c r="T1756" s="54"/>
    </row>
    <row r="1757" spans="1:20" ht="15" customHeight="1" x14ac:dyDescent="0.2">
      <c r="A1757" s="141"/>
      <c r="B1757" s="141"/>
      <c r="C1757" s="91" t="s">
        <v>342</v>
      </c>
      <c r="D1757" s="91" t="s">
        <v>343</v>
      </c>
      <c r="E1757" s="46">
        <v>1</v>
      </c>
      <c r="F1757" s="144" t="str">
        <f>IF(AND(ISNA(VLOOKUP(D1757,A:A,1,FALSE())),ISNA(VLOOKUP(D1757,BaseType!A:A,1,FALSE())),D1757&lt;&gt;"Struct"),"N","Y")</f>
        <v>Y</v>
      </c>
      <c r="G1757" s="145"/>
      <c r="H1757" s="141"/>
      <c r="I1757" s="141"/>
      <c r="J1757" s="141"/>
      <c r="K1757" s="141"/>
      <c r="L1757" s="141"/>
      <c r="M1757" s="141"/>
      <c r="N1757" s="54"/>
      <c r="O1757" s="54"/>
      <c r="P1757" s="54"/>
      <c r="Q1757" s="54"/>
      <c r="R1757" s="54"/>
      <c r="S1757" s="54"/>
      <c r="T1757" s="54"/>
    </row>
    <row r="1758" spans="1:20" ht="15" customHeight="1" x14ac:dyDescent="0.2">
      <c r="A1758" s="141"/>
      <c r="B1758" s="141"/>
      <c r="C1758" s="91" t="s">
        <v>355</v>
      </c>
      <c r="D1758" s="91" t="s">
        <v>343</v>
      </c>
      <c r="E1758" s="46">
        <v>1</v>
      </c>
      <c r="F1758" s="144" t="str">
        <f>IF(AND(ISNA(VLOOKUP(D1758,A:A,1,FALSE())),ISNA(VLOOKUP(D1758,BaseType!A:A,1,FALSE())),D1758&lt;&gt;"Struct"),"N","Y")</f>
        <v>Y</v>
      </c>
      <c r="G1758" s="145"/>
      <c r="H1758" s="141"/>
      <c r="I1758" s="141"/>
      <c r="J1758" s="141"/>
      <c r="K1758" s="141"/>
      <c r="L1758" s="141"/>
      <c r="M1758" s="141"/>
      <c r="N1758" s="54"/>
      <c r="O1758" s="54"/>
      <c r="P1758" s="54"/>
      <c r="Q1758" s="54"/>
      <c r="R1758" s="54"/>
      <c r="S1758" s="54"/>
      <c r="T1758" s="54"/>
    </row>
    <row r="1759" spans="1:20" ht="15" customHeight="1" x14ac:dyDescent="0.2">
      <c r="A1759" s="141"/>
      <c r="B1759" s="141"/>
      <c r="C1759" s="91" t="s">
        <v>356</v>
      </c>
      <c r="D1759" s="91" t="s">
        <v>343</v>
      </c>
      <c r="E1759" s="46">
        <v>1</v>
      </c>
      <c r="F1759" s="144" t="str">
        <f>IF(AND(ISNA(VLOOKUP(D1759,A:A,1,FALSE())),ISNA(VLOOKUP(D1759,BaseType!A:A,1,FALSE())),D1759&lt;&gt;"Struct"),"N","Y")</f>
        <v>Y</v>
      </c>
      <c r="G1759" s="145"/>
      <c r="H1759" s="141"/>
      <c r="I1759" s="141"/>
      <c r="J1759" s="141"/>
      <c r="K1759" s="141"/>
      <c r="L1759" s="141"/>
      <c r="M1759" s="141"/>
      <c r="N1759" s="54"/>
      <c r="O1759" s="54"/>
      <c r="P1759" s="54"/>
      <c r="Q1759" s="54"/>
      <c r="R1759" s="54"/>
      <c r="S1759" s="54"/>
      <c r="T1759" s="54"/>
    </row>
    <row r="1760" spans="1:20" ht="15" customHeight="1" x14ac:dyDescent="0.2">
      <c r="A1760" s="141"/>
      <c r="B1760" s="141"/>
      <c r="C1760" s="91" t="s">
        <v>357</v>
      </c>
      <c r="D1760" s="91" t="s">
        <v>343</v>
      </c>
      <c r="E1760" s="46">
        <v>1</v>
      </c>
      <c r="F1760" s="144" t="str">
        <f>IF(AND(ISNA(VLOOKUP(D1760,A:A,1,FALSE())),ISNA(VLOOKUP(D1760,BaseType!A:A,1,FALSE())),D1760&lt;&gt;"Struct"),"N","Y")</f>
        <v>Y</v>
      </c>
      <c r="G1760" s="145"/>
      <c r="H1760" s="141"/>
      <c r="I1760" s="141"/>
      <c r="J1760" s="141"/>
      <c r="K1760" s="141"/>
      <c r="L1760" s="141"/>
      <c r="M1760" s="141"/>
      <c r="N1760" s="54"/>
      <c r="O1760" s="54"/>
      <c r="P1760" s="54"/>
      <c r="Q1760" s="54"/>
      <c r="R1760" s="54"/>
      <c r="S1760" s="54"/>
      <c r="T1760" s="54"/>
    </row>
    <row r="1761" spans="1:20" ht="15" customHeight="1" x14ac:dyDescent="0.2">
      <c r="A1761" s="141"/>
      <c r="B1761" s="141"/>
      <c r="C1761" s="91" t="s">
        <v>324</v>
      </c>
      <c r="D1761" s="91" t="s">
        <v>325</v>
      </c>
      <c r="E1761" s="46">
        <v>1</v>
      </c>
      <c r="F1761" s="144" t="str">
        <f>IF(AND(ISNA(VLOOKUP(D1761,A:A,1,FALSE())),ISNA(VLOOKUP(D1761,BaseType!A:A,1,FALSE())),D1761&lt;&gt;"Struct"),"N","Y")</f>
        <v>Y</v>
      </c>
      <c r="G1761" s="145"/>
      <c r="H1761" s="141"/>
      <c r="I1761" s="141"/>
      <c r="J1761" s="141"/>
      <c r="K1761" s="141"/>
      <c r="L1761" s="141"/>
      <c r="M1761" s="141"/>
      <c r="N1761" s="54"/>
      <c r="O1761" s="54"/>
      <c r="P1761" s="54"/>
      <c r="Q1761" s="54"/>
      <c r="R1761" s="54"/>
      <c r="S1761" s="54"/>
      <c r="T1761" s="54"/>
    </row>
    <row r="1762" spans="1:20" ht="15" customHeight="1" x14ac:dyDescent="0.2">
      <c r="A1762" s="141"/>
      <c r="B1762" s="141"/>
      <c r="C1762" s="91" t="s">
        <v>326</v>
      </c>
      <c r="D1762" s="91" t="s">
        <v>327</v>
      </c>
      <c r="E1762" s="46">
        <v>1</v>
      </c>
      <c r="F1762" s="144" t="str">
        <f>IF(AND(ISNA(VLOOKUP(D1762,A:A,1,FALSE())),ISNA(VLOOKUP(D1762,BaseType!A:A,1,FALSE())),D1762&lt;&gt;"Struct"),"N","Y")</f>
        <v>Y</v>
      </c>
      <c r="G1762" s="145"/>
      <c r="H1762" s="141"/>
      <c r="I1762" s="141"/>
      <c r="J1762" s="141"/>
      <c r="K1762" s="141"/>
      <c r="L1762" s="141"/>
      <c r="M1762" s="141"/>
      <c r="N1762" s="54"/>
      <c r="O1762" s="54"/>
      <c r="P1762" s="54"/>
      <c r="Q1762" s="54"/>
      <c r="R1762" s="54"/>
      <c r="S1762" s="54"/>
      <c r="T1762" s="54"/>
    </row>
    <row r="1763" spans="1:20" ht="15" customHeight="1" x14ac:dyDescent="0.2">
      <c r="A1763" s="141"/>
      <c r="B1763" s="141"/>
      <c r="C1763" s="91" t="s">
        <v>328</v>
      </c>
      <c r="D1763" s="91" t="s">
        <v>329</v>
      </c>
      <c r="E1763" s="46">
        <v>1</v>
      </c>
      <c r="F1763" s="144" t="str">
        <f>IF(AND(ISNA(VLOOKUP(D1763,A:A,1,FALSE())),ISNA(VLOOKUP(D1763,BaseType!A:A,1,FALSE())),D1763&lt;&gt;"Struct"),"N","Y")</f>
        <v>Y</v>
      </c>
      <c r="G1763" s="145"/>
      <c r="H1763" s="141"/>
      <c r="I1763" s="141"/>
      <c r="J1763" s="141"/>
      <c r="K1763" s="141"/>
      <c r="L1763" s="141"/>
      <c r="M1763" s="141"/>
      <c r="N1763" s="54"/>
      <c r="O1763" s="54"/>
      <c r="P1763" s="54"/>
      <c r="Q1763" s="54"/>
      <c r="R1763" s="54"/>
      <c r="S1763" s="54"/>
      <c r="T1763" s="54"/>
    </row>
    <row r="1764" spans="1:20" ht="15" customHeight="1" x14ac:dyDescent="0.2">
      <c r="A1764" s="141"/>
      <c r="B1764" s="141"/>
      <c r="C1764" s="91" t="s">
        <v>330</v>
      </c>
      <c r="D1764" s="91" t="s">
        <v>331</v>
      </c>
      <c r="E1764" s="46">
        <v>1</v>
      </c>
      <c r="F1764" s="144" t="str">
        <f>IF(AND(ISNA(VLOOKUP(D1764,A:A,1,FALSE())),ISNA(VLOOKUP(D1764,BaseType!A:A,1,FALSE())),D1764&lt;&gt;"Struct"),"N","Y")</f>
        <v>Y</v>
      </c>
      <c r="G1764" s="145"/>
      <c r="H1764" s="141"/>
      <c r="I1764" s="141"/>
      <c r="J1764" s="141"/>
      <c r="K1764" s="141"/>
      <c r="L1764" s="141"/>
      <c r="M1764" s="141"/>
      <c r="N1764" s="54"/>
      <c r="O1764" s="54"/>
      <c r="P1764" s="54"/>
      <c r="Q1764" s="54"/>
      <c r="R1764" s="54"/>
      <c r="S1764" s="54"/>
      <c r="T1764" s="54"/>
    </row>
    <row r="1765" spans="1:20" ht="15" customHeight="1" x14ac:dyDescent="0.2">
      <c r="A1765" s="141"/>
      <c r="B1765" s="48"/>
      <c r="C1765" s="91" t="s">
        <v>399</v>
      </c>
      <c r="D1765" s="48" t="s">
        <v>400</v>
      </c>
      <c r="E1765" s="46">
        <v>1</v>
      </c>
      <c r="F1765" s="144" t="str">
        <f>IF(AND(ISNA(VLOOKUP(D1765,A:A,1,FALSE())),ISNA(VLOOKUP(D1765,BaseType!A:A,1,FALSE())),D1765&lt;&gt;"Struct"),"N","Y")</f>
        <v>Y</v>
      </c>
      <c r="G1765" s="145"/>
      <c r="H1765" s="141"/>
      <c r="I1765" s="141"/>
      <c r="J1765" s="141"/>
      <c r="K1765" s="141"/>
      <c r="L1765" s="141"/>
      <c r="M1765" s="141"/>
      <c r="N1765" s="54"/>
      <c r="O1765" s="54"/>
      <c r="P1765" s="54"/>
      <c r="Q1765" s="54"/>
      <c r="R1765" s="54"/>
      <c r="S1765" s="54"/>
      <c r="T1765" s="54"/>
    </row>
    <row r="1766" spans="1:20" ht="15" customHeight="1" x14ac:dyDescent="0.2">
      <c r="A1766" s="48" t="s">
        <v>2482</v>
      </c>
      <c r="B1766" s="144" t="str">
        <f>IF(ISBLANK(A1766),"",IF(AND(ISNA(VLOOKUP(A1766,Interface_Platform!E:E,1,FALSE())),ISNA(VLOOKUP(A1766,D:D,1,FALSE()))),"N","Y"))</f>
        <v>Y</v>
      </c>
      <c r="C1766" s="48"/>
      <c r="D1766" s="148" t="s">
        <v>1306</v>
      </c>
      <c r="E1766" s="46">
        <v>5</v>
      </c>
      <c r="F1766" s="144" t="str">
        <f>IF(AND(ISNA(VLOOKUP(D1766,A:A,1,FALSE())),ISNA(VLOOKUP(D1766,BaseType!A:A,1,FALSE())),D1766&lt;&gt;"Struct"),"N","Y")</f>
        <v>Y</v>
      </c>
      <c r="G1766" s="150"/>
      <c r="H1766" s="152"/>
      <c r="I1766" s="152"/>
      <c r="J1766" s="152"/>
      <c r="K1766" s="152"/>
      <c r="L1766" s="148"/>
      <c r="M1766" s="148"/>
      <c r="N1766" s="42"/>
      <c r="O1766" s="42"/>
      <c r="P1766" s="42"/>
      <c r="Q1766" s="42"/>
      <c r="R1766" s="42"/>
      <c r="S1766" s="42"/>
      <c r="T1766" s="42"/>
    </row>
    <row r="1767" spans="1:20" ht="15" customHeight="1" x14ac:dyDescent="0.2">
      <c r="A1767" s="48" t="s">
        <v>2483</v>
      </c>
      <c r="B1767" s="144" t="str">
        <f>IF(ISBLANK(A1767),"",IF(AND(ISNA(VLOOKUP(A1767,Interface_Platform!E:E,1,FALSE())),ISNA(VLOOKUP(A1767,D:D,1,FALSE()))),"N","Y"))</f>
        <v>Y</v>
      </c>
      <c r="C1767" s="48"/>
      <c r="D1767" s="148" t="s">
        <v>1274</v>
      </c>
      <c r="E1767" s="46">
        <v>5</v>
      </c>
      <c r="F1767" s="144" t="str">
        <f>IF(AND(ISNA(VLOOKUP(D1767,A:A,1,FALSE())),ISNA(VLOOKUP(D1767,BaseType!A:A,1,FALSE())),D1767&lt;&gt;"Struct"),"N","Y")</f>
        <v>Y</v>
      </c>
      <c r="G1767" s="150"/>
      <c r="H1767" s="152"/>
      <c r="I1767" s="152"/>
      <c r="J1767" s="152"/>
      <c r="K1767" s="152"/>
      <c r="L1767" s="148"/>
      <c r="M1767" s="148"/>
      <c r="N1767" s="42"/>
      <c r="O1767" s="42"/>
      <c r="P1767" s="42"/>
      <c r="Q1767" s="42"/>
      <c r="R1767" s="42"/>
      <c r="S1767" s="42"/>
      <c r="T1767" s="42"/>
    </row>
    <row r="1768" spans="1:20" ht="15" customHeight="1" x14ac:dyDescent="0.2">
      <c r="A1768" s="141" t="s">
        <v>441</v>
      </c>
      <c r="B1768" s="48" t="str">
        <f>IF(ISBLANK(A1768),"",IF(AND(ISNA(VLOOKUP(A1768,Interface_Platform!E:E,1,FALSE())),ISNA(VLOOKUP(A1768,D:D,1,FALSE()))),"N","Y"))</f>
        <v>Y</v>
      </c>
      <c r="C1768" s="91"/>
      <c r="D1768" s="164" t="s">
        <v>484</v>
      </c>
      <c r="E1768" s="46"/>
      <c r="F1768" s="144" t="str">
        <f>IF(AND(ISNA(VLOOKUP(D1768,A:A,1,FALSE())),ISNA(VLOOKUP(D1768,BaseType!A:A,1,FALSE())),D1768&lt;&gt;"Struct"),"N","Y")</f>
        <v>Y</v>
      </c>
      <c r="G1768" s="145"/>
      <c r="H1768" s="141"/>
      <c r="I1768" s="141"/>
      <c r="J1768" s="141"/>
      <c r="K1768" s="141"/>
      <c r="L1768" s="141"/>
      <c r="M1768" s="141"/>
      <c r="N1768" s="54"/>
      <c r="O1768" s="54"/>
      <c r="P1768" s="54"/>
      <c r="Q1768" s="54"/>
      <c r="R1768" s="54"/>
      <c r="S1768" s="54"/>
      <c r="T1768" s="54"/>
    </row>
    <row r="1769" spans="1:20" ht="15" customHeight="1" x14ac:dyDescent="0.2">
      <c r="A1769" s="141"/>
      <c r="B1769" s="141"/>
      <c r="C1769" s="91" t="s">
        <v>247</v>
      </c>
      <c r="D1769" s="91" t="s">
        <v>248</v>
      </c>
      <c r="E1769" s="46">
        <v>1</v>
      </c>
      <c r="F1769" s="144" t="str">
        <f>IF(AND(ISNA(VLOOKUP(D1769,A:A,1,FALSE())),ISNA(VLOOKUP(D1769,BaseType!A:A,1,FALSE())),D1769&lt;&gt;"Struct"),"N","Y")</f>
        <v>Y</v>
      </c>
      <c r="G1769" s="145"/>
      <c r="H1769" s="141"/>
      <c r="I1769" s="141"/>
      <c r="J1769" s="141"/>
      <c r="K1769" s="141"/>
      <c r="L1769" s="141"/>
      <c r="M1769" s="141"/>
      <c r="N1769" s="54"/>
      <c r="O1769" s="54"/>
      <c r="P1769" s="54"/>
      <c r="Q1769" s="54"/>
      <c r="R1769" s="54"/>
      <c r="S1769" s="54"/>
      <c r="T1769" s="54"/>
    </row>
    <row r="1770" spans="1:20" ht="15" customHeight="1" x14ac:dyDescent="0.2">
      <c r="A1770" s="141"/>
      <c r="B1770" s="141"/>
      <c r="C1770" s="91" t="s">
        <v>259</v>
      </c>
      <c r="D1770" s="91" t="s">
        <v>260</v>
      </c>
      <c r="E1770" s="46">
        <v>1</v>
      </c>
      <c r="F1770" s="144" t="str">
        <f>IF(AND(ISNA(VLOOKUP(D1770,A:A,1,FALSE())),ISNA(VLOOKUP(D1770,BaseType!A:A,1,FALSE())),D1770&lt;&gt;"Struct"),"N","Y")</f>
        <v>Y</v>
      </c>
      <c r="G1770" s="145"/>
      <c r="H1770" s="141"/>
      <c r="I1770" s="141"/>
      <c r="J1770" s="141"/>
      <c r="K1770" s="141"/>
      <c r="L1770" s="141"/>
      <c r="M1770" s="141"/>
      <c r="N1770" s="54"/>
      <c r="O1770" s="54"/>
      <c r="P1770" s="54"/>
      <c r="Q1770" s="54"/>
      <c r="R1770" s="54"/>
      <c r="S1770" s="54"/>
      <c r="T1770" s="54"/>
    </row>
    <row r="1771" spans="1:20" ht="15" customHeight="1" x14ac:dyDescent="0.2">
      <c r="A1771" s="141"/>
      <c r="B1771" s="141"/>
      <c r="C1771" s="91" t="s">
        <v>305</v>
      </c>
      <c r="D1771" s="91" t="s">
        <v>2482</v>
      </c>
      <c r="E1771" s="46">
        <v>1</v>
      </c>
      <c r="F1771" s="144" t="str">
        <f>IF(AND(ISNA(VLOOKUP(D1771,A:A,1,FALSE())),ISNA(VLOOKUP(D1771,BaseType!A:A,1,FALSE())),D1771&lt;&gt;"Struct"),"N","Y")</f>
        <v>Y</v>
      </c>
      <c r="G1771" s="145"/>
      <c r="H1771" s="141"/>
      <c r="I1771" s="141"/>
      <c r="J1771" s="141"/>
      <c r="K1771" s="141"/>
      <c r="L1771" s="141"/>
      <c r="M1771" s="141"/>
      <c r="N1771" s="54"/>
      <c r="O1771" s="54"/>
      <c r="P1771" s="54"/>
      <c r="Q1771" s="54"/>
      <c r="R1771" s="54"/>
      <c r="S1771" s="54"/>
      <c r="T1771" s="54"/>
    </row>
    <row r="1772" spans="1:20" ht="15" customHeight="1" x14ac:dyDescent="0.2">
      <c r="A1772" s="141"/>
      <c r="B1772" s="141"/>
      <c r="C1772" s="91" t="s">
        <v>307</v>
      </c>
      <c r="D1772" s="91" t="s">
        <v>2483</v>
      </c>
      <c r="E1772" s="46">
        <v>1</v>
      </c>
      <c r="F1772" s="144" t="str">
        <f>IF(AND(ISNA(VLOOKUP(D1772,A:A,1,FALSE())),ISNA(VLOOKUP(D1772,BaseType!A:A,1,FALSE())),D1772&lt;&gt;"Struct"),"N","Y")</f>
        <v>Y</v>
      </c>
      <c r="G1772" s="145"/>
      <c r="H1772" s="141"/>
      <c r="I1772" s="141"/>
      <c r="J1772" s="141"/>
      <c r="K1772" s="141"/>
      <c r="L1772" s="141"/>
      <c r="M1772" s="141"/>
      <c r="N1772" s="54"/>
      <c r="O1772" s="54"/>
      <c r="P1772" s="54"/>
      <c r="Q1772" s="54"/>
      <c r="R1772" s="54"/>
      <c r="S1772" s="54"/>
      <c r="T1772" s="54"/>
    </row>
    <row r="1773" spans="1:20" ht="15" customHeight="1" x14ac:dyDescent="0.2">
      <c r="A1773" s="141"/>
      <c r="B1773" s="141"/>
      <c r="C1773" s="91" t="s">
        <v>309</v>
      </c>
      <c r="D1773" s="91" t="s">
        <v>310</v>
      </c>
      <c r="E1773" s="46">
        <v>1</v>
      </c>
      <c r="F1773" s="144" t="str">
        <f>IF(AND(ISNA(VLOOKUP(D1773,A:A,1,FALSE())),ISNA(VLOOKUP(D1773,BaseType!A:A,1,FALSE())),D1773&lt;&gt;"Struct"),"N","Y")</f>
        <v>Y</v>
      </c>
      <c r="G1773" s="145"/>
      <c r="H1773" s="141"/>
      <c r="I1773" s="141"/>
      <c r="J1773" s="141"/>
      <c r="K1773" s="141"/>
      <c r="L1773" s="141"/>
      <c r="M1773" s="141"/>
      <c r="N1773" s="54"/>
      <c r="O1773" s="54"/>
      <c r="P1773" s="54"/>
      <c r="Q1773" s="54"/>
      <c r="R1773" s="54"/>
      <c r="S1773" s="54"/>
      <c r="T1773" s="54"/>
    </row>
    <row r="1774" spans="1:20" ht="15" customHeight="1" x14ac:dyDescent="0.2">
      <c r="A1774" s="141"/>
      <c r="B1774" s="141"/>
      <c r="C1774" s="91" t="s">
        <v>311</v>
      </c>
      <c r="D1774" s="91" t="s">
        <v>312</v>
      </c>
      <c r="E1774" s="46">
        <v>1</v>
      </c>
      <c r="F1774" s="144" t="str">
        <f>IF(AND(ISNA(VLOOKUP(D1774,A:A,1,FALSE())),ISNA(VLOOKUP(D1774,BaseType!A:A,1,FALSE())),D1774&lt;&gt;"Struct"),"N","Y")</f>
        <v>Y</v>
      </c>
      <c r="G1774" s="145"/>
      <c r="H1774" s="141"/>
      <c r="I1774" s="141"/>
      <c r="J1774" s="141"/>
      <c r="K1774" s="141"/>
      <c r="L1774" s="141"/>
      <c r="M1774" s="141"/>
      <c r="N1774" s="54"/>
      <c r="O1774" s="54"/>
      <c r="P1774" s="54"/>
      <c r="Q1774" s="54"/>
      <c r="R1774" s="54"/>
      <c r="S1774" s="54"/>
      <c r="T1774" s="54"/>
    </row>
    <row r="1775" spans="1:20" ht="15" customHeight="1" x14ac:dyDescent="0.2">
      <c r="A1775" s="141"/>
      <c r="B1775" s="141"/>
      <c r="C1775" s="91" t="s">
        <v>313</v>
      </c>
      <c r="D1775" s="91" t="s">
        <v>314</v>
      </c>
      <c r="E1775" s="46">
        <v>1</v>
      </c>
      <c r="F1775" s="144" t="str">
        <f>IF(AND(ISNA(VLOOKUP(D1775,A:A,1,FALSE())),ISNA(VLOOKUP(D1775,BaseType!A:A,1,FALSE())),D1775&lt;&gt;"Struct"),"N","Y")</f>
        <v>Y</v>
      </c>
      <c r="G1775" s="145"/>
      <c r="H1775" s="141"/>
      <c r="I1775" s="141"/>
      <c r="J1775" s="141"/>
      <c r="K1775" s="141"/>
      <c r="L1775" s="141"/>
      <c r="M1775" s="141"/>
      <c r="N1775" s="54"/>
      <c r="O1775" s="54"/>
      <c r="P1775" s="54"/>
      <c r="Q1775" s="54"/>
      <c r="R1775" s="54"/>
      <c r="S1775" s="54"/>
      <c r="T1775" s="54"/>
    </row>
    <row r="1776" spans="1:20" ht="15" customHeight="1" x14ac:dyDescent="0.2">
      <c r="A1776" s="141" t="s">
        <v>443</v>
      </c>
      <c r="B1776" s="48" t="str">
        <f>IF(ISBLANK(A1776),"",IF(AND(ISNA(VLOOKUP(A1776,Interface_Platform!E:E,1,FALSE())),ISNA(VLOOKUP(A1776,D:D,1,FALSE()))),"N","Y"))</f>
        <v>Y</v>
      </c>
      <c r="C1776" s="91"/>
      <c r="D1776" s="164" t="s">
        <v>484</v>
      </c>
      <c r="E1776" s="46"/>
      <c r="F1776" s="144" t="str">
        <f>IF(AND(ISNA(VLOOKUP(D1776,A:A,1,FALSE())),ISNA(VLOOKUP(D1776,BaseType!A:A,1,FALSE())),D1776&lt;&gt;"Struct"),"N","Y")</f>
        <v>Y</v>
      </c>
      <c r="G1776" s="145"/>
      <c r="H1776" s="141"/>
      <c r="I1776" s="141"/>
      <c r="J1776" s="141"/>
      <c r="K1776" s="141"/>
      <c r="L1776" s="141"/>
      <c r="M1776" s="141"/>
      <c r="N1776" s="54"/>
      <c r="O1776" s="54"/>
      <c r="P1776" s="54"/>
      <c r="Q1776" s="54"/>
      <c r="R1776" s="54"/>
      <c r="S1776" s="54"/>
      <c r="T1776" s="54"/>
    </row>
    <row r="1777" spans="1:20" ht="15" customHeight="1" x14ac:dyDescent="0.2">
      <c r="A1777" s="141"/>
      <c r="B1777" s="141"/>
      <c r="C1777" s="91" t="s">
        <v>261</v>
      </c>
      <c r="D1777" s="91" t="s">
        <v>262</v>
      </c>
      <c r="E1777" s="46">
        <v>1</v>
      </c>
      <c r="F1777" s="144" t="str">
        <f>IF(AND(ISNA(VLOOKUP(D1777,A:A,1,FALSE())),ISNA(VLOOKUP(D1777,BaseType!A:A,1,FALSE())),D1777&lt;&gt;"Struct"),"N","Y")</f>
        <v>Y</v>
      </c>
      <c r="G1777" s="145"/>
      <c r="H1777" s="141"/>
      <c r="I1777" s="141"/>
      <c r="J1777" s="141"/>
      <c r="K1777" s="141"/>
      <c r="L1777" s="141"/>
      <c r="M1777" s="141"/>
      <c r="N1777" s="54"/>
      <c r="O1777" s="54"/>
      <c r="P1777" s="54"/>
      <c r="Q1777" s="54"/>
      <c r="R1777" s="54"/>
      <c r="S1777" s="54"/>
      <c r="T1777" s="54"/>
    </row>
    <row r="1778" spans="1:20" ht="15" customHeight="1" x14ac:dyDescent="0.2">
      <c r="A1778" s="141"/>
      <c r="B1778" s="141"/>
      <c r="C1778" s="91" t="s">
        <v>265</v>
      </c>
      <c r="D1778" s="91" t="s">
        <v>227</v>
      </c>
      <c r="E1778" s="46">
        <v>1</v>
      </c>
      <c r="F1778" s="144" t="str">
        <f>IF(AND(ISNA(VLOOKUP(D1778,A:A,1,FALSE())),ISNA(VLOOKUP(D1778,BaseType!A:A,1,FALSE())),D1778&lt;&gt;"Struct"),"N","Y")</f>
        <v>Y</v>
      </c>
      <c r="G1778" s="145"/>
      <c r="H1778" s="141"/>
      <c r="I1778" s="141"/>
      <c r="J1778" s="141"/>
      <c r="K1778" s="141"/>
      <c r="L1778" s="141"/>
      <c r="M1778" s="141"/>
      <c r="N1778" s="54"/>
      <c r="O1778" s="54"/>
      <c r="P1778" s="54"/>
      <c r="Q1778" s="54"/>
      <c r="R1778" s="54"/>
      <c r="S1778" s="54"/>
      <c r="T1778" s="54"/>
    </row>
    <row r="1779" spans="1:20" ht="15" customHeight="1" x14ac:dyDescent="0.2">
      <c r="A1779" s="91" t="s">
        <v>2484</v>
      </c>
      <c r="B1779" s="144" t="str">
        <f>IF(ISBLANK(A1779),"",IF(AND(ISNA(VLOOKUP(A1779,Interface_Platform!E:E,1,FALSE())),ISNA(VLOOKUP(A1779,D:D,1,FALSE()))),"N","Y"))</f>
        <v>Y</v>
      </c>
      <c r="C1779" s="48"/>
      <c r="D1779" s="149" t="s">
        <v>1388</v>
      </c>
      <c r="E1779" s="154">
        <v>5</v>
      </c>
      <c r="F1779" s="144" t="str">
        <f>IF(AND(ISNA(VLOOKUP(D1779,A:A,1,FALSE())),ISNA(VLOOKUP(D1779,BaseType!A:A,1,FALSE())),D1779&lt;&gt;"Struct"),"N","Y")</f>
        <v>Y</v>
      </c>
      <c r="G1779" s="145"/>
      <c r="H1779" s="141"/>
      <c r="I1779" s="141"/>
      <c r="J1779" s="141"/>
      <c r="K1779" s="141"/>
      <c r="L1779" s="141"/>
      <c r="M1779" s="141"/>
      <c r="N1779" s="54"/>
      <c r="O1779" s="54"/>
      <c r="P1779" s="54"/>
      <c r="Q1779" s="54"/>
      <c r="R1779" s="54"/>
      <c r="S1779" s="54"/>
      <c r="T1779" s="54"/>
    </row>
    <row r="1780" spans="1:20" ht="15" customHeight="1" x14ac:dyDescent="0.2">
      <c r="A1780" s="141" t="s">
        <v>447</v>
      </c>
      <c r="B1780" s="48" t="str">
        <f>IF(ISBLANK(A1780),"",IF(AND(ISNA(VLOOKUP(A1780,Interface_Platform!E:E,1,FALSE())),ISNA(VLOOKUP(A1780,D:D,1,FALSE()))),"N","Y"))</f>
        <v>Y</v>
      </c>
      <c r="C1780" s="91"/>
      <c r="D1780" s="164" t="s">
        <v>484</v>
      </c>
      <c r="E1780" s="46"/>
      <c r="F1780" s="144" t="str">
        <f>IF(AND(ISNA(VLOOKUP(D1780,A:A,1,FALSE())),ISNA(VLOOKUP(D1780,BaseType!A:A,1,FALSE())),D1780&lt;&gt;"Struct"),"N","Y")</f>
        <v>Y</v>
      </c>
      <c r="G1780" s="145"/>
      <c r="H1780" s="141"/>
      <c r="I1780" s="141"/>
      <c r="J1780" s="141"/>
      <c r="K1780" s="141"/>
      <c r="L1780" s="141"/>
      <c r="M1780" s="141"/>
      <c r="N1780" s="54"/>
      <c r="O1780" s="54"/>
      <c r="P1780" s="54"/>
      <c r="Q1780" s="54"/>
      <c r="R1780" s="54"/>
      <c r="S1780" s="54"/>
      <c r="T1780" s="54"/>
    </row>
    <row r="1781" spans="1:20" ht="15" customHeight="1" x14ac:dyDescent="0.2">
      <c r="A1781" s="141"/>
      <c r="B1781" s="141"/>
      <c r="C1781" s="91" t="s">
        <v>397</v>
      </c>
      <c r="D1781" s="91" t="s">
        <v>2484</v>
      </c>
      <c r="E1781" s="46">
        <v>1</v>
      </c>
      <c r="F1781" s="144" t="str">
        <f>IF(AND(ISNA(VLOOKUP(D1781,A:A,1,FALSE())),ISNA(VLOOKUP(D1781,BaseType!A:A,1,FALSE())),D1781&lt;&gt;"Struct"),"N","Y")</f>
        <v>Y</v>
      </c>
      <c r="G1781" s="145"/>
      <c r="H1781" s="141"/>
      <c r="I1781" s="141"/>
      <c r="J1781" s="141"/>
      <c r="K1781" s="141"/>
      <c r="L1781" s="141"/>
      <c r="M1781" s="141"/>
      <c r="N1781" s="54"/>
      <c r="O1781" s="54"/>
      <c r="P1781" s="54"/>
      <c r="Q1781" s="54"/>
      <c r="R1781" s="54"/>
      <c r="S1781" s="54"/>
      <c r="T1781" s="54"/>
    </row>
    <row r="1782" spans="1:20" ht="15" customHeight="1" x14ac:dyDescent="0.2">
      <c r="A1782" s="141" t="s">
        <v>445</v>
      </c>
      <c r="B1782" s="48" t="str">
        <f>IF(ISBLANK(A1782),"",IF(AND(ISNA(VLOOKUP(A1782,Interface_Platform!E:E,1,FALSE())),ISNA(VLOOKUP(A1782,D:D,1,FALSE()))),"N","Y"))</f>
        <v>Y</v>
      </c>
      <c r="C1782" s="91"/>
      <c r="D1782" s="164" t="s">
        <v>484</v>
      </c>
      <c r="E1782" s="46"/>
      <c r="F1782" s="144"/>
      <c r="G1782" s="145"/>
      <c r="H1782" s="141"/>
      <c r="I1782" s="141"/>
      <c r="J1782" s="141"/>
      <c r="K1782" s="141"/>
      <c r="L1782" s="141"/>
      <c r="M1782" s="141"/>
      <c r="N1782" s="54"/>
      <c r="O1782" s="54"/>
      <c r="P1782" s="54"/>
      <c r="Q1782" s="54"/>
      <c r="R1782" s="54"/>
      <c r="S1782" s="54"/>
      <c r="T1782" s="54"/>
    </row>
    <row r="1783" spans="1:20" ht="15" customHeight="1" x14ac:dyDescent="0.2">
      <c r="A1783" s="141"/>
      <c r="B1783" s="48"/>
      <c r="C1783" s="91" t="s">
        <v>210</v>
      </c>
      <c r="D1783" s="91" t="s">
        <v>211</v>
      </c>
      <c r="E1783" s="46">
        <v>1</v>
      </c>
      <c r="F1783" s="144" t="str">
        <f>IF(AND(ISNA(VLOOKUP(D1783,A:A,1,FALSE())),ISNA(VLOOKUP(D1783,BaseType!A:A,1,FALSE())),D1783&lt;&gt;"Struct"),"N","Y")</f>
        <v>Y</v>
      </c>
      <c r="G1783" s="145"/>
      <c r="H1783" s="141"/>
      <c r="I1783" s="141"/>
      <c r="J1783" s="141"/>
      <c r="K1783" s="141"/>
      <c r="L1783" s="141"/>
      <c r="M1783" s="141"/>
      <c r="N1783" s="54"/>
      <c r="O1783" s="54"/>
      <c r="P1783" s="54"/>
      <c r="Q1783" s="54"/>
      <c r="R1783" s="54"/>
      <c r="S1783" s="54"/>
      <c r="T1783" s="54"/>
    </row>
    <row r="1784" spans="1:20" ht="15" customHeight="1" x14ac:dyDescent="0.2">
      <c r="A1784" s="141"/>
      <c r="B1784" s="48"/>
      <c r="C1784" s="91" t="s">
        <v>212</v>
      </c>
      <c r="D1784" s="91" t="s">
        <v>213</v>
      </c>
      <c r="E1784" s="46">
        <v>1</v>
      </c>
      <c r="F1784" s="144" t="str">
        <f>IF(AND(ISNA(VLOOKUP(D1784,A:A,1,FALSE())),ISNA(VLOOKUP(D1784,BaseType!A:A,1,FALSE())),D1784&lt;&gt;"Struct"),"N","Y")</f>
        <v>Y</v>
      </c>
      <c r="G1784" s="145"/>
      <c r="H1784" s="141"/>
      <c r="I1784" s="141"/>
      <c r="J1784" s="141"/>
      <c r="K1784" s="141"/>
      <c r="L1784" s="141"/>
      <c r="M1784" s="141"/>
      <c r="N1784" s="54"/>
      <c r="O1784" s="54"/>
      <c r="P1784" s="54"/>
      <c r="Q1784" s="54"/>
      <c r="R1784" s="54"/>
      <c r="S1784" s="54"/>
      <c r="T1784" s="54"/>
    </row>
    <row r="1785" spans="1:20" ht="15" customHeight="1" x14ac:dyDescent="0.2">
      <c r="A1785" s="141" t="s">
        <v>449</v>
      </c>
      <c r="B1785" s="48" t="str">
        <f>IF(ISBLANK(A1785),"",IF(AND(ISNA(VLOOKUP(A1785,Interface_Platform!E:E,1,FALSE())),ISNA(VLOOKUP(A1785,D:D,1,FALSE()))),"N","Y"))</f>
        <v>Y</v>
      </c>
      <c r="C1785" s="91"/>
      <c r="D1785" s="164" t="s">
        <v>484</v>
      </c>
      <c r="E1785" s="46"/>
      <c r="F1785" s="144" t="str">
        <f>IF(AND(ISNA(VLOOKUP(D1785,A:A,1,FALSE())),ISNA(VLOOKUP(D1785,BaseType!A:A,1,FALSE())),D1785&lt;&gt;"Struct"),"N","Y")</f>
        <v>Y</v>
      </c>
      <c r="G1785" s="145"/>
      <c r="H1785" s="141"/>
      <c r="I1785" s="141"/>
      <c r="J1785" s="141"/>
      <c r="K1785" s="141"/>
      <c r="L1785" s="141"/>
      <c r="M1785" s="141"/>
      <c r="N1785" s="54"/>
      <c r="O1785" s="54"/>
      <c r="P1785" s="54"/>
      <c r="Q1785" s="54"/>
      <c r="R1785" s="54"/>
      <c r="S1785" s="54"/>
      <c r="T1785" s="54"/>
    </row>
    <row r="1786" spans="1:20" ht="15" customHeight="1" x14ac:dyDescent="0.2">
      <c r="A1786" s="141"/>
      <c r="B1786" s="141"/>
      <c r="C1786" s="48" t="s">
        <v>2257</v>
      </c>
      <c r="D1786" s="148" t="s">
        <v>193</v>
      </c>
      <c r="E1786" s="46">
        <v>1</v>
      </c>
      <c r="F1786" s="144" t="str">
        <f>IF(AND(ISNA(VLOOKUP(D1786,A:A,1,FALSE())),ISNA(VLOOKUP(D1786,BaseType!A:A,1,FALSE())),D1786&lt;&gt;"Struct"),"N","Y")</f>
        <v>Y</v>
      </c>
      <c r="G1786" s="145"/>
      <c r="H1786" s="141"/>
      <c r="I1786" s="141"/>
      <c r="J1786" s="141"/>
      <c r="K1786" s="141"/>
      <c r="L1786" s="141"/>
      <c r="M1786" s="141"/>
      <c r="N1786" s="54"/>
      <c r="O1786" s="54"/>
      <c r="P1786" s="54"/>
      <c r="Q1786" s="54"/>
      <c r="R1786" s="54"/>
      <c r="S1786" s="54"/>
      <c r="T1786" s="54"/>
    </row>
    <row r="1787" spans="1:20" ht="15" customHeight="1" x14ac:dyDescent="0.2">
      <c r="A1787" s="141"/>
      <c r="B1787" s="141"/>
      <c r="C1787" s="48" t="s">
        <v>2258</v>
      </c>
      <c r="D1787" s="148" t="s">
        <v>193</v>
      </c>
      <c r="E1787" s="46">
        <v>1</v>
      </c>
      <c r="F1787" s="144" t="str">
        <f>IF(AND(ISNA(VLOOKUP(D1787,A:A,1,FALSE())),ISNA(VLOOKUP(D1787,BaseType!A:A,1,FALSE())),D1787&lt;&gt;"Struct"),"N","Y")</f>
        <v>Y</v>
      </c>
      <c r="G1787" s="145"/>
      <c r="H1787" s="141"/>
      <c r="I1787" s="141"/>
      <c r="J1787" s="141"/>
      <c r="K1787" s="141"/>
      <c r="L1787" s="141"/>
      <c r="M1787" s="141"/>
      <c r="N1787" s="54"/>
      <c r="O1787" s="54"/>
      <c r="P1787" s="54"/>
      <c r="Q1787" s="54"/>
      <c r="R1787" s="54"/>
      <c r="S1787" s="54"/>
      <c r="T1787" s="54"/>
    </row>
    <row r="1788" spans="1:20" ht="15" customHeight="1" x14ac:dyDescent="0.2">
      <c r="A1788" s="141"/>
      <c r="B1788" s="141"/>
      <c r="C1788" s="48" t="s">
        <v>2267</v>
      </c>
      <c r="D1788" s="148" t="s">
        <v>298</v>
      </c>
      <c r="E1788" s="46">
        <v>1</v>
      </c>
      <c r="F1788" s="144" t="str">
        <f>IF(AND(ISNA(VLOOKUP(D1788,A:A,1,FALSE())),ISNA(VLOOKUP(D1788,BaseType!A:A,1,FALSE())),D1788&lt;&gt;"Struct"),"N","Y")</f>
        <v>Y</v>
      </c>
      <c r="G1788" s="145"/>
      <c r="H1788" s="141"/>
      <c r="I1788" s="141"/>
      <c r="J1788" s="141"/>
      <c r="K1788" s="141"/>
      <c r="L1788" s="141"/>
      <c r="M1788" s="141"/>
      <c r="N1788" s="54"/>
      <c r="O1788" s="54"/>
      <c r="P1788" s="54"/>
      <c r="Q1788" s="54"/>
      <c r="R1788" s="54"/>
      <c r="S1788" s="54"/>
      <c r="T1788" s="54"/>
    </row>
    <row r="1789" spans="1:20" ht="15" customHeight="1" x14ac:dyDescent="0.2">
      <c r="A1789" s="141"/>
      <c r="B1789" s="141"/>
      <c r="C1789" s="48" t="s">
        <v>1307</v>
      </c>
      <c r="D1789" s="48" t="s">
        <v>193</v>
      </c>
      <c r="E1789" s="46">
        <v>1</v>
      </c>
      <c r="F1789" s="144" t="str">
        <f>IF(AND(ISNA(VLOOKUP(D1789,A:A,1,FALSE())),ISNA(VLOOKUP(D1789,BaseType!A:A,1,FALSE())),D1789&lt;&gt;"Struct"),"N","Y")</f>
        <v>Y</v>
      </c>
      <c r="G1789" s="145"/>
      <c r="H1789" s="141"/>
      <c r="I1789" s="141"/>
      <c r="J1789" s="141"/>
      <c r="K1789" s="141"/>
      <c r="L1789" s="141"/>
      <c r="M1789" s="141"/>
      <c r="N1789" s="54"/>
      <c r="O1789" s="54"/>
      <c r="P1789" s="54"/>
      <c r="Q1789" s="54"/>
      <c r="R1789" s="54"/>
      <c r="S1789" s="54"/>
      <c r="T1789" s="54"/>
    </row>
    <row r="1790" spans="1:20" ht="15" customHeight="1" x14ac:dyDescent="0.2">
      <c r="A1790" s="141"/>
      <c r="B1790" s="141"/>
      <c r="C1790" s="148" t="s">
        <v>516</v>
      </c>
      <c r="D1790" s="148" t="s">
        <v>193</v>
      </c>
      <c r="E1790" s="46">
        <v>1</v>
      </c>
      <c r="F1790" s="144" t="str">
        <f>IF(AND(ISNA(VLOOKUP(D1790,A:A,1,FALSE())),ISNA(VLOOKUP(D1790,BaseType!A:A,1,FALSE())),D1790&lt;&gt;"Struct"),"N","Y")</f>
        <v>Y</v>
      </c>
      <c r="G1790" s="145"/>
      <c r="H1790" s="141"/>
      <c r="I1790" s="141"/>
      <c r="J1790" s="141"/>
      <c r="K1790" s="141"/>
      <c r="L1790" s="141"/>
      <c r="M1790" s="141"/>
      <c r="N1790" s="54"/>
      <c r="O1790" s="54"/>
      <c r="P1790" s="54"/>
      <c r="Q1790" s="54"/>
      <c r="R1790" s="54"/>
      <c r="S1790" s="54"/>
      <c r="T1790" s="54"/>
    </row>
    <row r="1791" spans="1:20" ht="15" customHeight="1" x14ac:dyDescent="0.2">
      <c r="A1791" s="141"/>
      <c r="B1791" s="141"/>
      <c r="C1791" s="48" t="s">
        <v>2273</v>
      </c>
      <c r="D1791" s="148" t="s">
        <v>298</v>
      </c>
      <c r="E1791" s="46">
        <v>1</v>
      </c>
      <c r="F1791" s="144" t="str">
        <f>IF(AND(ISNA(VLOOKUP(D1791,A:A,1,FALSE())),ISNA(VLOOKUP(D1791,BaseType!A:A,1,FALSE())),D1791&lt;&gt;"Struct"),"N","Y")</f>
        <v>Y</v>
      </c>
      <c r="G1791" s="145"/>
      <c r="H1791" s="141"/>
      <c r="I1791" s="141"/>
      <c r="J1791" s="141"/>
      <c r="K1791" s="141"/>
      <c r="L1791" s="141"/>
      <c r="M1791" s="141"/>
      <c r="N1791" s="54"/>
      <c r="O1791" s="54"/>
      <c r="P1791" s="54"/>
      <c r="Q1791" s="54"/>
      <c r="R1791" s="54"/>
      <c r="S1791" s="54"/>
      <c r="T1791" s="54"/>
    </row>
    <row r="1792" spans="1:20" ht="15" customHeight="1" x14ac:dyDescent="0.2">
      <c r="A1792" s="141"/>
      <c r="B1792" s="141"/>
      <c r="C1792" s="48" t="s">
        <v>2275</v>
      </c>
      <c r="D1792" s="148" t="s">
        <v>298</v>
      </c>
      <c r="E1792" s="46">
        <v>1</v>
      </c>
      <c r="F1792" s="144" t="str">
        <f>IF(AND(ISNA(VLOOKUP(D1792,A:A,1,FALSE())),ISNA(VLOOKUP(D1792,BaseType!A:A,1,FALSE())),D1792&lt;&gt;"Struct"),"N","Y")</f>
        <v>Y</v>
      </c>
      <c r="G1792" s="145"/>
      <c r="H1792" s="141"/>
      <c r="I1792" s="141"/>
      <c r="J1792" s="141"/>
      <c r="K1792" s="141"/>
      <c r="L1792" s="141"/>
      <c r="M1792" s="141"/>
      <c r="N1792" s="54"/>
      <c r="O1792" s="54"/>
      <c r="P1792" s="54"/>
      <c r="Q1792" s="54"/>
      <c r="R1792" s="54"/>
      <c r="S1792" s="54"/>
      <c r="T1792" s="54"/>
    </row>
    <row r="1793" spans="1:20" ht="15" customHeight="1" x14ac:dyDescent="0.2">
      <c r="A1793" s="141"/>
      <c r="B1793" s="141"/>
      <c r="C1793" s="48" t="s">
        <v>2277</v>
      </c>
      <c r="D1793" s="148" t="s">
        <v>298</v>
      </c>
      <c r="E1793" s="46">
        <v>1</v>
      </c>
      <c r="F1793" s="144" t="str">
        <f>IF(AND(ISNA(VLOOKUP(D1793,A:A,1,FALSE())),ISNA(VLOOKUP(D1793,BaseType!A:A,1,FALSE())),D1793&lt;&gt;"Struct"),"N","Y")</f>
        <v>Y</v>
      </c>
      <c r="G1793" s="145"/>
      <c r="H1793" s="141"/>
      <c r="I1793" s="141"/>
      <c r="J1793" s="141"/>
      <c r="K1793" s="141"/>
      <c r="L1793" s="141"/>
      <c r="M1793" s="141"/>
      <c r="N1793" s="54"/>
      <c r="O1793" s="54"/>
      <c r="P1793" s="54"/>
      <c r="Q1793" s="54"/>
      <c r="R1793" s="54"/>
      <c r="S1793" s="54"/>
      <c r="T1793" s="54"/>
    </row>
    <row r="1794" spans="1:20" ht="15" customHeight="1" x14ac:dyDescent="0.2">
      <c r="A1794" s="141"/>
      <c r="B1794" s="141"/>
      <c r="C1794" s="48" t="s">
        <v>2281</v>
      </c>
      <c r="D1794" s="148" t="s">
        <v>298</v>
      </c>
      <c r="E1794" s="46">
        <v>1</v>
      </c>
      <c r="F1794" s="144" t="str">
        <f>IF(AND(ISNA(VLOOKUP(D1794,A:A,1,FALSE())),ISNA(VLOOKUP(D1794,BaseType!A:A,1,FALSE())),D1794&lt;&gt;"Struct"),"N","Y")</f>
        <v>Y</v>
      </c>
      <c r="G1794" s="145"/>
      <c r="H1794" s="141"/>
      <c r="I1794" s="141"/>
      <c r="J1794" s="141"/>
      <c r="K1794" s="141"/>
      <c r="L1794" s="141"/>
      <c r="M1794" s="141"/>
      <c r="N1794" s="54"/>
      <c r="O1794" s="54"/>
      <c r="P1794" s="54"/>
      <c r="Q1794" s="54"/>
      <c r="R1794" s="54"/>
      <c r="S1794" s="54"/>
      <c r="T1794" s="54"/>
    </row>
    <row r="1795" spans="1:20" ht="15" customHeight="1" x14ac:dyDescent="0.2">
      <c r="A1795" s="141"/>
      <c r="B1795" s="141"/>
      <c r="C1795" s="48" t="s">
        <v>2263</v>
      </c>
      <c r="D1795" s="148" t="s">
        <v>193</v>
      </c>
      <c r="E1795" s="46">
        <v>1</v>
      </c>
      <c r="F1795" s="144" t="str">
        <f>IF(AND(ISNA(VLOOKUP(D1795,A:A,1,FALSE())),ISNA(VLOOKUP(D1795,BaseType!A:A,1,FALSE())),D1795&lt;&gt;"Struct"),"N","Y")</f>
        <v>Y</v>
      </c>
      <c r="G1795" s="145"/>
      <c r="H1795" s="141"/>
      <c r="I1795" s="141"/>
      <c r="J1795" s="141"/>
      <c r="K1795" s="141"/>
      <c r="L1795" s="141"/>
      <c r="M1795" s="141"/>
      <c r="N1795" s="54"/>
      <c r="O1795" s="54"/>
      <c r="P1795" s="54"/>
      <c r="Q1795" s="54"/>
      <c r="R1795" s="54"/>
      <c r="S1795" s="54"/>
      <c r="T1795" s="54"/>
    </row>
    <row r="1796" spans="1:20" ht="15" customHeight="1" x14ac:dyDescent="0.2">
      <c r="A1796" s="141"/>
      <c r="B1796" s="141"/>
      <c r="C1796" s="148" t="s">
        <v>625</v>
      </c>
      <c r="D1796" s="148" t="s">
        <v>193</v>
      </c>
      <c r="E1796" s="46">
        <v>1</v>
      </c>
      <c r="F1796" s="144" t="str">
        <f>IF(AND(ISNA(VLOOKUP(D1796,A:A,1,FALSE())),ISNA(VLOOKUP(D1796,BaseType!A:A,1,FALSE())),D1796&lt;&gt;"Struct"),"N","Y")</f>
        <v>Y</v>
      </c>
      <c r="G1796" s="145"/>
      <c r="H1796" s="141"/>
      <c r="I1796" s="141"/>
      <c r="J1796" s="141"/>
      <c r="K1796" s="141"/>
      <c r="L1796" s="141"/>
      <c r="M1796" s="141"/>
      <c r="N1796" s="54"/>
      <c r="O1796" s="54"/>
      <c r="P1796" s="54"/>
      <c r="Q1796" s="54"/>
      <c r="R1796" s="54"/>
      <c r="S1796" s="54"/>
      <c r="T1796" s="54"/>
    </row>
    <row r="1797" spans="1:20" ht="15" customHeight="1" x14ac:dyDescent="0.2">
      <c r="A1797" s="141"/>
      <c r="B1797" s="141"/>
      <c r="C1797" s="148" t="s">
        <v>627</v>
      </c>
      <c r="D1797" s="148" t="s">
        <v>193</v>
      </c>
      <c r="E1797" s="46">
        <v>1</v>
      </c>
      <c r="F1797" s="144" t="str">
        <f>IF(AND(ISNA(VLOOKUP(D1797,A:A,1,FALSE())),ISNA(VLOOKUP(D1797,BaseType!A:A,1,FALSE())),D1797&lt;&gt;"Struct"),"N","Y")</f>
        <v>Y</v>
      </c>
      <c r="G1797" s="145"/>
      <c r="H1797" s="141"/>
      <c r="I1797" s="141"/>
      <c r="J1797" s="141"/>
      <c r="K1797" s="141"/>
      <c r="L1797" s="141"/>
      <c r="M1797" s="141"/>
      <c r="N1797" s="54"/>
      <c r="O1797" s="54"/>
      <c r="P1797" s="54"/>
      <c r="Q1797" s="54"/>
      <c r="R1797" s="54"/>
      <c r="S1797" s="54"/>
      <c r="T1797" s="54"/>
    </row>
    <row r="1798" spans="1:20" ht="15" customHeight="1" x14ac:dyDescent="0.2">
      <c r="A1798" s="141"/>
      <c r="B1798" s="141"/>
      <c r="C1798" s="148" t="s">
        <v>628</v>
      </c>
      <c r="D1798" s="148" t="s">
        <v>193</v>
      </c>
      <c r="E1798" s="46">
        <v>1</v>
      </c>
      <c r="F1798" s="144" t="str">
        <f>IF(AND(ISNA(VLOOKUP(D1798,A:A,1,FALSE())),ISNA(VLOOKUP(D1798,BaseType!A:A,1,FALSE())),D1798&lt;&gt;"Struct"),"N","Y")</f>
        <v>Y</v>
      </c>
      <c r="G1798" s="145"/>
      <c r="H1798" s="141"/>
      <c r="I1798" s="141"/>
      <c r="J1798" s="141"/>
      <c r="K1798" s="141"/>
      <c r="L1798" s="141"/>
      <c r="M1798" s="141"/>
      <c r="N1798" s="54"/>
      <c r="O1798" s="54"/>
      <c r="P1798" s="54"/>
      <c r="Q1798" s="54"/>
      <c r="R1798" s="54"/>
      <c r="S1798" s="54"/>
      <c r="T1798" s="54"/>
    </row>
    <row r="1799" spans="1:20" ht="15" customHeight="1" x14ac:dyDescent="0.2">
      <c r="A1799" s="141"/>
      <c r="B1799" s="141"/>
      <c r="C1799" s="148" t="s">
        <v>602</v>
      </c>
      <c r="D1799" s="148" t="s">
        <v>193</v>
      </c>
      <c r="E1799" s="46">
        <v>1</v>
      </c>
      <c r="F1799" s="144" t="str">
        <f>IF(AND(ISNA(VLOOKUP(D1799,A:A,1,FALSE())),ISNA(VLOOKUP(D1799,BaseType!A:A,1,FALSE())),D1799&lt;&gt;"Struct"),"N","Y")</f>
        <v>Y</v>
      </c>
      <c r="G1799" s="145"/>
      <c r="H1799" s="141"/>
      <c r="I1799" s="141"/>
      <c r="J1799" s="141"/>
      <c r="K1799" s="141"/>
      <c r="L1799" s="141"/>
      <c r="M1799" s="141"/>
      <c r="N1799" s="54"/>
      <c r="O1799" s="54"/>
      <c r="P1799" s="54"/>
      <c r="Q1799" s="54"/>
      <c r="R1799" s="54"/>
      <c r="S1799" s="54"/>
      <c r="T1799" s="54"/>
    </row>
    <row r="1800" spans="1:20" ht="15" customHeight="1" x14ac:dyDescent="0.2">
      <c r="A1800" s="141"/>
      <c r="B1800" s="141"/>
      <c r="C1800" s="48" t="s">
        <v>2221</v>
      </c>
      <c r="D1800" s="148" t="s">
        <v>193</v>
      </c>
      <c r="E1800" s="46">
        <v>1</v>
      </c>
      <c r="F1800" s="144" t="str">
        <f>IF(AND(ISNA(VLOOKUP(D1800,A:A,1,FALSE())),ISNA(VLOOKUP(D1800,BaseType!A:A,1,FALSE())),D1800&lt;&gt;"Struct"),"N","Y")</f>
        <v>Y</v>
      </c>
      <c r="G1800" s="145"/>
      <c r="H1800" s="141"/>
      <c r="I1800" s="141"/>
      <c r="J1800" s="141"/>
      <c r="K1800" s="141"/>
      <c r="L1800" s="141"/>
      <c r="M1800" s="141"/>
      <c r="N1800" s="54"/>
      <c r="O1800" s="54"/>
      <c r="P1800" s="54"/>
      <c r="Q1800" s="54"/>
      <c r="R1800" s="54"/>
      <c r="S1800" s="54"/>
      <c r="T1800" s="54"/>
    </row>
    <row r="1801" spans="1:20" ht="15" customHeight="1" x14ac:dyDescent="0.2">
      <c r="A1801" s="141"/>
      <c r="B1801" s="141"/>
      <c r="C1801" s="48" t="s">
        <v>2233</v>
      </c>
      <c r="D1801" s="148" t="s">
        <v>193</v>
      </c>
      <c r="E1801" s="46">
        <v>1</v>
      </c>
      <c r="F1801" s="144" t="str">
        <f>IF(AND(ISNA(VLOOKUP(D1801,A:A,1,FALSE())),ISNA(VLOOKUP(D1801,BaseType!A:A,1,FALSE())),D1801&lt;&gt;"Struct"),"N","Y")</f>
        <v>Y</v>
      </c>
      <c r="G1801" s="145"/>
      <c r="H1801" s="141"/>
      <c r="I1801" s="141"/>
      <c r="J1801" s="141"/>
      <c r="K1801" s="141"/>
      <c r="L1801" s="141"/>
      <c r="M1801" s="141"/>
      <c r="N1801" s="54"/>
      <c r="O1801" s="54"/>
      <c r="P1801" s="54"/>
      <c r="Q1801" s="54"/>
      <c r="R1801" s="54"/>
      <c r="S1801" s="54"/>
      <c r="T1801" s="54"/>
    </row>
    <row r="1802" spans="1:20" ht="15" customHeight="1" x14ac:dyDescent="0.2">
      <c r="A1802" s="141"/>
      <c r="B1802" s="141"/>
      <c r="C1802" s="48" t="s">
        <v>2260</v>
      </c>
      <c r="D1802" s="148" t="s">
        <v>193</v>
      </c>
      <c r="E1802" s="46">
        <v>1</v>
      </c>
      <c r="F1802" s="144" t="str">
        <f>IF(AND(ISNA(VLOOKUP(D1802,A:A,1,FALSE())),ISNA(VLOOKUP(D1802,BaseType!A:A,1,FALSE())),D1802&lt;&gt;"Struct"),"N","Y")</f>
        <v>Y</v>
      </c>
      <c r="G1802" s="145"/>
      <c r="H1802" s="141"/>
      <c r="I1802" s="141"/>
      <c r="J1802" s="141"/>
      <c r="K1802" s="141"/>
      <c r="L1802" s="141"/>
      <c r="M1802" s="141"/>
      <c r="N1802" s="54"/>
      <c r="O1802" s="54"/>
      <c r="P1802" s="54"/>
      <c r="Q1802" s="54"/>
      <c r="R1802" s="54"/>
      <c r="S1802" s="54"/>
      <c r="T1802" s="54"/>
    </row>
    <row r="1803" spans="1:20" ht="15" customHeight="1" x14ac:dyDescent="0.2">
      <c r="A1803" s="141"/>
      <c r="B1803" s="141"/>
      <c r="C1803" s="48" t="s">
        <v>1992</v>
      </c>
      <c r="D1803" s="148" t="s">
        <v>193</v>
      </c>
      <c r="E1803" s="46">
        <v>1</v>
      </c>
      <c r="F1803" s="144" t="str">
        <f>IF(AND(ISNA(VLOOKUP(D1803,A:A,1,FALSE())),ISNA(VLOOKUP(D1803,BaseType!A:A,1,FALSE())),D1803&lt;&gt;"Struct"),"N","Y")</f>
        <v>Y</v>
      </c>
      <c r="G1803" s="145"/>
      <c r="H1803" s="141"/>
      <c r="I1803" s="141"/>
      <c r="J1803" s="141"/>
      <c r="K1803" s="141"/>
      <c r="L1803" s="141"/>
      <c r="M1803" s="141"/>
      <c r="N1803" s="54"/>
      <c r="O1803" s="54"/>
      <c r="P1803" s="54"/>
      <c r="Q1803" s="54"/>
      <c r="R1803" s="54"/>
      <c r="S1803" s="54"/>
      <c r="T1803" s="54"/>
    </row>
    <row r="1804" spans="1:20" ht="15" customHeight="1" x14ac:dyDescent="0.2">
      <c r="A1804" s="141"/>
      <c r="B1804" s="141"/>
      <c r="C1804" s="48" t="s">
        <v>1994</v>
      </c>
      <c r="D1804" s="148" t="s">
        <v>193</v>
      </c>
      <c r="E1804" s="46">
        <v>1</v>
      </c>
      <c r="F1804" s="144" t="str">
        <f>IF(AND(ISNA(VLOOKUP(D1804,A:A,1,FALSE())),ISNA(VLOOKUP(D1804,BaseType!A:A,1,FALSE())),D1804&lt;&gt;"Struct"),"N","Y")</f>
        <v>Y</v>
      </c>
      <c r="G1804" s="145"/>
      <c r="H1804" s="141"/>
      <c r="I1804" s="141"/>
      <c r="J1804" s="141"/>
      <c r="K1804" s="141"/>
      <c r="L1804" s="141"/>
      <c r="M1804" s="141"/>
      <c r="N1804" s="54"/>
      <c r="O1804" s="54"/>
      <c r="P1804" s="54"/>
      <c r="Q1804" s="54"/>
      <c r="R1804" s="54"/>
      <c r="S1804" s="54"/>
      <c r="T1804" s="54"/>
    </row>
    <row r="1805" spans="1:20" ht="15" customHeight="1" x14ac:dyDescent="0.2">
      <c r="A1805" s="141"/>
      <c r="B1805" s="141"/>
      <c r="C1805" s="48" t="s">
        <v>1986</v>
      </c>
      <c r="D1805" s="148" t="s">
        <v>193</v>
      </c>
      <c r="E1805" s="46">
        <v>1</v>
      </c>
      <c r="F1805" s="144" t="str">
        <f>IF(AND(ISNA(VLOOKUP(D1805,A:A,1,FALSE())),ISNA(VLOOKUP(D1805,BaseType!A:A,1,FALSE())),D1805&lt;&gt;"Struct"),"N","Y")</f>
        <v>Y</v>
      </c>
      <c r="G1805" s="145"/>
      <c r="H1805" s="141"/>
      <c r="I1805" s="141"/>
      <c r="J1805" s="141"/>
      <c r="K1805" s="141"/>
      <c r="L1805" s="141"/>
      <c r="M1805" s="141"/>
      <c r="N1805" s="54"/>
      <c r="O1805" s="54"/>
      <c r="P1805" s="54"/>
      <c r="Q1805" s="54"/>
      <c r="R1805" s="54"/>
      <c r="S1805" s="54"/>
      <c r="T1805" s="54"/>
    </row>
    <row r="1806" spans="1:20" ht="15" customHeight="1" x14ac:dyDescent="0.2">
      <c r="A1806" s="141"/>
      <c r="B1806" s="141"/>
      <c r="C1806" s="148" t="s">
        <v>1094</v>
      </c>
      <c r="D1806" s="148" t="s">
        <v>193</v>
      </c>
      <c r="E1806" s="46">
        <v>1</v>
      </c>
      <c r="F1806" s="144" t="str">
        <f>IF(AND(ISNA(VLOOKUP(D1806,A:A,1,FALSE())),ISNA(VLOOKUP(D1806,BaseType!A:A,1,FALSE())),D1806&lt;&gt;"Struct"),"N","Y")</f>
        <v>Y</v>
      </c>
      <c r="G1806" s="145"/>
      <c r="H1806" s="141"/>
      <c r="I1806" s="141"/>
      <c r="J1806" s="141"/>
      <c r="K1806" s="141"/>
      <c r="L1806" s="141"/>
      <c r="M1806" s="141"/>
      <c r="N1806" s="54"/>
      <c r="O1806" s="54"/>
      <c r="P1806" s="54"/>
      <c r="Q1806" s="54"/>
      <c r="R1806" s="54"/>
      <c r="S1806" s="54"/>
      <c r="T1806" s="54"/>
    </row>
    <row r="1807" spans="1:20" ht="15" customHeight="1" x14ac:dyDescent="0.2">
      <c r="A1807" s="141"/>
      <c r="B1807" s="141"/>
      <c r="C1807" s="48" t="s">
        <v>499</v>
      </c>
      <c r="D1807" s="148" t="s">
        <v>193</v>
      </c>
      <c r="E1807" s="46">
        <v>1</v>
      </c>
      <c r="F1807" s="144" t="str">
        <f>IF(AND(ISNA(VLOOKUP(D1807,A:A,1,FALSE())),ISNA(VLOOKUP(D1807,BaseType!A:A,1,FALSE())),D1807&lt;&gt;"Struct"),"N","Y")</f>
        <v>Y</v>
      </c>
      <c r="G1807" s="145"/>
      <c r="H1807" s="141"/>
      <c r="I1807" s="141"/>
      <c r="J1807" s="141"/>
      <c r="K1807" s="141"/>
      <c r="L1807" s="141"/>
      <c r="M1807" s="141"/>
      <c r="N1807" s="54"/>
      <c r="O1807" s="54"/>
      <c r="P1807" s="54"/>
      <c r="Q1807" s="54"/>
      <c r="R1807" s="54"/>
      <c r="S1807" s="54"/>
      <c r="T1807" s="54"/>
    </row>
    <row r="1808" spans="1:20" ht="15" customHeight="1" x14ac:dyDescent="0.2">
      <c r="A1808" s="141"/>
      <c r="B1808" s="141"/>
      <c r="C1808" s="48" t="s">
        <v>2265</v>
      </c>
      <c r="D1808" s="148" t="s">
        <v>298</v>
      </c>
      <c r="E1808" s="46">
        <v>1</v>
      </c>
      <c r="F1808" s="144" t="str">
        <f>IF(AND(ISNA(VLOOKUP(D1808,A:A,1,FALSE())),ISNA(VLOOKUP(D1808,BaseType!A:A,1,FALSE())),D1808&lt;&gt;"Struct"),"N","Y")</f>
        <v>Y</v>
      </c>
      <c r="G1808" s="145"/>
      <c r="H1808" s="141"/>
      <c r="I1808" s="141"/>
      <c r="J1808" s="141"/>
      <c r="K1808" s="141"/>
      <c r="L1808" s="141"/>
      <c r="M1808" s="141"/>
      <c r="N1808" s="54"/>
      <c r="O1808" s="54"/>
      <c r="P1808" s="54"/>
      <c r="Q1808" s="54"/>
      <c r="R1808" s="54"/>
      <c r="S1808" s="54"/>
      <c r="T1808" s="54"/>
    </row>
    <row r="1809" spans="1:20" ht="15" customHeight="1" x14ac:dyDescent="0.2">
      <c r="A1809" s="141"/>
      <c r="B1809" s="141"/>
      <c r="C1809" s="48" t="s">
        <v>2269</v>
      </c>
      <c r="D1809" s="148" t="s">
        <v>298</v>
      </c>
      <c r="E1809" s="46">
        <v>1</v>
      </c>
      <c r="F1809" s="144" t="str">
        <f>IF(AND(ISNA(VLOOKUP(D1809,A:A,1,FALSE())),ISNA(VLOOKUP(D1809,BaseType!A:A,1,FALSE())),D1809&lt;&gt;"Struct"),"N","Y")</f>
        <v>Y</v>
      </c>
      <c r="G1809" s="145"/>
      <c r="H1809" s="141"/>
      <c r="I1809" s="141"/>
      <c r="J1809" s="141"/>
      <c r="K1809" s="141"/>
      <c r="L1809" s="141"/>
      <c r="M1809" s="141"/>
      <c r="N1809" s="54"/>
      <c r="O1809" s="54"/>
      <c r="P1809" s="54"/>
      <c r="Q1809" s="54"/>
      <c r="R1809" s="54"/>
      <c r="S1809" s="54"/>
      <c r="T1809" s="54"/>
    </row>
    <row r="1810" spans="1:20" ht="15" customHeight="1" x14ac:dyDescent="0.2">
      <c r="A1810" s="141"/>
      <c r="B1810" s="141"/>
      <c r="C1810" s="91" t="s">
        <v>289</v>
      </c>
      <c r="D1810" s="48" t="s">
        <v>225</v>
      </c>
      <c r="E1810" s="46">
        <v>1</v>
      </c>
      <c r="F1810" s="144" t="str">
        <f>IF(AND(ISNA(VLOOKUP(D1810,A:A,1,FALSE())),ISNA(VLOOKUP(D1810,BaseType!A:A,1,FALSE())),D1810&lt;&gt;"Struct"),"N","Y")</f>
        <v>Y</v>
      </c>
      <c r="G1810" s="145"/>
      <c r="H1810" s="141"/>
      <c r="I1810" s="141"/>
      <c r="J1810" s="141"/>
      <c r="K1810" s="141"/>
      <c r="L1810" s="141"/>
      <c r="M1810" s="141"/>
      <c r="N1810" s="54"/>
      <c r="O1810" s="54"/>
      <c r="P1810" s="54"/>
      <c r="Q1810" s="54"/>
      <c r="R1810" s="54"/>
      <c r="S1810" s="54"/>
      <c r="T1810" s="54"/>
    </row>
    <row r="1811" spans="1:20" ht="15" customHeight="1" x14ac:dyDescent="0.2">
      <c r="A1811" s="141"/>
      <c r="B1811" s="141"/>
      <c r="C1811" s="148" t="s">
        <v>824</v>
      </c>
      <c r="D1811" s="148" t="s">
        <v>225</v>
      </c>
      <c r="E1811" s="46">
        <v>1</v>
      </c>
      <c r="F1811" s="144" t="str">
        <f>IF(AND(ISNA(VLOOKUP(D1811,A:A,1,FALSE())),ISNA(VLOOKUP(D1811,BaseType!A:A,1,FALSE())),D1811&lt;&gt;"Struct"),"N","Y")</f>
        <v>Y</v>
      </c>
      <c r="G1811" s="145"/>
      <c r="H1811" s="141"/>
      <c r="I1811" s="141"/>
      <c r="J1811" s="141"/>
      <c r="K1811" s="141"/>
      <c r="L1811" s="141"/>
      <c r="M1811" s="141"/>
      <c r="N1811" s="54"/>
      <c r="O1811" s="54"/>
      <c r="P1811" s="54"/>
      <c r="Q1811" s="54"/>
      <c r="R1811" s="54"/>
      <c r="S1811" s="54"/>
      <c r="T1811" s="54"/>
    </row>
    <row r="1812" spans="1:20" ht="15" customHeight="1" x14ac:dyDescent="0.2">
      <c r="A1812" s="141"/>
      <c r="B1812" s="141"/>
      <c r="C1812" s="91" t="s">
        <v>713</v>
      </c>
      <c r="D1812" s="91" t="s">
        <v>193</v>
      </c>
      <c r="E1812" s="46">
        <v>1</v>
      </c>
      <c r="F1812" s="144" t="str">
        <f>IF(AND(ISNA(VLOOKUP(D1812,A:A,1,FALSE())),ISNA(VLOOKUP(D1812,BaseType!A:A,1,FALSE())),D1812&lt;&gt;"Struct"),"N","Y")</f>
        <v>Y</v>
      </c>
      <c r="G1812" s="145"/>
      <c r="H1812" s="141"/>
      <c r="I1812" s="141"/>
      <c r="J1812" s="141"/>
      <c r="K1812" s="141"/>
      <c r="L1812" s="141"/>
      <c r="M1812" s="141"/>
      <c r="N1812" s="54"/>
      <c r="O1812" s="54"/>
      <c r="P1812" s="54"/>
      <c r="Q1812" s="54"/>
      <c r="R1812" s="54"/>
      <c r="S1812" s="54"/>
      <c r="T1812" s="54"/>
    </row>
    <row r="1813" spans="1:20" ht="15" customHeight="1" x14ac:dyDescent="0.2">
      <c r="A1813" s="141"/>
      <c r="B1813" s="141"/>
      <c r="C1813" s="91" t="s">
        <v>294</v>
      </c>
      <c r="D1813" s="91" t="s">
        <v>225</v>
      </c>
      <c r="E1813" s="46">
        <v>1</v>
      </c>
      <c r="F1813" s="144" t="str">
        <f>IF(AND(ISNA(VLOOKUP(D1813,A:A,1,FALSE())),ISNA(VLOOKUP(D1813,BaseType!A:A,1,FALSE())),D1813&lt;&gt;"Struct"),"N","Y")</f>
        <v>Y</v>
      </c>
      <c r="G1813" s="145"/>
      <c r="H1813" s="141"/>
      <c r="I1813" s="141"/>
      <c r="J1813" s="141"/>
      <c r="K1813" s="141"/>
      <c r="L1813" s="141"/>
      <c r="M1813" s="141"/>
      <c r="N1813" s="54"/>
      <c r="O1813" s="54"/>
      <c r="P1813" s="54"/>
      <c r="Q1813" s="54"/>
      <c r="R1813" s="54"/>
      <c r="S1813" s="54"/>
      <c r="T1813" s="54"/>
    </row>
    <row r="1814" spans="1:20" ht="15" customHeight="1" x14ac:dyDescent="0.2">
      <c r="A1814" s="141"/>
      <c r="B1814" s="141"/>
      <c r="C1814" s="91" t="s">
        <v>295</v>
      </c>
      <c r="D1814" s="91" t="s">
        <v>225</v>
      </c>
      <c r="E1814" s="46">
        <v>1</v>
      </c>
      <c r="F1814" s="144" t="str">
        <f>IF(AND(ISNA(VLOOKUP(D1814,A:A,1,FALSE())),ISNA(VLOOKUP(D1814,BaseType!A:A,1,FALSE())),D1814&lt;&gt;"Struct"),"N","Y")</f>
        <v>Y</v>
      </c>
      <c r="G1814" s="145"/>
      <c r="H1814" s="141"/>
      <c r="I1814" s="141"/>
      <c r="J1814" s="141"/>
      <c r="K1814" s="141"/>
      <c r="L1814" s="141"/>
      <c r="M1814" s="141"/>
      <c r="N1814" s="54"/>
      <c r="O1814" s="54"/>
      <c r="P1814" s="54"/>
      <c r="Q1814" s="54"/>
      <c r="R1814" s="54"/>
      <c r="S1814" s="54"/>
      <c r="T1814" s="54"/>
    </row>
    <row r="1815" spans="1:20" ht="15" customHeight="1" x14ac:dyDescent="0.2">
      <c r="A1815" s="141"/>
      <c r="B1815" s="141"/>
      <c r="C1815" s="148" t="s">
        <v>774</v>
      </c>
      <c r="D1815" s="148" t="s">
        <v>298</v>
      </c>
      <c r="E1815" s="46">
        <v>1</v>
      </c>
      <c r="F1815" s="144" t="str">
        <f>IF(AND(ISNA(VLOOKUP(D1815,A:A,1,FALSE())),ISNA(VLOOKUP(D1815,BaseType!A:A,1,FALSE())),D1815&lt;&gt;"Struct"),"N","Y")</f>
        <v>Y</v>
      </c>
      <c r="G1815" s="145"/>
      <c r="H1815" s="141"/>
      <c r="I1815" s="141"/>
      <c r="J1815" s="141"/>
      <c r="K1815" s="141"/>
      <c r="L1815" s="141"/>
      <c r="M1815" s="141"/>
      <c r="N1815" s="54"/>
      <c r="O1815" s="54"/>
      <c r="P1815" s="54"/>
      <c r="Q1815" s="54"/>
      <c r="R1815" s="54"/>
      <c r="S1815" s="54"/>
      <c r="T1815" s="54"/>
    </row>
    <row r="1816" spans="1:20" ht="15" customHeight="1" x14ac:dyDescent="0.2">
      <c r="A1816" s="141"/>
      <c r="B1816" s="155"/>
      <c r="C1816" s="91" t="s">
        <v>192</v>
      </c>
      <c r="D1816" s="91" t="s">
        <v>193</v>
      </c>
      <c r="E1816" s="46">
        <v>1</v>
      </c>
      <c r="F1816" s="144" t="str">
        <f>IF(AND(ISNA(VLOOKUP(D1816,A:A,1,FALSE())),ISNA(VLOOKUP(D1816,BaseType!A:A,1,FALSE())),D1816&lt;&gt;"Struct"),"N","Y")</f>
        <v>Y</v>
      </c>
      <c r="G1816" s="145"/>
      <c r="H1816" s="141"/>
      <c r="I1816" s="141"/>
      <c r="J1816" s="141"/>
      <c r="K1816" s="141"/>
      <c r="L1816" s="141"/>
      <c r="M1816" s="141"/>
      <c r="N1816" s="54"/>
      <c r="O1816" s="54"/>
      <c r="P1816" s="54"/>
      <c r="Q1816" s="54"/>
      <c r="R1816" s="54"/>
      <c r="S1816" s="54"/>
      <c r="T1816" s="54"/>
    </row>
    <row r="1817" spans="1:20" ht="15" customHeight="1" x14ac:dyDescent="0.2">
      <c r="A1817" s="141"/>
      <c r="B1817" s="155"/>
      <c r="C1817" s="156" t="s">
        <v>2485</v>
      </c>
      <c r="D1817" s="157" t="s">
        <v>293</v>
      </c>
      <c r="E1817" s="46">
        <v>1</v>
      </c>
      <c r="F1817" s="144" t="str">
        <f>IF(AND(ISNA(VLOOKUP(D1817,A:A,1,FALSE())),ISNA(VLOOKUP(D1817,BaseType!A:A,1,FALSE())),D1817&lt;&gt;"Struct"),"N","Y")</f>
        <v>Y</v>
      </c>
      <c r="G1817" s="145"/>
      <c r="H1817" s="141"/>
      <c r="I1817" s="141"/>
      <c r="J1817" s="141"/>
      <c r="K1817" s="141"/>
      <c r="L1817" s="141"/>
      <c r="M1817" s="141"/>
      <c r="N1817" s="54"/>
      <c r="O1817" s="54"/>
      <c r="P1817" s="54"/>
      <c r="Q1817" s="54"/>
      <c r="R1817" s="54"/>
      <c r="S1817" s="54"/>
      <c r="T1817" s="54"/>
    </row>
    <row r="1818" spans="1:20" ht="15" customHeight="1" x14ac:dyDescent="0.2">
      <c r="A1818" s="141"/>
      <c r="B1818" s="155"/>
      <c r="C1818" s="156" t="s">
        <v>2486</v>
      </c>
      <c r="D1818" s="157" t="s">
        <v>293</v>
      </c>
      <c r="E1818" s="46">
        <v>1</v>
      </c>
      <c r="F1818" s="144" t="str">
        <f>IF(AND(ISNA(VLOOKUP(D1818,A:A,1,FALSE())),ISNA(VLOOKUP(D1818,BaseType!A:A,1,FALSE())),D1818&lt;&gt;"Struct"),"N","Y")</f>
        <v>Y</v>
      </c>
      <c r="G1818" s="145"/>
      <c r="H1818" s="141"/>
      <c r="I1818" s="141"/>
      <c r="J1818" s="141"/>
      <c r="K1818" s="141"/>
      <c r="L1818" s="141"/>
      <c r="M1818" s="141"/>
      <c r="N1818" s="54"/>
      <c r="O1818" s="54"/>
      <c r="P1818" s="54"/>
      <c r="Q1818" s="54"/>
      <c r="R1818" s="54"/>
      <c r="S1818" s="54"/>
      <c r="T1818" s="54"/>
    </row>
    <row r="1819" spans="1:20" ht="15" customHeight="1" x14ac:dyDescent="0.2">
      <c r="A1819" s="141"/>
      <c r="B1819" s="155"/>
      <c r="C1819" s="156" t="s">
        <v>2487</v>
      </c>
      <c r="D1819" s="157" t="s">
        <v>293</v>
      </c>
      <c r="E1819" s="46">
        <v>1</v>
      </c>
      <c r="F1819" s="144" t="str">
        <f>IF(AND(ISNA(VLOOKUP(D1819,A:A,1,FALSE())),ISNA(VLOOKUP(D1819,BaseType!A:A,1,FALSE())),D1819&lt;&gt;"Struct"),"N","Y")</f>
        <v>Y</v>
      </c>
      <c r="G1819" s="145"/>
      <c r="H1819" s="141"/>
      <c r="I1819" s="141"/>
      <c r="J1819" s="141"/>
      <c r="K1819" s="141"/>
      <c r="L1819" s="141"/>
      <c r="M1819" s="141"/>
      <c r="N1819" s="54"/>
      <c r="O1819" s="54"/>
      <c r="P1819" s="54"/>
      <c r="Q1819" s="54"/>
      <c r="R1819" s="54"/>
      <c r="S1819" s="54"/>
      <c r="T1819" s="54"/>
    </row>
    <row r="1820" spans="1:20" ht="15" customHeight="1" x14ac:dyDescent="0.2">
      <c r="A1820" s="141"/>
      <c r="B1820" s="155"/>
      <c r="C1820" s="156" t="s">
        <v>2488</v>
      </c>
      <c r="D1820" s="157" t="s">
        <v>293</v>
      </c>
      <c r="E1820" s="46">
        <v>1</v>
      </c>
      <c r="F1820" s="144" t="str">
        <f>IF(AND(ISNA(VLOOKUP(D1820,A:A,1,FALSE())),ISNA(VLOOKUP(D1820,BaseType!A:A,1,FALSE())),D1820&lt;&gt;"Struct"),"N","Y")</f>
        <v>Y</v>
      </c>
      <c r="G1820" s="145"/>
      <c r="H1820" s="141"/>
      <c r="I1820" s="141"/>
      <c r="J1820" s="141"/>
      <c r="K1820" s="141"/>
      <c r="L1820" s="141"/>
      <c r="M1820" s="141"/>
      <c r="N1820" s="54"/>
      <c r="O1820" s="54"/>
      <c r="P1820" s="54"/>
      <c r="Q1820" s="54"/>
      <c r="R1820" s="54"/>
      <c r="S1820" s="54"/>
      <c r="T1820" s="54"/>
    </row>
    <row r="1821" spans="1:20" ht="15" customHeight="1" x14ac:dyDescent="0.2">
      <c r="A1821" s="141"/>
      <c r="B1821" s="155"/>
      <c r="C1821" s="148" t="s">
        <v>755</v>
      </c>
      <c r="D1821" s="227" t="s">
        <v>193</v>
      </c>
      <c r="E1821" s="46">
        <v>1</v>
      </c>
      <c r="F1821" s="144" t="str">
        <f>IF(AND(ISNA(VLOOKUP(D1821,A:A,1,FALSE())),ISNA(VLOOKUP(D1821,BaseType!A:A,1,FALSE())),D1821&lt;&gt;"Struct"),"N","Y")</f>
        <v>Y</v>
      </c>
      <c r="G1821" s="145"/>
      <c r="H1821" s="141"/>
      <c r="I1821" s="141"/>
      <c r="J1821" s="141"/>
      <c r="K1821" s="141"/>
      <c r="L1821" s="141"/>
      <c r="M1821" s="141"/>
      <c r="N1821" s="54"/>
      <c r="O1821" s="54"/>
      <c r="P1821" s="54"/>
      <c r="Q1821" s="54"/>
      <c r="R1821" s="54"/>
      <c r="S1821" s="54"/>
      <c r="T1821" s="54"/>
    </row>
    <row r="1822" spans="1:20" ht="15" customHeight="1" x14ac:dyDescent="0.2">
      <c r="A1822" s="141"/>
      <c r="B1822" s="155"/>
      <c r="C1822" s="148" t="s">
        <v>776</v>
      </c>
      <c r="D1822" s="148" t="s">
        <v>225</v>
      </c>
      <c r="E1822" s="46">
        <v>1</v>
      </c>
      <c r="F1822" s="144" t="str">
        <f>IF(AND(ISNA(VLOOKUP(D1822,A:A,1,FALSE())),ISNA(VLOOKUP(D1822,BaseType!A:A,1,FALSE())),D1822&lt;&gt;"Struct"),"N","Y")</f>
        <v>Y</v>
      </c>
      <c r="G1822" s="145"/>
      <c r="H1822" s="141"/>
      <c r="I1822" s="141"/>
      <c r="J1822" s="141"/>
      <c r="K1822" s="141"/>
      <c r="L1822" s="141"/>
      <c r="M1822" s="141"/>
      <c r="N1822" s="54"/>
      <c r="O1822" s="54"/>
      <c r="P1822" s="54"/>
      <c r="Q1822" s="54"/>
      <c r="R1822" s="54"/>
      <c r="S1822" s="54"/>
      <c r="T1822" s="54"/>
    </row>
    <row r="1823" spans="1:20" ht="15" customHeight="1" x14ac:dyDescent="0.2">
      <c r="A1823" s="141"/>
      <c r="B1823" s="155"/>
      <c r="C1823" s="148" t="s">
        <v>778</v>
      </c>
      <c r="D1823" s="148" t="s">
        <v>225</v>
      </c>
      <c r="E1823" s="46">
        <v>1</v>
      </c>
      <c r="F1823" s="144" t="str">
        <f>IF(AND(ISNA(VLOOKUP(D1823,A:A,1,FALSE())),ISNA(VLOOKUP(D1823,BaseType!A:A,1,FALSE())),D1823&lt;&gt;"Struct"),"N","Y")</f>
        <v>Y</v>
      </c>
      <c r="G1823" s="145"/>
      <c r="H1823" s="141"/>
      <c r="I1823" s="141"/>
      <c r="J1823" s="141"/>
      <c r="K1823" s="141"/>
      <c r="L1823" s="141"/>
      <c r="M1823" s="141"/>
      <c r="N1823" s="54"/>
      <c r="O1823" s="54"/>
      <c r="P1823" s="54"/>
      <c r="Q1823" s="54"/>
      <c r="R1823" s="54"/>
      <c r="S1823" s="54"/>
      <c r="T1823" s="54"/>
    </row>
    <row r="1824" spans="1:20" ht="15" customHeight="1" x14ac:dyDescent="0.2">
      <c r="A1824" s="141"/>
      <c r="B1824" s="155"/>
      <c r="C1824" s="148" t="s">
        <v>784</v>
      </c>
      <c r="D1824" s="148" t="s">
        <v>225</v>
      </c>
      <c r="E1824" s="46">
        <v>1</v>
      </c>
      <c r="F1824" s="144" t="str">
        <f>IF(AND(ISNA(VLOOKUP(D1824,A:A,1,FALSE())),ISNA(VLOOKUP(D1824,BaseType!A:A,1,FALSE())),D1824&lt;&gt;"Struct"),"N","Y")</f>
        <v>Y</v>
      </c>
      <c r="G1824" s="145"/>
      <c r="H1824" s="141"/>
      <c r="I1824" s="141"/>
      <c r="J1824" s="141"/>
      <c r="K1824" s="141"/>
      <c r="L1824" s="141"/>
      <c r="M1824" s="141"/>
      <c r="N1824" s="54"/>
      <c r="O1824" s="54"/>
      <c r="P1824" s="54"/>
      <c r="Q1824" s="54"/>
      <c r="R1824" s="54"/>
      <c r="S1824" s="54"/>
      <c r="T1824" s="54"/>
    </row>
    <row r="1825" spans="1:20" ht="15" customHeight="1" x14ac:dyDescent="0.2">
      <c r="A1825" s="141"/>
      <c r="B1825" s="155"/>
      <c r="C1825" s="148" t="s">
        <v>788</v>
      </c>
      <c r="D1825" s="148" t="s">
        <v>225</v>
      </c>
      <c r="E1825" s="46">
        <v>1</v>
      </c>
      <c r="F1825" s="144" t="str">
        <f>IF(AND(ISNA(VLOOKUP(D1825,A:A,1,FALSE())),ISNA(VLOOKUP(D1825,BaseType!A:A,1,FALSE())),D1825&lt;&gt;"Struct"),"N","Y")</f>
        <v>Y</v>
      </c>
      <c r="G1825" s="145"/>
      <c r="H1825" s="141"/>
      <c r="I1825" s="141"/>
      <c r="J1825" s="141"/>
      <c r="K1825" s="141"/>
      <c r="L1825" s="141"/>
      <c r="M1825" s="141"/>
      <c r="N1825" s="54"/>
      <c r="O1825" s="54"/>
      <c r="P1825" s="54"/>
      <c r="Q1825" s="54"/>
      <c r="R1825" s="54"/>
      <c r="S1825" s="54"/>
      <c r="T1825" s="54"/>
    </row>
    <row r="1826" spans="1:20" ht="15" customHeight="1" x14ac:dyDescent="0.2">
      <c r="A1826" s="141"/>
      <c r="B1826" s="155"/>
      <c r="C1826" s="148" t="s">
        <v>790</v>
      </c>
      <c r="D1826" s="148" t="s">
        <v>225</v>
      </c>
      <c r="E1826" s="46">
        <v>1</v>
      </c>
      <c r="F1826" s="144" t="str">
        <f>IF(AND(ISNA(VLOOKUP(D1826,A:A,1,FALSE())),ISNA(VLOOKUP(D1826,BaseType!A:A,1,FALSE())),D1826&lt;&gt;"Struct"),"N","Y")</f>
        <v>Y</v>
      </c>
      <c r="G1826" s="145"/>
      <c r="H1826" s="141"/>
      <c r="I1826" s="141"/>
      <c r="J1826" s="141"/>
      <c r="K1826" s="141"/>
      <c r="L1826" s="141"/>
      <c r="M1826" s="141"/>
      <c r="N1826" s="54"/>
      <c r="O1826" s="54"/>
      <c r="P1826" s="54"/>
      <c r="Q1826" s="54"/>
      <c r="R1826" s="54"/>
      <c r="S1826" s="54"/>
      <c r="T1826" s="54"/>
    </row>
    <row r="1827" spans="1:20" ht="15" customHeight="1" x14ac:dyDescent="0.2">
      <c r="A1827" s="141"/>
      <c r="B1827" s="155"/>
      <c r="C1827" s="196" t="s">
        <v>796</v>
      </c>
      <c r="D1827" s="148" t="s">
        <v>225</v>
      </c>
      <c r="E1827" s="46">
        <v>1</v>
      </c>
      <c r="F1827" s="144" t="str">
        <f>IF(AND(ISNA(VLOOKUP(D1827,A:A,1,FALSE())),ISNA(VLOOKUP(D1827,BaseType!A:A,1,FALSE())),D1827&lt;&gt;"Struct"),"N","Y")</f>
        <v>Y</v>
      </c>
      <c r="G1827" s="145"/>
      <c r="H1827" s="141"/>
      <c r="I1827" s="141"/>
      <c r="J1827" s="141"/>
      <c r="K1827" s="141"/>
      <c r="L1827" s="141"/>
      <c r="M1827" s="141"/>
      <c r="N1827" s="54"/>
      <c r="O1827" s="54"/>
      <c r="P1827" s="54"/>
      <c r="Q1827" s="54"/>
      <c r="R1827" s="54"/>
      <c r="S1827" s="54"/>
      <c r="T1827" s="54"/>
    </row>
    <row r="1828" spans="1:20" ht="15" customHeight="1" x14ac:dyDescent="0.2">
      <c r="A1828" s="141"/>
      <c r="B1828" s="155"/>
      <c r="C1828" s="148" t="s">
        <v>800</v>
      </c>
      <c r="D1828" s="148" t="s">
        <v>225</v>
      </c>
      <c r="E1828" s="46">
        <v>1</v>
      </c>
      <c r="F1828" s="144" t="str">
        <f>IF(AND(ISNA(VLOOKUP(D1828,A:A,1,FALSE())),ISNA(VLOOKUP(D1828,BaseType!A:A,1,FALSE())),D1828&lt;&gt;"Struct"),"N","Y")</f>
        <v>Y</v>
      </c>
      <c r="G1828" s="145"/>
      <c r="H1828" s="141"/>
      <c r="I1828" s="141"/>
      <c r="J1828" s="141"/>
      <c r="K1828" s="141"/>
      <c r="L1828" s="141"/>
      <c r="M1828" s="141"/>
      <c r="N1828" s="54"/>
      <c r="O1828" s="54"/>
      <c r="P1828" s="54"/>
      <c r="Q1828" s="54"/>
      <c r="R1828" s="54"/>
      <c r="S1828" s="54"/>
      <c r="T1828" s="54"/>
    </row>
    <row r="1829" spans="1:20" ht="15" customHeight="1" x14ac:dyDescent="0.2">
      <c r="A1829" s="141"/>
      <c r="B1829" s="155"/>
      <c r="C1829" s="148" t="s">
        <v>822</v>
      </c>
      <c r="D1829" s="148" t="s">
        <v>225</v>
      </c>
      <c r="E1829" s="46">
        <v>1</v>
      </c>
      <c r="F1829" s="144" t="str">
        <f>IF(AND(ISNA(VLOOKUP(D1829,A:A,1,FALSE())),ISNA(VLOOKUP(D1829,BaseType!A:A,1,FALSE())),D1829&lt;&gt;"Struct"),"N","Y")</f>
        <v>Y</v>
      </c>
      <c r="G1829" s="145"/>
      <c r="H1829" s="141"/>
      <c r="I1829" s="141"/>
      <c r="J1829" s="141"/>
      <c r="K1829" s="141"/>
      <c r="L1829" s="141"/>
      <c r="M1829" s="141"/>
      <c r="N1829" s="54"/>
      <c r="O1829" s="54"/>
      <c r="P1829" s="54"/>
      <c r="Q1829" s="54"/>
      <c r="R1829" s="54"/>
      <c r="S1829" s="54"/>
      <c r="T1829" s="54"/>
    </row>
    <row r="1830" spans="1:20" ht="15" customHeight="1" x14ac:dyDescent="0.2">
      <c r="A1830" s="141"/>
      <c r="B1830" s="155"/>
      <c r="C1830" s="148" t="s">
        <v>759</v>
      </c>
      <c r="D1830" s="148" t="s">
        <v>225</v>
      </c>
      <c r="E1830" s="46">
        <v>1</v>
      </c>
      <c r="F1830" s="144" t="s">
        <v>388</v>
      </c>
      <c r="G1830" s="145"/>
      <c r="H1830" s="141"/>
      <c r="I1830" s="141"/>
      <c r="J1830" s="141"/>
      <c r="K1830" s="141"/>
      <c r="L1830" s="141"/>
      <c r="M1830" s="141"/>
      <c r="N1830" s="54"/>
      <c r="O1830" s="54"/>
      <c r="P1830" s="54"/>
      <c r="Q1830" s="54"/>
      <c r="R1830" s="54"/>
      <c r="S1830" s="54"/>
      <c r="T1830" s="54"/>
    </row>
    <row r="1831" spans="1:20" ht="15" customHeight="1" x14ac:dyDescent="0.2">
      <c r="A1831" s="141"/>
      <c r="B1831" s="155"/>
      <c r="C1831" s="148" t="s">
        <v>885</v>
      </c>
      <c r="D1831" s="148" t="s">
        <v>225</v>
      </c>
      <c r="E1831" s="46">
        <v>1</v>
      </c>
      <c r="F1831" s="144" t="str">
        <f>IF(AND(ISNA(VLOOKUP(D1831,A:A,1,FALSE())),ISNA(VLOOKUP(D1831,BaseType!A:A,1,FALSE())),D1831&lt;&gt;"Struct"),"N","Y")</f>
        <v>Y</v>
      </c>
      <c r="G1831" s="145"/>
      <c r="H1831" s="141"/>
      <c r="I1831" s="141"/>
      <c r="J1831" s="141"/>
      <c r="K1831" s="141"/>
      <c r="L1831" s="141"/>
      <c r="M1831" s="141"/>
      <c r="N1831" s="54"/>
      <c r="O1831" s="54"/>
      <c r="P1831" s="54"/>
      <c r="Q1831" s="54"/>
      <c r="R1831" s="54"/>
      <c r="S1831" s="54"/>
      <c r="T1831" s="54"/>
    </row>
    <row r="1832" spans="1:20" ht="15" customHeight="1" x14ac:dyDescent="0.2">
      <c r="A1832" s="141"/>
      <c r="B1832" s="155"/>
      <c r="C1832" s="148" t="s">
        <v>887</v>
      </c>
      <c r="D1832" s="148" t="s">
        <v>225</v>
      </c>
      <c r="E1832" s="46">
        <v>1</v>
      </c>
      <c r="F1832" s="144" t="str">
        <f>IF(AND(ISNA(VLOOKUP(D1832,A:A,1,FALSE())),ISNA(VLOOKUP(D1832,BaseType!A:A,1,FALSE())),D1832&lt;&gt;"Struct"),"N","Y")</f>
        <v>Y</v>
      </c>
      <c r="G1832" s="145"/>
      <c r="H1832" s="141"/>
      <c r="I1832" s="141"/>
      <c r="J1832" s="141"/>
      <c r="K1832" s="141"/>
      <c r="L1832" s="141"/>
      <c r="M1832" s="141"/>
      <c r="N1832" s="54"/>
      <c r="O1832" s="54"/>
      <c r="P1832" s="54"/>
      <c r="Q1832" s="54"/>
      <c r="R1832" s="54"/>
      <c r="S1832" s="54"/>
      <c r="T1832" s="54"/>
    </row>
    <row r="1833" spans="1:20" ht="15" customHeight="1" x14ac:dyDescent="0.2">
      <c r="A1833" s="141"/>
      <c r="B1833" s="155"/>
      <c r="C1833" s="148" t="s">
        <v>854</v>
      </c>
      <c r="D1833" s="148" t="s">
        <v>193</v>
      </c>
      <c r="E1833" s="46">
        <v>1</v>
      </c>
      <c r="F1833" s="144" t="str">
        <f>IF(AND(ISNA(VLOOKUP(D1833,A:A,1,FALSE())),ISNA(VLOOKUP(D1833,BaseType!A:A,1,FALSE())),D1833&lt;&gt;"Struct"),"N","Y")</f>
        <v>Y</v>
      </c>
      <c r="G1833" s="145"/>
      <c r="H1833" s="141"/>
      <c r="I1833" s="141"/>
      <c r="J1833" s="141"/>
      <c r="K1833" s="141"/>
      <c r="L1833" s="141"/>
      <c r="M1833" s="141"/>
      <c r="N1833" s="54"/>
      <c r="O1833" s="54"/>
      <c r="P1833" s="54"/>
      <c r="Q1833" s="54"/>
      <c r="R1833" s="54"/>
      <c r="S1833" s="54"/>
      <c r="T1833" s="54"/>
    </row>
    <row r="1834" spans="1:20" ht="15" customHeight="1" x14ac:dyDescent="0.2">
      <c r="A1834" s="141"/>
      <c r="B1834" s="155"/>
      <c r="C1834" s="148" t="s">
        <v>889</v>
      </c>
      <c r="D1834" s="186" t="s">
        <v>225</v>
      </c>
      <c r="E1834" s="46">
        <v>1</v>
      </c>
      <c r="F1834" s="144" t="str">
        <f>IF(AND(ISNA(VLOOKUP(D1834,A:A,1,FALSE())),ISNA(VLOOKUP(D1834,BaseType!A:A,1,FALSE())),D1834&lt;&gt;"Struct"),"N","Y")</f>
        <v>Y</v>
      </c>
      <c r="G1834" s="145"/>
      <c r="H1834" s="141"/>
      <c r="I1834" s="141"/>
      <c r="J1834" s="141"/>
      <c r="K1834" s="141"/>
      <c r="L1834" s="141"/>
      <c r="M1834" s="141"/>
      <c r="N1834" s="54"/>
      <c r="O1834" s="54"/>
      <c r="P1834" s="54"/>
      <c r="Q1834" s="54"/>
      <c r="R1834" s="54"/>
      <c r="S1834" s="54"/>
      <c r="T1834" s="54"/>
    </row>
    <row r="1835" spans="1:20" ht="15" customHeight="1" x14ac:dyDescent="0.2">
      <c r="A1835" s="141" t="s">
        <v>400</v>
      </c>
      <c r="B1835" s="144" t="str">
        <f>IF(ISBLANK(A1835),"",IF(AND(ISNA(VLOOKUP(A1835,Interface_Platform!E:E,1,FALSE())),ISNA(VLOOKUP(A1835,D:D,1,FALSE()))),"N","Y"))</f>
        <v>Y</v>
      </c>
      <c r="C1835" s="91"/>
      <c r="D1835" s="173" t="s">
        <v>484</v>
      </c>
      <c r="E1835" s="46"/>
      <c r="F1835" s="144" t="str">
        <f>IF(AND(ISNA(VLOOKUP(D1835,A:A,1,FALSE())),ISNA(VLOOKUP(D1835,BaseType!A:A,1,FALSE())),D1835&lt;&gt;"Struct"),"N","Y")</f>
        <v>Y</v>
      </c>
      <c r="G1835" s="145"/>
      <c r="H1835" s="141"/>
      <c r="I1835" s="141"/>
      <c r="J1835" s="141"/>
      <c r="K1835" s="141"/>
      <c r="L1835" s="141"/>
      <c r="M1835" s="141"/>
      <c r="N1835" s="54"/>
      <c r="O1835" s="54"/>
      <c r="P1835" s="54"/>
      <c r="Q1835" s="54"/>
      <c r="R1835" s="54"/>
      <c r="S1835" s="54"/>
      <c r="T1835" s="54"/>
    </row>
    <row r="1836" spans="1:20" ht="15" customHeight="1" x14ac:dyDescent="0.2">
      <c r="A1836" s="141"/>
      <c r="B1836" s="141"/>
      <c r="C1836" s="143" t="s">
        <v>973</v>
      </c>
      <c r="D1836" s="91" t="s">
        <v>225</v>
      </c>
      <c r="E1836" s="46">
        <v>4</v>
      </c>
      <c r="F1836" s="144" t="str">
        <f>IF(AND(ISNA(VLOOKUP(D1836,A:A,1,FALSE())),ISNA(VLOOKUP(D1836,BaseType!A:A,1,FALSE())),D1836&lt;&gt;"Struct"),"N","Y")</f>
        <v>Y</v>
      </c>
      <c r="G1836" s="145"/>
      <c r="H1836" s="141"/>
      <c r="I1836" s="141"/>
      <c r="J1836" s="141"/>
      <c r="K1836" s="141"/>
      <c r="L1836" s="141"/>
      <c r="M1836" s="141"/>
      <c r="N1836" s="54"/>
      <c r="O1836" s="54"/>
      <c r="P1836" s="54"/>
      <c r="Q1836" s="54"/>
      <c r="R1836" s="54"/>
      <c r="S1836" s="54"/>
      <c r="T1836" s="54"/>
    </row>
    <row r="1837" spans="1:20" ht="15" customHeight="1" x14ac:dyDescent="0.2">
      <c r="A1837" s="141"/>
      <c r="B1837" s="141"/>
      <c r="C1837" s="143" t="s">
        <v>975</v>
      </c>
      <c r="D1837" s="91" t="s">
        <v>225</v>
      </c>
      <c r="E1837" s="46">
        <v>4</v>
      </c>
      <c r="F1837" s="144" t="str">
        <f>IF(AND(ISNA(VLOOKUP(D1837,A:A,1,FALSE())),ISNA(VLOOKUP(D1837,BaseType!A:A,1,FALSE())),D1837&lt;&gt;"Struct"),"N","Y")</f>
        <v>Y</v>
      </c>
      <c r="G1837" s="145"/>
      <c r="H1837" s="141"/>
      <c r="I1837" s="141"/>
      <c r="J1837" s="141"/>
      <c r="K1837" s="141"/>
      <c r="L1837" s="141"/>
      <c r="M1837" s="141"/>
      <c r="N1837" s="54"/>
      <c r="O1837" s="54"/>
      <c r="P1837" s="54"/>
      <c r="Q1837" s="54"/>
      <c r="R1837" s="54"/>
      <c r="S1837" s="54"/>
      <c r="T1837" s="54"/>
    </row>
    <row r="1838" spans="1:20" ht="15" customHeight="1" x14ac:dyDescent="0.2">
      <c r="A1838" s="141"/>
      <c r="B1838" s="141"/>
      <c r="C1838" s="143" t="s">
        <v>977</v>
      </c>
      <c r="D1838" s="91" t="s">
        <v>225</v>
      </c>
      <c r="E1838" s="46">
        <v>4</v>
      </c>
      <c r="F1838" s="144" t="str">
        <f>IF(AND(ISNA(VLOOKUP(D1838,A:A,1,FALSE())),ISNA(VLOOKUP(D1838,BaseType!A:A,1,FALSE())),D1838&lt;&gt;"Struct"),"N","Y")</f>
        <v>Y</v>
      </c>
      <c r="G1838" s="145"/>
      <c r="H1838" s="141"/>
      <c r="I1838" s="141"/>
      <c r="J1838" s="141"/>
      <c r="K1838" s="141"/>
      <c r="L1838" s="141"/>
      <c r="M1838" s="141"/>
      <c r="N1838" s="54"/>
      <c r="O1838" s="54"/>
      <c r="P1838" s="54"/>
      <c r="Q1838" s="54"/>
      <c r="R1838" s="54"/>
      <c r="S1838" s="54"/>
      <c r="T1838" s="54"/>
    </row>
    <row r="1839" spans="1:20" ht="15" customHeight="1" x14ac:dyDescent="0.2">
      <c r="A1839" s="141"/>
      <c r="B1839" s="141"/>
      <c r="C1839" s="143" t="s">
        <v>979</v>
      </c>
      <c r="D1839" s="91" t="s">
        <v>225</v>
      </c>
      <c r="E1839" s="46">
        <v>4</v>
      </c>
      <c r="F1839" s="144" t="str">
        <f>IF(AND(ISNA(VLOOKUP(D1839,A:A,1,FALSE())),ISNA(VLOOKUP(D1839,BaseType!A:A,1,FALSE())),D1839&lt;&gt;"Struct"),"N","Y")</f>
        <v>Y</v>
      </c>
      <c r="G1839" s="145"/>
      <c r="H1839" s="141"/>
      <c r="I1839" s="141"/>
      <c r="J1839" s="141"/>
      <c r="K1839" s="141"/>
      <c r="L1839" s="141"/>
      <c r="M1839" s="141"/>
      <c r="N1839" s="54"/>
      <c r="O1839" s="54"/>
      <c r="P1839" s="54"/>
      <c r="Q1839" s="54"/>
      <c r="R1839" s="54"/>
      <c r="S1839" s="54"/>
      <c r="T1839" s="54"/>
    </row>
    <row r="1840" spans="1:20" ht="15" customHeight="1" x14ac:dyDescent="0.2">
      <c r="A1840" s="141"/>
      <c r="B1840" s="141"/>
      <c r="C1840" s="143" t="s">
        <v>981</v>
      </c>
      <c r="D1840" s="91" t="s">
        <v>225</v>
      </c>
      <c r="E1840" s="46">
        <v>4</v>
      </c>
      <c r="F1840" s="144" t="str">
        <f>IF(AND(ISNA(VLOOKUP(D1840,A:A,1,FALSE())),ISNA(VLOOKUP(D1840,BaseType!A:A,1,FALSE())),D1840&lt;&gt;"Struct"),"N","Y")</f>
        <v>Y</v>
      </c>
      <c r="G1840" s="145"/>
      <c r="H1840" s="141"/>
      <c r="I1840" s="141"/>
      <c r="J1840" s="141"/>
      <c r="K1840" s="141"/>
      <c r="L1840" s="141"/>
      <c r="M1840" s="141"/>
      <c r="N1840" s="54"/>
      <c r="O1840" s="54"/>
      <c r="P1840" s="54"/>
      <c r="Q1840" s="54"/>
      <c r="R1840" s="54"/>
      <c r="S1840" s="54"/>
      <c r="T1840" s="54"/>
    </row>
    <row r="1841" spans="1:20" ht="15" customHeight="1" x14ac:dyDescent="0.2">
      <c r="A1841" s="141"/>
      <c r="B1841" s="141"/>
      <c r="C1841" s="143" t="s">
        <v>1007</v>
      </c>
      <c r="D1841" s="91" t="s">
        <v>225</v>
      </c>
      <c r="E1841" s="46">
        <v>4</v>
      </c>
      <c r="F1841" s="144" t="str">
        <f>IF(AND(ISNA(VLOOKUP(D1841,A:A,1,FALSE())),ISNA(VLOOKUP(D1841,BaseType!A:A,1,FALSE())),D1841&lt;&gt;"Struct"),"N","Y")</f>
        <v>Y</v>
      </c>
      <c r="G1841" s="145"/>
      <c r="H1841" s="141"/>
      <c r="I1841" s="141"/>
      <c r="J1841" s="141"/>
      <c r="K1841" s="141"/>
      <c r="L1841" s="141"/>
      <c r="M1841" s="141"/>
      <c r="N1841" s="54"/>
      <c r="O1841" s="54"/>
      <c r="P1841" s="54"/>
      <c r="Q1841" s="54"/>
      <c r="R1841" s="54"/>
      <c r="S1841" s="54"/>
      <c r="T1841" s="54"/>
    </row>
    <row r="1842" spans="1:20" ht="15" customHeight="1" x14ac:dyDescent="0.2">
      <c r="A1842" s="141"/>
      <c r="B1842" s="141"/>
      <c r="C1842" s="143" t="s">
        <v>995</v>
      </c>
      <c r="D1842" s="91" t="s">
        <v>764</v>
      </c>
      <c r="E1842" s="46">
        <v>4</v>
      </c>
      <c r="F1842" s="144" t="str">
        <f>IF(AND(ISNA(VLOOKUP(D1842,A:A,1,FALSE())),ISNA(VLOOKUP(D1842,BaseType!A:A,1,FALSE())),D1842&lt;&gt;"Struct"),"N","Y")</f>
        <v>Y</v>
      </c>
      <c r="G1842" s="145"/>
      <c r="H1842" s="141"/>
      <c r="I1842" s="141"/>
      <c r="J1842" s="141"/>
      <c r="K1842" s="141"/>
      <c r="L1842" s="141"/>
      <c r="M1842" s="141"/>
      <c r="N1842" s="54"/>
      <c r="O1842" s="54"/>
      <c r="P1842" s="54"/>
      <c r="Q1842" s="54"/>
      <c r="R1842" s="54"/>
      <c r="S1842" s="54"/>
      <c r="T1842" s="54"/>
    </row>
    <row r="1843" spans="1:20" ht="15" customHeight="1" x14ac:dyDescent="0.2">
      <c r="A1843" s="141"/>
      <c r="B1843" s="141"/>
      <c r="C1843" s="143" t="s">
        <v>997</v>
      </c>
      <c r="D1843" s="91" t="s">
        <v>193</v>
      </c>
      <c r="E1843" s="46">
        <v>4</v>
      </c>
      <c r="F1843" s="144" t="str">
        <f>IF(AND(ISNA(VLOOKUP(D1843,A:A,1,FALSE())),ISNA(VLOOKUP(D1843,BaseType!A:A,1,FALSE())),D1843&lt;&gt;"Struct"),"N","Y")</f>
        <v>Y</v>
      </c>
      <c r="G1843" s="145"/>
      <c r="H1843" s="141"/>
      <c r="I1843" s="141"/>
      <c r="J1843" s="141"/>
      <c r="K1843" s="141"/>
      <c r="L1843" s="141"/>
      <c r="M1843" s="141"/>
      <c r="N1843" s="54"/>
      <c r="O1843" s="54"/>
      <c r="P1843" s="54"/>
      <c r="Q1843" s="54"/>
      <c r="R1843" s="54"/>
      <c r="S1843" s="54"/>
      <c r="T1843" s="54"/>
    </row>
    <row r="1844" spans="1:20" ht="15" customHeight="1" x14ac:dyDescent="0.2">
      <c r="A1844" s="141"/>
      <c r="B1844" s="141"/>
      <c r="C1844" s="143" t="s">
        <v>999</v>
      </c>
      <c r="D1844" s="91" t="s">
        <v>193</v>
      </c>
      <c r="E1844" s="46">
        <v>4</v>
      </c>
      <c r="F1844" s="144" t="str">
        <f>IF(AND(ISNA(VLOOKUP(D1844,A:A,1,FALSE())),ISNA(VLOOKUP(D1844,BaseType!A:A,1,FALSE())),D1844&lt;&gt;"Struct"),"N","Y")</f>
        <v>Y</v>
      </c>
      <c r="G1844" s="145"/>
      <c r="H1844" s="141"/>
      <c r="I1844" s="141"/>
      <c r="J1844" s="141"/>
      <c r="K1844" s="141"/>
      <c r="L1844" s="141"/>
      <c r="M1844" s="141"/>
      <c r="N1844" s="54"/>
      <c r="O1844" s="54"/>
      <c r="P1844" s="54"/>
      <c r="Q1844" s="54"/>
      <c r="R1844" s="54"/>
      <c r="S1844" s="54"/>
      <c r="T1844" s="54"/>
    </row>
    <row r="1845" spans="1:20" ht="15" customHeight="1" x14ac:dyDescent="0.2">
      <c r="A1845" s="141"/>
      <c r="B1845" s="141"/>
      <c r="C1845" s="143" t="s">
        <v>1001</v>
      </c>
      <c r="D1845" s="91" t="s">
        <v>193</v>
      </c>
      <c r="E1845" s="46">
        <v>4</v>
      </c>
      <c r="F1845" s="144" t="str">
        <f>IF(AND(ISNA(VLOOKUP(D1845,A:A,1,FALSE())),ISNA(VLOOKUP(D1845,BaseType!A:A,1,FALSE())),D1845&lt;&gt;"Struct"),"N","Y")</f>
        <v>Y</v>
      </c>
      <c r="G1845" s="145"/>
      <c r="H1845" s="141"/>
      <c r="I1845" s="141"/>
      <c r="J1845" s="141"/>
      <c r="K1845" s="141"/>
      <c r="L1845" s="141"/>
      <c r="M1845" s="141"/>
      <c r="N1845" s="54"/>
      <c r="O1845" s="54"/>
      <c r="P1845" s="54"/>
      <c r="Q1845" s="54"/>
      <c r="R1845" s="54"/>
      <c r="S1845" s="54"/>
      <c r="T1845" s="54"/>
    </row>
    <row r="1846" spans="1:20" ht="15" customHeight="1" x14ac:dyDescent="0.2">
      <c r="A1846" s="141"/>
      <c r="B1846" s="141"/>
      <c r="C1846" s="143" t="s">
        <v>2403</v>
      </c>
      <c r="D1846" s="143" t="s">
        <v>225</v>
      </c>
      <c r="E1846" s="46">
        <v>4</v>
      </c>
      <c r="F1846" s="144" t="str">
        <f>IF(AND(ISNA(VLOOKUP(D1846,A:A,1,FALSE())),ISNA(VLOOKUP(D1846,BaseType!A:A,1,FALSE())),D1846&lt;&gt;"Struct"),"N","Y")</f>
        <v>Y</v>
      </c>
      <c r="G1846" s="145"/>
      <c r="H1846" s="141"/>
      <c r="I1846" s="141"/>
      <c r="J1846" s="141"/>
      <c r="K1846" s="141"/>
      <c r="L1846" s="141"/>
      <c r="M1846" s="141"/>
      <c r="N1846" s="54"/>
      <c r="O1846" s="54"/>
      <c r="P1846" s="54"/>
      <c r="Q1846" s="54"/>
      <c r="R1846" s="54"/>
      <c r="S1846" s="54"/>
      <c r="T1846" s="54"/>
    </row>
    <row r="1847" spans="1:20" ht="15" customHeight="1" x14ac:dyDescent="0.2">
      <c r="A1847" s="141"/>
      <c r="B1847" s="141"/>
      <c r="C1847" s="143" t="s">
        <v>1328</v>
      </c>
      <c r="D1847" s="143" t="s">
        <v>225</v>
      </c>
      <c r="E1847" s="46">
        <v>4</v>
      </c>
      <c r="F1847" s="144" t="str">
        <f>IF(AND(ISNA(VLOOKUP(D1847,A:A,1,FALSE())),ISNA(VLOOKUP(D1847,BaseType!A:A,1,FALSE())),D1847&lt;&gt;"Struct"),"N","Y")</f>
        <v>Y</v>
      </c>
      <c r="G1847" s="145"/>
      <c r="H1847" s="141"/>
      <c r="I1847" s="141"/>
      <c r="J1847" s="141"/>
      <c r="K1847" s="141"/>
      <c r="L1847" s="141"/>
      <c r="M1847" s="141"/>
      <c r="N1847" s="54"/>
      <c r="O1847" s="54"/>
      <c r="P1847" s="54"/>
      <c r="Q1847" s="54"/>
      <c r="R1847" s="54"/>
      <c r="S1847" s="54"/>
      <c r="T1847" s="54"/>
    </row>
    <row r="1848" spans="1:20" ht="15" customHeight="1" x14ac:dyDescent="0.2">
      <c r="A1848" s="141"/>
      <c r="B1848" s="141"/>
      <c r="C1848" s="143" t="s">
        <v>2489</v>
      </c>
      <c r="D1848" s="143" t="s">
        <v>225</v>
      </c>
      <c r="E1848" s="46">
        <v>4</v>
      </c>
      <c r="F1848" s="144" t="str">
        <f>IF(AND(ISNA(VLOOKUP(D1848,A:A,1,FALSE())),ISNA(VLOOKUP(D1848,BaseType!A:A,1,FALSE())),D1848&lt;&gt;"Struct"),"N","Y")</f>
        <v>Y</v>
      </c>
      <c r="G1848" s="145"/>
      <c r="H1848" s="141"/>
      <c r="I1848" s="141"/>
      <c r="J1848" s="141"/>
      <c r="K1848" s="141"/>
      <c r="L1848" s="141"/>
      <c r="M1848" s="141"/>
      <c r="N1848" s="54"/>
      <c r="O1848" s="54"/>
      <c r="P1848" s="54"/>
      <c r="Q1848" s="54"/>
      <c r="R1848" s="54"/>
      <c r="S1848" s="54"/>
      <c r="T1848" s="54"/>
    </row>
    <row r="1849" spans="1:20" ht="15" customHeight="1" x14ac:dyDescent="0.2">
      <c r="A1849" s="141"/>
      <c r="B1849" s="141"/>
      <c r="C1849" s="143" t="s">
        <v>2490</v>
      </c>
      <c r="D1849" s="143" t="s">
        <v>225</v>
      </c>
      <c r="E1849" s="46">
        <v>4</v>
      </c>
      <c r="F1849" s="144" t="str">
        <f>IF(AND(ISNA(VLOOKUP(D1849,A:A,1,FALSE())),ISNA(VLOOKUP(D1849,BaseType!A:A,1,FALSE())),D1849&lt;&gt;"Struct"),"N","Y")</f>
        <v>Y</v>
      </c>
      <c r="G1849" s="145"/>
      <c r="H1849" s="141"/>
      <c r="I1849" s="141"/>
      <c r="J1849" s="141"/>
      <c r="K1849" s="141"/>
      <c r="L1849" s="141"/>
      <c r="M1849" s="141"/>
      <c r="N1849" s="54"/>
      <c r="O1849" s="54"/>
      <c r="P1849" s="54"/>
      <c r="Q1849" s="54"/>
      <c r="R1849" s="54"/>
      <c r="S1849" s="54"/>
      <c r="T1849" s="54"/>
    </row>
    <row r="1850" spans="1:20" ht="15" customHeight="1" x14ac:dyDescent="0.2">
      <c r="A1850" s="141" t="s">
        <v>349</v>
      </c>
      <c r="B1850" s="144" t="str">
        <f>IF(ISBLANK(A1850),"",IF(AND(ISNA(VLOOKUP(A1850,Interface_Platform!E:E,1,FALSE())),ISNA(VLOOKUP(A1850,D:D,1,FALSE()))),"N","Y"))</f>
        <v>Y</v>
      </c>
      <c r="C1850" s="143"/>
      <c r="D1850" s="173" t="s">
        <v>484</v>
      </c>
      <c r="E1850" s="46"/>
      <c r="F1850" s="144" t="str">
        <f>IF(AND(ISNA(VLOOKUP(D1850,A:A,1,FALSE())),ISNA(VLOOKUP(D1850,BaseType!A:A,1,FALSE())),D1850&lt;&gt;"Struct"),"N","Y")</f>
        <v>Y</v>
      </c>
      <c r="G1850" s="145"/>
      <c r="H1850" s="141"/>
      <c r="I1850" s="141"/>
      <c r="J1850" s="141"/>
      <c r="K1850" s="141"/>
      <c r="L1850" s="141"/>
      <c r="M1850" s="141"/>
      <c r="N1850" s="54"/>
      <c r="O1850" s="54"/>
      <c r="P1850" s="54"/>
      <c r="Q1850" s="54"/>
      <c r="R1850" s="54"/>
      <c r="S1850" s="54"/>
      <c r="T1850" s="54"/>
    </row>
    <row r="1851" spans="1:20" ht="15" customHeight="1" x14ac:dyDescent="0.2">
      <c r="A1851" s="141"/>
      <c r="B1851" s="141"/>
      <c r="C1851" s="143" t="s">
        <v>2491</v>
      </c>
      <c r="D1851" s="143" t="s">
        <v>193</v>
      </c>
      <c r="E1851" s="46">
        <v>1</v>
      </c>
      <c r="F1851" s="144" t="str">
        <f>IF(AND(ISNA(VLOOKUP(D1851,A:A,1,FALSE())),ISNA(VLOOKUP(D1851,BaseType!A:A,1,FALSE())),D1851&lt;&gt;"Struct"),"N","Y")</f>
        <v>Y</v>
      </c>
      <c r="G1851" s="145" t="s">
        <v>2492</v>
      </c>
      <c r="H1851" s="141"/>
      <c r="I1851" s="141"/>
      <c r="J1851" s="141"/>
      <c r="K1851" s="141"/>
      <c r="L1851" s="141"/>
      <c r="M1851" s="141"/>
      <c r="N1851" s="54"/>
      <c r="O1851" s="54"/>
      <c r="P1851" s="54"/>
      <c r="Q1851" s="54"/>
      <c r="R1851" s="54"/>
      <c r="S1851" s="54"/>
      <c r="T1851" s="54"/>
    </row>
    <row r="1852" spans="1:20" ht="15" customHeight="1" x14ac:dyDescent="0.2">
      <c r="A1852" s="141"/>
      <c r="B1852" s="141"/>
      <c r="C1852" s="143" t="s">
        <v>2493</v>
      </c>
      <c r="D1852" s="143" t="s">
        <v>193</v>
      </c>
      <c r="E1852" s="46">
        <v>1</v>
      </c>
      <c r="F1852" s="144" t="str">
        <f>IF(AND(ISNA(VLOOKUP(D1852,A:A,1,FALSE())),ISNA(VLOOKUP(D1852,BaseType!A:A,1,FALSE())),D1852&lt;&gt;"Struct"),"N","Y")</f>
        <v>Y</v>
      </c>
      <c r="G1852" s="145" t="s">
        <v>2494</v>
      </c>
      <c r="H1852" s="141"/>
      <c r="I1852" s="141"/>
      <c r="J1852" s="141"/>
      <c r="K1852" s="141"/>
      <c r="L1852" s="141"/>
      <c r="M1852" s="141"/>
      <c r="N1852" s="54"/>
      <c r="O1852" s="54"/>
      <c r="P1852" s="54"/>
      <c r="Q1852" s="54"/>
      <c r="R1852" s="54"/>
      <c r="S1852" s="54"/>
      <c r="T1852" s="54"/>
    </row>
    <row r="1853" spans="1:20" ht="15" customHeight="1" x14ac:dyDescent="0.2">
      <c r="A1853" s="64" t="s">
        <v>272</v>
      </c>
      <c r="B1853" s="149" t="str">
        <f>IF(ISBLANK(A1853),"",IF(AND(ISNA(VLOOKUP(A1853,Interface_Platform!E:E,1,FALSE())),ISNA(VLOOKUP(A1853,DataType_T1GC!D:D,1,FALSE()))),"N","Y"))</f>
        <v>Y</v>
      </c>
      <c r="C1853" s="91"/>
      <c r="D1853" s="197" t="s">
        <v>484</v>
      </c>
      <c r="E1853" s="149"/>
      <c r="F1853" s="144" t="str">
        <f>IF(AND(ISNA(VLOOKUP(D1853,A:A,1,FALSE())),ISNA(VLOOKUP(D1853,BaseType!A:A,1,FALSE())),D1853&lt;&gt;"Struct"),"N","Y")</f>
        <v>Y</v>
      </c>
      <c r="G1853" s="147"/>
      <c r="H1853" s="91"/>
      <c r="I1853" s="91"/>
      <c r="J1853" s="91"/>
      <c r="K1853" s="91"/>
      <c r="L1853" s="91"/>
      <c r="M1853" s="91"/>
      <c r="N1853" s="42"/>
      <c r="O1853" s="42"/>
      <c r="P1853" s="42"/>
      <c r="Q1853" s="42"/>
      <c r="R1853" s="42"/>
      <c r="S1853" s="42"/>
      <c r="T1853" s="42"/>
    </row>
    <row r="1854" spans="1:20" ht="15" customHeight="1" x14ac:dyDescent="0.2">
      <c r="A1854" s="64"/>
      <c r="B1854" s="149"/>
      <c r="C1854" s="91" t="s">
        <v>1123</v>
      </c>
      <c r="D1854" s="149" t="s">
        <v>193</v>
      </c>
      <c r="E1854" s="154">
        <v>1</v>
      </c>
      <c r="F1854" s="144" t="str">
        <f>IF(AND(ISNA(VLOOKUP(D1854,A:A,1,FALSE())),ISNA(VLOOKUP(D1854,BaseType!A:A,1,FALSE())),D1854&lt;&gt;"Struct"),"N","Y")</f>
        <v>Y</v>
      </c>
      <c r="G1854" s="147"/>
      <c r="H1854" s="91"/>
      <c r="I1854" s="91"/>
      <c r="J1854" s="91"/>
      <c r="K1854" s="91"/>
      <c r="L1854" s="91"/>
      <c r="M1854" s="91"/>
      <c r="N1854" s="42"/>
      <c r="O1854" s="42"/>
      <c r="P1854" s="42"/>
      <c r="Q1854" s="42"/>
      <c r="R1854" s="42"/>
      <c r="S1854" s="42"/>
      <c r="T1854" s="42"/>
    </row>
    <row r="1855" spans="1:20" ht="15" customHeight="1" x14ac:dyDescent="0.2">
      <c r="A1855" s="64"/>
      <c r="B1855" s="149"/>
      <c r="C1855" s="91" t="s">
        <v>2495</v>
      </c>
      <c r="D1855" s="149" t="s">
        <v>193</v>
      </c>
      <c r="E1855" s="154">
        <v>1</v>
      </c>
      <c r="F1855" s="144" t="str">
        <f>IF(AND(ISNA(VLOOKUP(D1855,A:A,1,FALSE())),ISNA(VLOOKUP(D1855,BaseType!A:A,1,FALSE())),D1855&lt;&gt;"Struct"),"N","Y")</f>
        <v>Y</v>
      </c>
      <c r="G1855" s="147"/>
      <c r="H1855" s="91"/>
      <c r="I1855" s="91"/>
      <c r="J1855" s="91"/>
      <c r="K1855" s="91"/>
      <c r="L1855" s="91"/>
      <c r="M1855" s="91"/>
      <c r="N1855" s="42"/>
      <c r="O1855" s="42"/>
      <c r="P1855" s="42"/>
      <c r="Q1855" s="42"/>
      <c r="R1855" s="42"/>
      <c r="S1855" s="42"/>
      <c r="T1855" s="42"/>
    </row>
    <row r="1856" spans="1:20" ht="15" customHeight="1" x14ac:dyDescent="0.2">
      <c r="A1856" s="64"/>
      <c r="B1856" s="149"/>
      <c r="C1856" s="91" t="s">
        <v>2496</v>
      </c>
      <c r="D1856" s="149" t="s">
        <v>193</v>
      </c>
      <c r="E1856" s="154">
        <v>1</v>
      </c>
      <c r="F1856" s="179" t="str">
        <f>IF(AND(ISNA(VLOOKUP(D1856,DataType_T1GC!A:A,1,FALSE())),ISNA(VLOOKUP(D1856,BaseType!A:A,1,FALSE())),D1856&lt;&gt;"Struct"),"N","Y")</f>
        <v>Y</v>
      </c>
      <c r="G1856" s="147"/>
      <c r="H1856" s="91"/>
      <c r="I1856" s="91"/>
      <c r="J1856" s="91"/>
      <c r="K1856" s="91"/>
      <c r="L1856" s="91"/>
      <c r="M1856" s="91"/>
      <c r="N1856" s="42"/>
      <c r="O1856" s="42"/>
      <c r="P1856" s="42"/>
      <c r="Q1856" s="42"/>
      <c r="R1856" s="42"/>
      <c r="S1856" s="42"/>
      <c r="T1856" s="42"/>
    </row>
    <row r="1857" spans="1:20" ht="15" customHeight="1" x14ac:dyDescent="0.2">
      <c r="A1857" s="64"/>
      <c r="B1857" s="149"/>
      <c r="C1857" s="91" t="s">
        <v>2497</v>
      </c>
      <c r="D1857" s="149" t="s">
        <v>193</v>
      </c>
      <c r="E1857" s="154">
        <v>1</v>
      </c>
      <c r="F1857" s="179" t="str">
        <f>IF(AND(ISNA(VLOOKUP(D1857,DataType_T1GC!A:A,1,FALSE())),ISNA(VLOOKUP(D1857,BaseType!A:A,1,FALSE())),D1857&lt;&gt;"Struct"),"N","Y")</f>
        <v>Y</v>
      </c>
      <c r="G1857" s="147"/>
      <c r="H1857" s="91"/>
      <c r="I1857" s="91"/>
      <c r="J1857" s="91"/>
      <c r="K1857" s="91"/>
      <c r="L1857" s="91"/>
      <c r="M1857" s="91"/>
      <c r="N1857" s="42"/>
      <c r="O1857" s="42"/>
      <c r="P1857" s="42"/>
      <c r="Q1857" s="42"/>
      <c r="R1857" s="42"/>
      <c r="S1857" s="42"/>
      <c r="T1857" s="42"/>
    </row>
    <row r="1858" spans="1:20" ht="15" customHeight="1" x14ac:dyDescent="0.2">
      <c r="A1858" s="64"/>
      <c r="B1858" s="149"/>
      <c r="C1858" s="91" t="s">
        <v>2498</v>
      </c>
      <c r="D1858" s="149" t="s">
        <v>193</v>
      </c>
      <c r="E1858" s="154">
        <v>1</v>
      </c>
      <c r="F1858" s="179" t="str">
        <f>IF(AND(ISNA(VLOOKUP(D1858,DataType_T1GC!A:A,1,FALSE())),ISNA(VLOOKUP(D1858,BaseType!A:A,1,FALSE())),D1858&lt;&gt;"Struct"),"N","Y")</f>
        <v>Y</v>
      </c>
      <c r="G1858" s="147"/>
      <c r="H1858" s="91"/>
      <c r="I1858" s="91"/>
      <c r="J1858" s="91"/>
      <c r="K1858" s="91"/>
      <c r="L1858" s="91"/>
      <c r="M1858" s="91"/>
      <c r="N1858" s="42"/>
      <c r="O1858" s="42"/>
      <c r="P1858" s="42"/>
      <c r="Q1858" s="42"/>
      <c r="R1858" s="42"/>
      <c r="S1858" s="42"/>
      <c r="T1858" s="42"/>
    </row>
    <row r="1859" spans="1:20" ht="15" customHeight="1" x14ac:dyDescent="0.2">
      <c r="A1859" s="64"/>
      <c r="B1859" s="149"/>
      <c r="C1859" s="91" t="s">
        <v>2499</v>
      </c>
      <c r="D1859" s="149" t="s">
        <v>193</v>
      </c>
      <c r="E1859" s="154">
        <v>1</v>
      </c>
      <c r="F1859" s="179" t="str">
        <f>IF(AND(ISNA(VLOOKUP(D1859,DataType_T1GC!A:A,1,FALSE())),ISNA(VLOOKUP(D1859,BaseType!A:A,1,FALSE())),D1859&lt;&gt;"Struct"),"N","Y")</f>
        <v>Y</v>
      </c>
      <c r="G1859" s="147"/>
      <c r="H1859" s="91"/>
      <c r="I1859" s="91"/>
      <c r="J1859" s="91"/>
      <c r="K1859" s="91"/>
      <c r="L1859" s="91"/>
      <c r="M1859" s="91"/>
      <c r="N1859" s="42"/>
      <c r="O1859" s="42"/>
      <c r="P1859" s="42"/>
      <c r="Q1859" s="42"/>
      <c r="R1859" s="42"/>
      <c r="S1859" s="42"/>
      <c r="T1859" s="42"/>
    </row>
    <row r="1860" spans="1:20" ht="15" customHeight="1" x14ac:dyDescent="0.2">
      <c r="A1860" s="91" t="s">
        <v>234</v>
      </c>
      <c r="B1860" s="149" t="str">
        <f>IF(ISBLANK(A1860),"",IF(AND(ISNA(VLOOKUP(A1860,Interface_Platform!E:E,1,FALSE())),ISNA(VLOOKUP(A1860,D:D,1,FALSE()))),"N","Y"))</f>
        <v>Y</v>
      </c>
      <c r="C1860" s="148"/>
      <c r="D1860" s="173" t="s">
        <v>484</v>
      </c>
      <c r="E1860" s="46"/>
      <c r="F1860" s="143" t="str">
        <f>IF(AND(ISNA(VLOOKUP(D1860,A:A,1,FALSE())),ISNA(VLOOKUP(D1860,BaseType!A:A,1,FALSE())),D1860&lt;&gt;"Struct"),"N","Y")</f>
        <v>Y</v>
      </c>
      <c r="G1860" s="153"/>
      <c r="H1860" s="155"/>
      <c r="I1860" s="155"/>
      <c r="J1860" s="155"/>
      <c r="K1860" s="155"/>
      <c r="L1860" s="155"/>
      <c r="M1860" s="155"/>
      <c r="N1860" s="54"/>
      <c r="O1860" s="54"/>
      <c r="P1860" s="54"/>
      <c r="Q1860" s="54"/>
      <c r="R1860" s="54"/>
      <c r="S1860" s="54"/>
      <c r="T1860" s="54"/>
    </row>
    <row r="1861" spans="1:20" ht="15" customHeight="1" x14ac:dyDescent="0.2">
      <c r="A1861" s="91"/>
      <c r="B1861" s="158"/>
      <c r="C1861" s="148" t="s">
        <v>2500</v>
      </c>
      <c r="D1861" s="91" t="s">
        <v>298</v>
      </c>
      <c r="E1861" s="46">
        <v>1</v>
      </c>
      <c r="F1861" s="143" t="str">
        <f>IF(AND(ISNA(VLOOKUP(D1861,A:A,1,FALSE())),ISNA(VLOOKUP(D1861,BaseType!A:A,1,FALSE())),D1861&lt;&gt;"Struct"),"N","Y")</f>
        <v>Y</v>
      </c>
      <c r="G1861" s="153" t="s">
        <v>2501</v>
      </c>
      <c r="H1861" s="155"/>
      <c r="I1861" s="155"/>
      <c r="J1861" s="155"/>
      <c r="K1861" s="155"/>
      <c r="L1861" s="155"/>
      <c r="M1861" s="155"/>
      <c r="N1861" s="54"/>
      <c r="O1861" s="54"/>
      <c r="P1861" s="54"/>
      <c r="Q1861" s="54"/>
      <c r="R1861" s="54"/>
      <c r="S1861" s="54"/>
      <c r="T1861" s="54"/>
    </row>
    <row r="1862" spans="1:20" ht="15" customHeight="1" x14ac:dyDescent="0.2">
      <c r="A1862" s="91"/>
      <c r="B1862" s="158"/>
      <c r="C1862" s="148" t="s">
        <v>2502</v>
      </c>
      <c r="D1862" s="91" t="s">
        <v>193</v>
      </c>
      <c r="E1862" s="46">
        <v>1</v>
      </c>
      <c r="F1862" s="143" t="str">
        <f>IF(AND(ISNA(VLOOKUP(D1862,A:A,1,FALSE())),ISNA(VLOOKUP(D1862,BaseType!A:A,1,FALSE())),D1862&lt;&gt;"Struct"),"N","Y")</f>
        <v>Y</v>
      </c>
      <c r="G1862" s="153" t="s">
        <v>2503</v>
      </c>
      <c r="H1862" s="155"/>
      <c r="I1862" s="155"/>
      <c r="J1862" s="155"/>
      <c r="K1862" s="155"/>
      <c r="L1862" s="155"/>
      <c r="M1862" s="155"/>
      <c r="N1862" s="54"/>
      <c r="O1862" s="54"/>
      <c r="P1862" s="54"/>
      <c r="Q1862" s="54"/>
      <c r="R1862" s="54"/>
      <c r="S1862" s="54"/>
      <c r="T1862" s="54"/>
    </row>
    <row r="1863" spans="1:20" ht="15" customHeight="1" x14ac:dyDescent="0.2">
      <c r="A1863" s="91"/>
      <c r="B1863" s="158"/>
      <c r="C1863" s="148" t="s">
        <v>2504</v>
      </c>
      <c r="D1863" s="91" t="s">
        <v>2505</v>
      </c>
      <c r="E1863" s="46">
        <v>32</v>
      </c>
      <c r="F1863" s="143" t="str">
        <f>IF(AND(ISNA(VLOOKUP(D1863,A:A,1,FALSE())),ISNA(VLOOKUP(D1863,BaseType!A:A,1,FALSE())),D1863&lt;&gt;"Struct"),"N","Y")</f>
        <v>Y</v>
      </c>
      <c r="G1863" s="153" t="s">
        <v>2506</v>
      </c>
      <c r="H1863" s="155"/>
      <c r="I1863" s="155"/>
      <c r="J1863" s="155"/>
      <c r="K1863" s="155"/>
      <c r="L1863" s="155"/>
      <c r="M1863" s="155"/>
      <c r="N1863" s="54"/>
      <c r="O1863" s="54"/>
      <c r="P1863" s="54"/>
      <c r="Q1863" s="54"/>
      <c r="R1863" s="54"/>
      <c r="S1863" s="54"/>
      <c r="T1863" s="54"/>
    </row>
    <row r="1864" spans="1:20" ht="15" customHeight="1" x14ac:dyDescent="0.2">
      <c r="A1864" s="91"/>
      <c r="B1864" s="158"/>
      <c r="C1864" s="148" t="s">
        <v>2507</v>
      </c>
      <c r="D1864" s="91" t="s">
        <v>2508</v>
      </c>
      <c r="E1864" s="46">
        <v>1</v>
      </c>
      <c r="F1864" s="143" t="str">
        <f>IF(AND(ISNA(VLOOKUP(D1864,A:A,1,FALSE())),ISNA(VLOOKUP(D1864,BaseType!A:A,1,FALSE())),D1864&lt;&gt;"Struct"),"N","Y")</f>
        <v>Y</v>
      </c>
      <c r="G1864" s="153" t="s">
        <v>2509</v>
      </c>
      <c r="H1864" s="155"/>
      <c r="I1864" s="155"/>
      <c r="J1864" s="155"/>
      <c r="K1864" s="155"/>
      <c r="L1864" s="155"/>
      <c r="M1864" s="155"/>
      <c r="N1864" s="54"/>
      <c r="O1864" s="54"/>
      <c r="P1864" s="54"/>
      <c r="Q1864" s="54"/>
      <c r="R1864" s="54"/>
      <c r="S1864" s="54"/>
      <c r="T1864" s="54"/>
    </row>
    <row r="1865" spans="1:20" ht="15" customHeight="1" x14ac:dyDescent="0.2">
      <c r="A1865" s="91" t="s">
        <v>2505</v>
      </c>
      <c r="B1865" s="149" t="str">
        <f>IF(ISBLANK(A1865),"",IF(AND(ISNA(VLOOKUP(A1865,Interface_Platform!E:E,1,FALSE())),ISNA(VLOOKUP(A1865,D:D,1,FALSE()))),"N","Y"))</f>
        <v>Y</v>
      </c>
      <c r="C1865" s="148"/>
      <c r="D1865" s="173" t="s">
        <v>484</v>
      </c>
      <c r="E1865" s="46"/>
      <c r="F1865" s="143" t="str">
        <f>IF(AND(ISNA(VLOOKUP(D1865,A:A,1,FALSE())),ISNA(VLOOKUP(D1865,BaseType!A:A,1,FALSE())),D1865&lt;&gt;"Struct"),"N","Y")</f>
        <v>Y</v>
      </c>
      <c r="G1865" s="153"/>
      <c r="H1865" s="155"/>
      <c r="I1865" s="155"/>
      <c r="J1865" s="155"/>
      <c r="K1865" s="155"/>
      <c r="L1865" s="155"/>
      <c r="M1865" s="155"/>
      <c r="N1865" s="54"/>
      <c r="O1865" s="54"/>
      <c r="P1865" s="54"/>
      <c r="Q1865" s="54"/>
      <c r="R1865" s="54"/>
      <c r="S1865" s="54"/>
      <c r="T1865" s="54"/>
    </row>
    <row r="1866" spans="1:20" ht="15" customHeight="1" x14ac:dyDescent="0.2">
      <c r="A1866" s="91"/>
      <c r="B1866" s="158"/>
      <c r="C1866" s="148" t="s">
        <v>2510</v>
      </c>
      <c r="D1866" s="91" t="s">
        <v>298</v>
      </c>
      <c r="E1866" s="46">
        <v>1</v>
      </c>
      <c r="F1866" s="143" t="str">
        <f>IF(AND(ISNA(VLOOKUP(D1866,A:A,1,FALSE())),ISNA(VLOOKUP(D1866,BaseType!A:A,1,FALSE())),D1866&lt;&gt;"Struct"),"N","Y")</f>
        <v>Y</v>
      </c>
      <c r="G1866" s="153" t="s">
        <v>2511</v>
      </c>
      <c r="H1866" s="155"/>
      <c r="I1866" s="155"/>
      <c r="J1866" s="155"/>
      <c r="K1866" s="155"/>
      <c r="L1866" s="155"/>
      <c r="M1866" s="155"/>
      <c r="N1866" s="54"/>
      <c r="O1866" s="54"/>
      <c r="P1866" s="54"/>
      <c r="Q1866" s="54"/>
      <c r="R1866" s="54"/>
      <c r="S1866" s="54"/>
      <c r="T1866" s="54"/>
    </row>
    <row r="1867" spans="1:20" ht="15" customHeight="1" x14ac:dyDescent="0.2">
      <c r="A1867" s="91"/>
      <c r="B1867" s="158"/>
      <c r="C1867" s="148" t="s">
        <v>2512</v>
      </c>
      <c r="D1867" s="91" t="s">
        <v>298</v>
      </c>
      <c r="E1867" s="46">
        <v>1</v>
      </c>
      <c r="F1867" s="143" t="str">
        <f>IF(AND(ISNA(VLOOKUP(D1867,A:A,1,FALSE())),ISNA(VLOOKUP(D1867,BaseType!A:A,1,FALSE())),D1867&lt;&gt;"Struct"),"N","Y")</f>
        <v>Y</v>
      </c>
      <c r="G1867" s="153" t="s">
        <v>2513</v>
      </c>
      <c r="H1867" s="155"/>
      <c r="I1867" s="155"/>
      <c r="J1867" s="155"/>
      <c r="K1867" s="155"/>
      <c r="L1867" s="155"/>
      <c r="M1867" s="155"/>
      <c r="N1867" s="54"/>
      <c r="O1867" s="54"/>
      <c r="P1867" s="54"/>
      <c r="Q1867" s="54"/>
      <c r="R1867" s="54"/>
      <c r="S1867" s="54"/>
      <c r="T1867" s="54"/>
    </row>
    <row r="1868" spans="1:20" ht="15" customHeight="1" x14ac:dyDescent="0.2">
      <c r="A1868" s="91" t="s">
        <v>2508</v>
      </c>
      <c r="B1868" s="149" t="str">
        <f>IF(ISBLANK(A1868),"",IF(AND(ISNA(VLOOKUP(A1868,Interface_Platform!E:E,1,FALSE())),ISNA(VLOOKUP(A1868,D:D,1,FALSE()))),"N","Y"))</f>
        <v>Y</v>
      </c>
      <c r="C1868" s="148"/>
      <c r="D1868" s="173" t="s">
        <v>484</v>
      </c>
      <c r="E1868" s="46"/>
      <c r="F1868" s="143" t="str">
        <f>IF(AND(ISNA(VLOOKUP(D1868,A:A,1,FALSE())),ISNA(VLOOKUP(D1868,BaseType!A:A,1,FALSE())),D1868&lt;&gt;"Struct"),"N","Y")</f>
        <v>Y</v>
      </c>
      <c r="G1868" s="153"/>
      <c r="H1868" s="155"/>
      <c r="I1868" s="155"/>
      <c r="J1868" s="155"/>
      <c r="K1868" s="155"/>
      <c r="L1868" s="155"/>
      <c r="M1868" s="155"/>
      <c r="N1868" s="54"/>
      <c r="O1868" s="54"/>
      <c r="P1868" s="54"/>
      <c r="Q1868" s="54"/>
      <c r="R1868" s="54"/>
      <c r="S1868" s="54"/>
      <c r="T1868" s="54"/>
    </row>
    <row r="1869" spans="1:20" ht="15" customHeight="1" x14ac:dyDescent="0.2">
      <c r="A1869" s="91"/>
      <c r="B1869" s="158"/>
      <c r="C1869" s="148" t="s">
        <v>2514</v>
      </c>
      <c r="D1869" s="91" t="s">
        <v>298</v>
      </c>
      <c r="E1869" s="46">
        <v>1</v>
      </c>
      <c r="F1869" s="143" t="str">
        <f>IF(AND(ISNA(VLOOKUP(D1869,A:A,1,FALSE())),ISNA(VLOOKUP(D1869,BaseType!A:A,1,FALSE())),D1869&lt;&gt;"Struct"),"N","Y")</f>
        <v>Y</v>
      </c>
      <c r="G1869" s="153" t="s">
        <v>2515</v>
      </c>
      <c r="H1869" s="155"/>
      <c r="I1869" s="155"/>
      <c r="J1869" s="155"/>
      <c r="K1869" s="155"/>
      <c r="L1869" s="155"/>
      <c r="M1869" s="155"/>
      <c r="N1869" s="54"/>
      <c r="O1869" s="54"/>
      <c r="P1869" s="54"/>
      <c r="Q1869" s="54"/>
      <c r="R1869" s="54"/>
      <c r="S1869" s="54"/>
      <c r="T1869" s="54"/>
    </row>
    <row r="1870" spans="1:20" ht="15" customHeight="1" x14ac:dyDescent="0.2">
      <c r="A1870" s="91"/>
      <c r="B1870" s="158"/>
      <c r="C1870" s="148" t="s">
        <v>2516</v>
      </c>
      <c r="D1870" s="91" t="s">
        <v>298</v>
      </c>
      <c r="E1870" s="46">
        <v>1</v>
      </c>
      <c r="F1870" s="143" t="str">
        <f>IF(AND(ISNA(VLOOKUP(D1870,A:A,1,FALSE())),ISNA(VLOOKUP(D1870,BaseType!A:A,1,FALSE())),D1870&lt;&gt;"Struct"),"N","Y")</f>
        <v>Y</v>
      </c>
      <c r="G1870" s="153" t="s">
        <v>2517</v>
      </c>
      <c r="H1870" s="155"/>
      <c r="I1870" s="155"/>
      <c r="J1870" s="155"/>
      <c r="K1870" s="155"/>
      <c r="L1870" s="155"/>
      <c r="M1870" s="155"/>
      <c r="N1870" s="54"/>
      <c r="O1870" s="54"/>
      <c r="P1870" s="54"/>
      <c r="Q1870" s="54"/>
      <c r="R1870" s="54"/>
      <c r="S1870" s="54"/>
      <c r="T1870" s="54"/>
    </row>
    <row r="1871" spans="1:20" ht="15" customHeight="1" x14ac:dyDescent="0.2">
      <c r="A1871" s="91"/>
      <c r="B1871" s="158"/>
      <c r="C1871" s="148" t="s">
        <v>2518</v>
      </c>
      <c r="D1871" s="91" t="s">
        <v>298</v>
      </c>
      <c r="E1871" s="46">
        <v>1</v>
      </c>
      <c r="F1871" s="143" t="str">
        <f>IF(AND(ISNA(VLOOKUP(D1871,A:A,1,FALSE())),ISNA(VLOOKUP(D1871,BaseType!A:A,1,FALSE())),D1871&lt;&gt;"Struct"),"N","Y")</f>
        <v>Y</v>
      </c>
      <c r="G1871" s="153" t="s">
        <v>2519</v>
      </c>
      <c r="H1871" s="155"/>
      <c r="I1871" s="155"/>
      <c r="J1871" s="155"/>
      <c r="K1871" s="155"/>
      <c r="L1871" s="155"/>
      <c r="M1871" s="155"/>
      <c r="N1871" s="54"/>
      <c r="O1871" s="54"/>
      <c r="P1871" s="54"/>
      <c r="Q1871" s="54"/>
      <c r="R1871" s="54"/>
      <c r="S1871" s="54"/>
      <c r="T1871" s="54"/>
    </row>
    <row r="1872" spans="1:20" ht="15" customHeight="1" x14ac:dyDescent="0.2">
      <c r="A1872" s="91"/>
      <c r="B1872" s="158"/>
      <c r="C1872" s="148" t="s">
        <v>2520</v>
      </c>
      <c r="D1872" s="91" t="s">
        <v>298</v>
      </c>
      <c r="E1872" s="46">
        <v>1</v>
      </c>
      <c r="F1872" s="143" t="str">
        <f>IF(AND(ISNA(VLOOKUP(D1872,A:A,1,FALSE())),ISNA(VLOOKUP(D1872,BaseType!A:A,1,FALSE())),D1872&lt;&gt;"Struct"),"N","Y")</f>
        <v>Y</v>
      </c>
      <c r="G1872" s="153" t="s">
        <v>2521</v>
      </c>
      <c r="H1872" s="155"/>
      <c r="I1872" s="155"/>
      <c r="J1872" s="155"/>
      <c r="K1872" s="155"/>
      <c r="L1872" s="155"/>
      <c r="M1872" s="155"/>
      <c r="N1872" s="54"/>
      <c r="O1872" s="54"/>
      <c r="P1872" s="54"/>
      <c r="Q1872" s="54"/>
      <c r="R1872" s="54"/>
      <c r="S1872" s="54"/>
      <c r="T1872" s="54"/>
    </row>
    <row r="1873" spans="1:20" ht="15" customHeight="1" x14ac:dyDescent="0.2">
      <c r="A1873" s="91"/>
      <c r="B1873" s="158"/>
      <c r="C1873" s="148" t="s">
        <v>2522</v>
      </c>
      <c r="D1873" s="91" t="s">
        <v>298</v>
      </c>
      <c r="E1873" s="46">
        <v>1</v>
      </c>
      <c r="F1873" s="143" t="str">
        <f>IF(AND(ISNA(VLOOKUP(D1873,A:A,1,FALSE())),ISNA(VLOOKUP(D1873,BaseType!A:A,1,FALSE())),D1873&lt;&gt;"Struct"),"N","Y")</f>
        <v>Y</v>
      </c>
      <c r="G1873" s="153" t="s">
        <v>2523</v>
      </c>
      <c r="H1873" s="155"/>
      <c r="I1873" s="155"/>
      <c r="J1873" s="155"/>
      <c r="K1873" s="155"/>
      <c r="L1873" s="155"/>
      <c r="M1873" s="155"/>
      <c r="N1873" s="54"/>
      <c r="O1873" s="54"/>
      <c r="P1873" s="54"/>
      <c r="Q1873" s="54"/>
      <c r="R1873" s="54"/>
      <c r="S1873" s="54"/>
      <c r="T1873" s="54"/>
    </row>
    <row r="1874" spans="1:20" ht="15" customHeight="1" x14ac:dyDescent="0.2">
      <c r="A1874" s="91"/>
      <c r="B1874" s="158"/>
      <c r="C1874" s="148" t="s">
        <v>2524</v>
      </c>
      <c r="D1874" s="91" t="s">
        <v>298</v>
      </c>
      <c r="E1874" s="46">
        <v>1</v>
      </c>
      <c r="F1874" s="143" t="str">
        <f>IF(AND(ISNA(VLOOKUP(D1874,A:A,1,FALSE())),ISNA(VLOOKUP(D1874,BaseType!A:A,1,FALSE())),D1874&lt;&gt;"Struct"),"N","Y")</f>
        <v>Y</v>
      </c>
      <c r="G1874" s="153" t="s">
        <v>2525</v>
      </c>
      <c r="H1874" s="155"/>
      <c r="I1874" s="155"/>
      <c r="J1874" s="155"/>
      <c r="K1874" s="155"/>
      <c r="L1874" s="155"/>
      <c r="M1874" s="155"/>
      <c r="N1874" s="54"/>
      <c r="O1874" s="54"/>
      <c r="P1874" s="54"/>
      <c r="Q1874" s="54"/>
      <c r="R1874" s="54"/>
      <c r="S1874" s="54"/>
      <c r="T1874" s="54"/>
    </row>
    <row r="1875" spans="1:20" ht="15" customHeight="1" x14ac:dyDescent="0.2">
      <c r="A1875" s="91"/>
      <c r="B1875" s="158"/>
      <c r="C1875" s="148" t="s">
        <v>2526</v>
      </c>
      <c r="D1875" s="91" t="s">
        <v>298</v>
      </c>
      <c r="E1875" s="46">
        <v>1</v>
      </c>
      <c r="F1875" s="143" t="str">
        <f>IF(AND(ISNA(VLOOKUP(D1875,A:A,1,FALSE())),ISNA(VLOOKUP(D1875,BaseType!A:A,1,FALSE())),D1875&lt;&gt;"Struct"),"N","Y")</f>
        <v>Y</v>
      </c>
      <c r="G1875" s="153" t="s">
        <v>2527</v>
      </c>
      <c r="H1875" s="155"/>
      <c r="I1875" s="155"/>
      <c r="J1875" s="155"/>
      <c r="K1875" s="155"/>
      <c r="L1875" s="155"/>
      <c r="M1875" s="155"/>
      <c r="N1875" s="54"/>
      <c r="O1875" s="54"/>
      <c r="P1875" s="54"/>
      <c r="Q1875" s="54"/>
      <c r="R1875" s="54"/>
      <c r="S1875" s="54"/>
      <c r="T1875" s="54"/>
    </row>
    <row r="1876" spans="1:20" ht="15" customHeight="1" x14ac:dyDescent="0.2">
      <c r="A1876" s="91"/>
      <c r="B1876" s="158"/>
      <c r="C1876" s="148" t="s">
        <v>2528</v>
      </c>
      <c r="D1876" s="91" t="s">
        <v>298</v>
      </c>
      <c r="E1876" s="46">
        <v>1</v>
      </c>
      <c r="F1876" s="143" t="str">
        <f>IF(AND(ISNA(VLOOKUP(D1876,A:A,1,FALSE())),ISNA(VLOOKUP(D1876,BaseType!A:A,1,FALSE())),D1876&lt;&gt;"Struct"),"N","Y")</f>
        <v>Y</v>
      </c>
      <c r="G1876" s="153" t="s">
        <v>2529</v>
      </c>
      <c r="H1876" s="155"/>
      <c r="I1876" s="155"/>
      <c r="J1876" s="155"/>
      <c r="K1876" s="155"/>
      <c r="L1876" s="155"/>
      <c r="M1876" s="155"/>
      <c r="N1876" s="54"/>
      <c r="O1876" s="54"/>
      <c r="P1876" s="54"/>
      <c r="Q1876" s="54"/>
      <c r="R1876" s="54"/>
      <c r="S1876" s="54"/>
      <c r="T1876" s="54"/>
    </row>
    <row r="1877" spans="1:20" ht="15" customHeight="1" x14ac:dyDescent="0.2">
      <c r="A1877" s="91"/>
      <c r="B1877" s="158"/>
      <c r="C1877" s="148" t="s">
        <v>2530</v>
      </c>
      <c r="D1877" s="91" t="s">
        <v>298</v>
      </c>
      <c r="E1877" s="46">
        <v>1</v>
      </c>
      <c r="F1877" s="143" t="str">
        <f>IF(AND(ISNA(VLOOKUP(D1877,A:A,1,FALSE())),ISNA(VLOOKUP(D1877,BaseType!A:A,1,FALSE())),D1877&lt;&gt;"Struct"),"N","Y")</f>
        <v>Y</v>
      </c>
      <c r="G1877" s="153" t="s">
        <v>2531</v>
      </c>
      <c r="H1877" s="155"/>
      <c r="I1877" s="155"/>
      <c r="J1877" s="155"/>
      <c r="K1877" s="155"/>
      <c r="L1877" s="155"/>
      <c r="M1877" s="155"/>
      <c r="N1877" s="54"/>
      <c r="O1877" s="54"/>
      <c r="P1877" s="54"/>
      <c r="Q1877" s="54"/>
      <c r="R1877" s="54"/>
      <c r="S1877" s="54"/>
      <c r="T1877" s="54"/>
    </row>
    <row r="1878" spans="1:20" ht="15" customHeight="1" x14ac:dyDescent="0.2">
      <c r="A1878" s="91"/>
      <c r="B1878" s="158"/>
      <c r="C1878" s="148" t="s">
        <v>2532</v>
      </c>
      <c r="D1878" s="91" t="s">
        <v>225</v>
      </c>
      <c r="E1878" s="46">
        <v>1</v>
      </c>
      <c r="F1878" s="143" t="str">
        <f>IF(AND(ISNA(VLOOKUP(D1878,A:A,1,FALSE())),ISNA(VLOOKUP(D1878,BaseType!A:A,1,FALSE())),D1878&lt;&gt;"Struct"),"N","Y")</f>
        <v>Y</v>
      </c>
      <c r="G1878" s="153" t="s">
        <v>2533</v>
      </c>
      <c r="H1878" s="155"/>
      <c r="I1878" s="155"/>
      <c r="J1878" s="155"/>
      <c r="K1878" s="155"/>
      <c r="L1878" s="155"/>
      <c r="M1878" s="155"/>
      <c r="N1878" s="54"/>
      <c r="O1878" s="54"/>
      <c r="P1878" s="54"/>
      <c r="Q1878" s="54"/>
      <c r="R1878" s="54"/>
      <c r="S1878" s="54"/>
      <c r="T1878" s="54"/>
    </row>
    <row r="1879" spans="1:20" ht="15" customHeight="1" x14ac:dyDescent="0.2">
      <c r="A1879" s="91"/>
      <c r="B1879" s="158"/>
      <c r="C1879" s="148" t="s">
        <v>2534</v>
      </c>
      <c r="D1879" s="91" t="s">
        <v>293</v>
      </c>
      <c r="E1879" s="46">
        <v>1</v>
      </c>
      <c r="F1879" s="143" t="str">
        <f>IF(AND(ISNA(VLOOKUP(D1879,A:A,1,FALSE())),ISNA(VLOOKUP(D1879,BaseType!A:A,1,FALSE())),D1879&lt;&gt;"Struct"),"N","Y")</f>
        <v>Y</v>
      </c>
      <c r="G1879" s="153" t="s">
        <v>2535</v>
      </c>
      <c r="H1879" s="155"/>
      <c r="I1879" s="155"/>
      <c r="J1879" s="155"/>
      <c r="K1879" s="155"/>
      <c r="L1879" s="155"/>
      <c r="M1879" s="155"/>
      <c r="N1879" s="54"/>
      <c r="O1879" s="54"/>
      <c r="P1879" s="54"/>
      <c r="Q1879" s="54"/>
      <c r="R1879" s="54"/>
      <c r="S1879" s="54"/>
      <c r="T1879" s="54"/>
    </row>
    <row r="1880" spans="1:20" ht="15" customHeight="1" x14ac:dyDescent="0.2">
      <c r="A1880" s="91" t="s">
        <v>238</v>
      </c>
      <c r="B1880" s="149" t="str">
        <f>IF(ISBLANK(A1880),"",IF(AND(ISNA(VLOOKUP(A1880,Interface_Platform!E:E,1,FALSE())),ISNA(VLOOKUP(A1880,D:D,1,FALSE()))),"N","Y"))</f>
        <v>Y</v>
      </c>
      <c r="C1880" s="148"/>
      <c r="D1880" s="91" t="s">
        <v>193</v>
      </c>
      <c r="E1880" s="46">
        <v>1</v>
      </c>
      <c r="F1880" s="143" t="str">
        <f>IF(AND(ISNA(VLOOKUP(D1880,A:A,1,FALSE())),ISNA(VLOOKUP(D1880,BaseType!A:A,1,FALSE())),D1880&lt;&gt;"Struct"),"N","Y")</f>
        <v>Y</v>
      </c>
      <c r="G1880" s="153" t="s">
        <v>2536</v>
      </c>
      <c r="H1880" s="155"/>
      <c r="I1880" s="155"/>
      <c r="J1880" s="155"/>
      <c r="K1880" s="155"/>
      <c r="L1880" s="155"/>
      <c r="M1880" s="155"/>
      <c r="N1880" s="54"/>
      <c r="O1880" s="54"/>
      <c r="P1880" s="54"/>
      <c r="Q1880" s="54"/>
      <c r="R1880" s="54"/>
      <c r="S1880" s="54"/>
      <c r="T1880" s="54"/>
    </row>
    <row r="1881" spans="1:20" ht="15" customHeight="1" x14ac:dyDescent="0.2">
      <c r="A1881" s="91" t="s">
        <v>277</v>
      </c>
      <c r="B1881" s="149" t="str">
        <f>IF(ISBLANK(A1881),"",IF(AND(ISNA(VLOOKUP(A1881,Interface_Platform!E:E,1,FALSE())),ISNA(VLOOKUP(A1881,D:D,1,FALSE()))),"N","Y"))</f>
        <v>Y</v>
      </c>
      <c r="C1881" s="148"/>
      <c r="D1881" s="173" t="s">
        <v>484</v>
      </c>
      <c r="E1881" s="46"/>
      <c r="F1881" s="143"/>
      <c r="G1881" s="153"/>
      <c r="H1881" s="155"/>
      <c r="I1881" s="155"/>
      <c r="J1881" s="155"/>
      <c r="K1881" s="155"/>
      <c r="L1881" s="155"/>
      <c r="M1881" s="155"/>
      <c r="N1881" s="54"/>
      <c r="O1881" s="54"/>
      <c r="P1881" s="54"/>
      <c r="Q1881" s="54"/>
      <c r="R1881" s="54"/>
      <c r="S1881" s="54"/>
      <c r="T1881" s="54"/>
    </row>
    <row r="1882" spans="1:20" ht="15" customHeight="1" x14ac:dyDescent="0.2">
      <c r="A1882" s="91"/>
      <c r="B1882" s="158"/>
      <c r="C1882" s="148" t="s">
        <v>2537</v>
      </c>
      <c r="D1882" s="173" t="s">
        <v>2538</v>
      </c>
      <c r="E1882" s="46">
        <v>1</v>
      </c>
      <c r="F1882" s="143" t="str">
        <f>IF(AND(ISNA(VLOOKUP(D1882,A:A,1,FALSE())),ISNA(VLOOKUP(D1882,BaseType!A:A,1,FALSE())),D1882&lt;&gt;"Struct"),"N","Y")</f>
        <v>Y</v>
      </c>
      <c r="G1882" s="153" t="s">
        <v>2539</v>
      </c>
      <c r="H1882" s="155"/>
      <c r="I1882" s="155"/>
      <c r="J1882" s="155"/>
      <c r="K1882" s="155"/>
      <c r="L1882" s="155"/>
      <c r="M1882" s="155"/>
      <c r="N1882" s="54"/>
      <c r="O1882" s="54"/>
      <c r="P1882" s="54"/>
      <c r="Q1882" s="54"/>
      <c r="R1882" s="54"/>
      <c r="S1882" s="54"/>
      <c r="T1882" s="54"/>
    </row>
    <row r="1883" spans="1:20" ht="15" customHeight="1" x14ac:dyDescent="0.2">
      <c r="A1883" s="91"/>
      <c r="B1883" s="158"/>
      <c r="C1883" s="148" t="s">
        <v>2540</v>
      </c>
      <c r="D1883" s="173" t="s">
        <v>2541</v>
      </c>
      <c r="E1883" s="46">
        <v>1</v>
      </c>
      <c r="F1883" s="143" t="str">
        <f>IF(AND(ISNA(VLOOKUP(D1883,A:A,1,FALSE())),ISNA(VLOOKUP(D1883,BaseType!A:A,1,FALSE())),D1883&lt;&gt;"Struct"),"N","Y")</f>
        <v>Y</v>
      </c>
      <c r="G1883" s="153" t="s">
        <v>2542</v>
      </c>
      <c r="H1883" s="155"/>
      <c r="I1883" s="155"/>
      <c r="J1883" s="155"/>
      <c r="K1883" s="155"/>
      <c r="L1883" s="155"/>
      <c r="M1883" s="155"/>
      <c r="N1883" s="54"/>
      <c r="O1883" s="54"/>
      <c r="P1883" s="54"/>
      <c r="Q1883" s="54"/>
      <c r="R1883" s="54"/>
      <c r="S1883" s="54"/>
      <c r="T1883" s="54"/>
    </row>
    <row r="1884" spans="1:20" ht="15" customHeight="1" x14ac:dyDescent="0.2">
      <c r="A1884" s="91"/>
      <c r="B1884" s="158"/>
      <c r="C1884" s="148" t="s">
        <v>2543</v>
      </c>
      <c r="D1884" s="173" t="s">
        <v>2544</v>
      </c>
      <c r="E1884" s="46">
        <v>1</v>
      </c>
      <c r="F1884" s="143" t="str">
        <f>IF(AND(ISNA(VLOOKUP(D1884,A:A,1,FALSE())),ISNA(VLOOKUP(D1884,BaseType!A:A,1,FALSE())),D1884&lt;&gt;"Struct"),"N","Y")</f>
        <v>Y</v>
      </c>
      <c r="G1884" s="153" t="s">
        <v>2545</v>
      </c>
      <c r="H1884" s="155"/>
      <c r="I1884" s="155"/>
      <c r="J1884" s="155"/>
      <c r="K1884" s="155"/>
      <c r="L1884" s="155"/>
      <c r="M1884" s="155"/>
      <c r="N1884" s="54"/>
      <c r="O1884" s="54"/>
      <c r="P1884" s="54"/>
      <c r="Q1884" s="54"/>
      <c r="R1884" s="54"/>
      <c r="S1884" s="54"/>
      <c r="T1884" s="54"/>
    </row>
    <row r="1885" spans="1:20" ht="15" customHeight="1" x14ac:dyDescent="0.2">
      <c r="A1885" s="91"/>
      <c r="B1885" s="158"/>
      <c r="C1885" s="148" t="s">
        <v>2546</v>
      </c>
      <c r="D1885" s="173" t="s">
        <v>2547</v>
      </c>
      <c r="E1885" s="46">
        <v>1</v>
      </c>
      <c r="F1885" s="143" t="str">
        <f>IF(AND(ISNA(VLOOKUP(D1885,A:A,1,FALSE())),ISNA(VLOOKUP(D1885,BaseType!A:A,1,FALSE())),D1885&lt;&gt;"Struct"),"N","Y")</f>
        <v>Y</v>
      </c>
      <c r="G1885" s="153" t="s">
        <v>2548</v>
      </c>
      <c r="H1885" s="155"/>
      <c r="I1885" s="155"/>
      <c r="J1885" s="155"/>
      <c r="K1885" s="155"/>
      <c r="L1885" s="155"/>
      <c r="M1885" s="155"/>
      <c r="N1885" s="54"/>
      <c r="O1885" s="54"/>
      <c r="P1885" s="54"/>
      <c r="Q1885" s="54"/>
      <c r="R1885" s="54"/>
      <c r="S1885" s="54"/>
      <c r="T1885" s="54"/>
    </row>
    <row r="1886" spans="1:20" ht="15" customHeight="1" x14ac:dyDescent="0.2">
      <c r="A1886" s="91" t="s">
        <v>2538</v>
      </c>
      <c r="B1886" s="149" t="str">
        <f>IF(ISBLANK(A1886),"",IF(AND(ISNA(VLOOKUP(A1886,Interface_Platform!E:E,1,FALSE())),ISNA(VLOOKUP(A1886,D:D,1,FALSE()))),"N","Y"))</f>
        <v>Y</v>
      </c>
      <c r="C1886" s="148"/>
      <c r="D1886" s="173" t="s">
        <v>484</v>
      </c>
      <c r="E1886" s="46"/>
      <c r="F1886" s="143" t="str">
        <f>IF(AND(ISNA(VLOOKUP(D1886,A:A,1,FALSE())),ISNA(VLOOKUP(D1886,BaseType!A:A,1,FALSE())),D1886&lt;&gt;"Struct"),"N","Y")</f>
        <v>Y</v>
      </c>
      <c r="G1886" s="153"/>
      <c r="H1886" s="155"/>
      <c r="I1886" s="155"/>
      <c r="J1886" s="155"/>
      <c r="K1886" s="155"/>
      <c r="L1886" s="155"/>
      <c r="M1886" s="155"/>
      <c r="N1886" s="54"/>
      <c r="O1886" s="54"/>
      <c r="P1886" s="54"/>
      <c r="Q1886" s="54"/>
      <c r="R1886" s="54"/>
      <c r="S1886" s="54"/>
      <c r="T1886" s="54"/>
    </row>
    <row r="1887" spans="1:20" ht="15" customHeight="1" x14ac:dyDescent="0.2">
      <c r="A1887" s="91"/>
      <c r="B1887" s="158"/>
      <c r="C1887" s="148" t="s">
        <v>2549</v>
      </c>
      <c r="D1887" s="91" t="s">
        <v>293</v>
      </c>
      <c r="E1887" s="46">
        <v>1</v>
      </c>
      <c r="F1887" s="143" t="str">
        <f>IF(AND(ISNA(VLOOKUP(D1887,A:A,1,FALSE())),ISNA(VLOOKUP(D1887,BaseType!A:A,1,FALSE())),D1887&lt;&gt;"Struct"),"N","Y")</f>
        <v>Y</v>
      </c>
      <c r="G1887" s="153" t="s">
        <v>2550</v>
      </c>
      <c r="H1887" s="155"/>
      <c r="I1887" s="155"/>
      <c r="J1887" s="155"/>
      <c r="K1887" s="155"/>
      <c r="L1887" s="155"/>
      <c r="M1887" s="155"/>
      <c r="N1887" s="54"/>
      <c r="O1887" s="54"/>
      <c r="P1887" s="54"/>
      <c r="Q1887" s="54"/>
      <c r="R1887" s="54"/>
      <c r="S1887" s="54"/>
      <c r="T1887" s="54"/>
    </row>
    <row r="1888" spans="1:20" ht="15" customHeight="1" x14ac:dyDescent="0.2">
      <c r="A1888" s="91"/>
      <c r="B1888" s="158"/>
      <c r="C1888" s="148" t="s">
        <v>2551</v>
      </c>
      <c r="D1888" s="91" t="s">
        <v>293</v>
      </c>
      <c r="E1888" s="46">
        <v>1</v>
      </c>
      <c r="F1888" s="143" t="str">
        <f>IF(AND(ISNA(VLOOKUP(D1888,A:A,1,FALSE())),ISNA(VLOOKUP(D1888,BaseType!A:A,1,FALSE())),D1888&lt;&gt;"Struct"),"N","Y")</f>
        <v>Y</v>
      </c>
      <c r="G1888" s="153" t="s">
        <v>2552</v>
      </c>
      <c r="H1888" s="155"/>
      <c r="I1888" s="155"/>
      <c r="J1888" s="155"/>
      <c r="K1888" s="155"/>
      <c r="L1888" s="155"/>
      <c r="M1888" s="155"/>
      <c r="N1888" s="54"/>
      <c r="O1888" s="54"/>
      <c r="P1888" s="54"/>
      <c r="Q1888" s="54"/>
      <c r="R1888" s="54"/>
      <c r="S1888" s="54"/>
      <c r="T1888" s="54"/>
    </row>
    <row r="1889" spans="1:20" ht="15" customHeight="1" x14ac:dyDescent="0.2">
      <c r="A1889" s="91"/>
      <c r="B1889" s="158"/>
      <c r="C1889" s="148" t="s">
        <v>638</v>
      </c>
      <c r="D1889" s="91" t="s">
        <v>293</v>
      </c>
      <c r="E1889" s="46">
        <v>1</v>
      </c>
      <c r="F1889" s="143" t="str">
        <f>IF(AND(ISNA(VLOOKUP(D1889,A:A,1,FALSE())),ISNA(VLOOKUP(D1889,BaseType!A:A,1,FALSE())),D1889&lt;&gt;"Struct"),"N","Y")</f>
        <v>Y</v>
      </c>
      <c r="G1889" s="153" t="s">
        <v>2553</v>
      </c>
      <c r="H1889" s="155"/>
      <c r="I1889" s="155"/>
      <c r="J1889" s="155"/>
      <c r="K1889" s="155"/>
      <c r="L1889" s="155"/>
      <c r="M1889" s="155"/>
      <c r="N1889" s="54"/>
      <c r="O1889" s="54"/>
      <c r="P1889" s="54"/>
      <c r="Q1889" s="54"/>
      <c r="R1889" s="54"/>
      <c r="S1889" s="54"/>
      <c r="T1889" s="54"/>
    </row>
    <row r="1890" spans="1:20" ht="15" customHeight="1" x14ac:dyDescent="0.2">
      <c r="A1890" s="91"/>
      <c r="B1890" s="158"/>
      <c r="C1890" s="148" t="s">
        <v>2554</v>
      </c>
      <c r="D1890" s="91" t="s">
        <v>293</v>
      </c>
      <c r="E1890" s="46">
        <v>1</v>
      </c>
      <c r="F1890" s="143" t="str">
        <f>IF(AND(ISNA(VLOOKUP(D1890,A:A,1,FALSE())),ISNA(VLOOKUP(D1890,BaseType!A:A,1,FALSE())),D1890&lt;&gt;"Struct"),"N","Y")</f>
        <v>Y</v>
      </c>
      <c r="G1890" s="153" t="s">
        <v>2555</v>
      </c>
      <c r="H1890" s="155"/>
      <c r="I1890" s="155"/>
      <c r="J1890" s="155"/>
      <c r="K1890" s="155"/>
      <c r="L1890" s="155"/>
      <c r="M1890" s="155"/>
      <c r="N1890" s="54"/>
      <c r="O1890" s="54"/>
      <c r="P1890" s="54"/>
      <c r="Q1890" s="54"/>
      <c r="R1890" s="54"/>
      <c r="S1890" s="54"/>
      <c r="T1890" s="54"/>
    </row>
    <row r="1891" spans="1:20" ht="15" customHeight="1" x14ac:dyDescent="0.2">
      <c r="A1891" s="91"/>
      <c r="B1891" s="158"/>
      <c r="C1891" s="148" t="s">
        <v>2556</v>
      </c>
      <c r="D1891" s="91" t="s">
        <v>293</v>
      </c>
      <c r="E1891" s="46">
        <v>1</v>
      </c>
      <c r="F1891" s="143" t="str">
        <f>IF(AND(ISNA(VLOOKUP(D1891,A:A,1,FALSE())),ISNA(VLOOKUP(D1891,BaseType!A:A,1,FALSE())),D1891&lt;&gt;"Struct"),"N","Y")</f>
        <v>Y</v>
      </c>
      <c r="G1891" s="153" t="s">
        <v>2557</v>
      </c>
      <c r="H1891" s="155"/>
      <c r="I1891" s="155"/>
      <c r="J1891" s="155"/>
      <c r="K1891" s="155"/>
      <c r="L1891" s="155"/>
      <c r="M1891" s="155"/>
      <c r="N1891" s="54"/>
      <c r="O1891" s="54"/>
      <c r="P1891" s="54"/>
      <c r="Q1891" s="54"/>
      <c r="R1891" s="54"/>
      <c r="S1891" s="54"/>
      <c r="T1891" s="54"/>
    </row>
    <row r="1892" spans="1:20" ht="15" customHeight="1" x14ac:dyDescent="0.2">
      <c r="A1892" s="91"/>
      <c r="B1892" s="158"/>
      <c r="C1892" s="148" t="s">
        <v>2558</v>
      </c>
      <c r="D1892" s="91" t="s">
        <v>293</v>
      </c>
      <c r="E1892" s="46">
        <v>1</v>
      </c>
      <c r="F1892" s="143" t="str">
        <f>IF(AND(ISNA(VLOOKUP(D1892,A:A,1,FALSE())),ISNA(VLOOKUP(D1892,BaseType!A:A,1,FALSE())),D1892&lt;&gt;"Struct"),"N","Y")</f>
        <v>Y</v>
      </c>
      <c r="G1892" s="153" t="s">
        <v>2559</v>
      </c>
      <c r="H1892" s="155"/>
      <c r="I1892" s="155"/>
      <c r="J1892" s="155"/>
      <c r="K1892" s="155"/>
      <c r="L1892" s="155"/>
      <c r="M1892" s="155"/>
      <c r="N1892" s="54"/>
      <c r="O1892" s="54"/>
      <c r="P1892" s="54"/>
      <c r="Q1892" s="54"/>
      <c r="R1892" s="54"/>
      <c r="S1892" s="54"/>
      <c r="T1892" s="54"/>
    </row>
    <row r="1893" spans="1:20" ht="15" customHeight="1" x14ac:dyDescent="0.2">
      <c r="A1893" s="91"/>
      <c r="B1893" s="158"/>
      <c r="C1893" s="148" t="s">
        <v>2560</v>
      </c>
      <c r="D1893" s="91" t="s">
        <v>293</v>
      </c>
      <c r="E1893" s="46">
        <v>1</v>
      </c>
      <c r="F1893" s="143" t="str">
        <f>IF(AND(ISNA(VLOOKUP(D1893,A:A,1,FALSE())),ISNA(VLOOKUP(D1893,BaseType!A:A,1,FALSE())),D1893&lt;&gt;"Struct"),"N","Y")</f>
        <v>Y</v>
      </c>
      <c r="G1893" s="153" t="s">
        <v>2561</v>
      </c>
      <c r="H1893" s="155"/>
      <c r="I1893" s="155"/>
      <c r="J1893" s="155"/>
      <c r="K1893" s="155"/>
      <c r="L1893" s="155"/>
      <c r="M1893" s="155"/>
      <c r="N1893" s="54"/>
      <c r="O1893" s="54"/>
      <c r="P1893" s="54"/>
      <c r="Q1893" s="54"/>
      <c r="R1893" s="54"/>
      <c r="S1893" s="54"/>
      <c r="T1893" s="54"/>
    </row>
    <row r="1894" spans="1:20" ht="15" customHeight="1" x14ac:dyDescent="0.2">
      <c r="A1894" s="91"/>
      <c r="B1894" s="158"/>
      <c r="C1894" s="148" t="s">
        <v>2562</v>
      </c>
      <c r="D1894" s="91" t="s">
        <v>293</v>
      </c>
      <c r="E1894" s="46">
        <v>1</v>
      </c>
      <c r="F1894" s="143" t="str">
        <f>IF(AND(ISNA(VLOOKUP(D1894,A:A,1,FALSE())),ISNA(VLOOKUP(D1894,BaseType!A:A,1,FALSE())),D1894&lt;&gt;"Struct"),"N","Y")</f>
        <v>Y</v>
      </c>
      <c r="G1894" s="153" t="s">
        <v>2563</v>
      </c>
      <c r="H1894" s="155"/>
      <c r="I1894" s="155"/>
      <c r="J1894" s="155"/>
      <c r="K1894" s="155"/>
      <c r="L1894" s="155"/>
      <c r="M1894" s="155"/>
      <c r="N1894" s="54"/>
      <c r="O1894" s="54"/>
      <c r="P1894" s="54"/>
      <c r="Q1894" s="54"/>
      <c r="R1894" s="54"/>
      <c r="S1894" s="54"/>
      <c r="T1894" s="54"/>
    </row>
    <row r="1895" spans="1:20" ht="15" customHeight="1" x14ac:dyDescent="0.2">
      <c r="A1895" s="91"/>
      <c r="B1895" s="158"/>
      <c r="C1895" s="148" t="s">
        <v>2564</v>
      </c>
      <c r="D1895" s="91" t="s">
        <v>293</v>
      </c>
      <c r="E1895" s="46">
        <v>1</v>
      </c>
      <c r="F1895" s="143" t="str">
        <f>IF(AND(ISNA(VLOOKUP(D1895,A:A,1,FALSE())),ISNA(VLOOKUP(D1895,BaseType!A:A,1,FALSE())),D1895&lt;&gt;"Struct"),"N","Y")</f>
        <v>Y</v>
      </c>
      <c r="G1895" s="153" t="s">
        <v>2565</v>
      </c>
      <c r="H1895" s="155"/>
      <c r="I1895" s="155"/>
      <c r="J1895" s="155"/>
      <c r="K1895" s="155"/>
      <c r="L1895" s="155"/>
      <c r="M1895" s="155"/>
      <c r="N1895" s="54"/>
      <c r="O1895" s="54"/>
      <c r="P1895" s="54"/>
      <c r="Q1895" s="54"/>
      <c r="R1895" s="54"/>
      <c r="S1895" s="54"/>
      <c r="T1895" s="54"/>
    </row>
    <row r="1896" spans="1:20" ht="15" customHeight="1" x14ac:dyDescent="0.2">
      <c r="A1896" s="91"/>
      <c r="B1896" s="158"/>
      <c r="C1896" s="148" t="s">
        <v>2566</v>
      </c>
      <c r="D1896" s="91" t="s">
        <v>193</v>
      </c>
      <c r="E1896" s="46">
        <v>1</v>
      </c>
      <c r="F1896" s="143" t="str">
        <f>IF(AND(ISNA(VLOOKUP(D1896,A:A,1,FALSE())),ISNA(VLOOKUP(D1896,BaseType!A:A,1,FALSE())),D1896&lt;&gt;"Struct"),"N","Y")</f>
        <v>Y</v>
      </c>
      <c r="G1896" s="153" t="s">
        <v>2567</v>
      </c>
      <c r="H1896" s="155"/>
      <c r="I1896" s="155"/>
      <c r="J1896" s="155"/>
      <c r="K1896" s="155"/>
      <c r="L1896" s="155"/>
      <c r="M1896" s="155"/>
      <c r="N1896" s="54"/>
      <c r="O1896" s="54"/>
      <c r="P1896" s="54"/>
      <c r="Q1896" s="54"/>
      <c r="R1896" s="54"/>
      <c r="S1896" s="54"/>
      <c r="T1896" s="54"/>
    </row>
    <row r="1897" spans="1:20" ht="15" customHeight="1" x14ac:dyDescent="0.2">
      <c r="A1897" s="91" t="s">
        <v>2541</v>
      </c>
      <c r="B1897" s="149" t="str">
        <f>IF(ISBLANK(A1897),"",IF(AND(ISNA(VLOOKUP(A1897,Interface_Platform!E:E,1,FALSE())),ISNA(VLOOKUP(A1897,D:D,1,FALSE()))),"N","Y"))</f>
        <v>Y</v>
      </c>
      <c r="C1897" s="148"/>
      <c r="D1897" s="173" t="s">
        <v>484</v>
      </c>
      <c r="E1897" s="46"/>
      <c r="F1897" s="143" t="str">
        <f>IF(AND(ISNA(VLOOKUP(D1897,A:A,1,FALSE())),ISNA(VLOOKUP(D1897,BaseType!A:A,1,FALSE())),D1897&lt;&gt;"Struct"),"N","Y")</f>
        <v>Y</v>
      </c>
      <c r="G1897" s="153"/>
      <c r="H1897" s="155"/>
      <c r="I1897" s="155"/>
      <c r="J1897" s="155"/>
      <c r="K1897" s="155"/>
      <c r="L1897" s="155"/>
      <c r="M1897" s="155"/>
      <c r="N1897" s="54"/>
      <c r="O1897" s="54"/>
      <c r="P1897" s="54"/>
      <c r="Q1897" s="54"/>
      <c r="R1897" s="54"/>
      <c r="S1897" s="54"/>
      <c r="T1897" s="54"/>
    </row>
    <row r="1898" spans="1:20" ht="15" customHeight="1" x14ac:dyDescent="0.2">
      <c r="A1898" s="91"/>
      <c r="B1898" s="158"/>
      <c r="C1898" s="148" t="s">
        <v>2568</v>
      </c>
      <c r="D1898" s="91" t="s">
        <v>193</v>
      </c>
      <c r="E1898" s="46">
        <v>1</v>
      </c>
      <c r="F1898" s="143" t="str">
        <f>IF(AND(ISNA(VLOOKUP(D1898,A:A,1,FALSE())),ISNA(VLOOKUP(D1898,BaseType!A:A,1,FALSE())),D1898&lt;&gt;"Struct"),"N","Y")</f>
        <v>Y</v>
      </c>
      <c r="G1898" s="153" t="s">
        <v>2569</v>
      </c>
      <c r="H1898" s="155"/>
      <c r="I1898" s="155"/>
      <c r="J1898" s="155"/>
      <c r="K1898" s="155"/>
      <c r="L1898" s="155"/>
      <c r="M1898" s="155"/>
      <c r="N1898" s="54"/>
      <c r="O1898" s="54"/>
      <c r="P1898" s="54"/>
      <c r="Q1898" s="54"/>
      <c r="R1898" s="54"/>
      <c r="S1898" s="54"/>
      <c r="T1898" s="54"/>
    </row>
    <row r="1899" spans="1:20" ht="15" customHeight="1" x14ac:dyDescent="0.2">
      <c r="A1899" s="91"/>
      <c r="B1899" s="158"/>
      <c r="C1899" s="148" t="s">
        <v>2570</v>
      </c>
      <c r="D1899" s="91" t="s">
        <v>293</v>
      </c>
      <c r="E1899" s="46">
        <v>1</v>
      </c>
      <c r="F1899" s="143" t="str">
        <f>IF(AND(ISNA(VLOOKUP(D1899,A:A,1,FALSE())),ISNA(VLOOKUP(D1899,BaseType!A:A,1,FALSE())),D1899&lt;&gt;"Struct"),"N","Y")</f>
        <v>Y</v>
      </c>
      <c r="G1899" s="153" t="s">
        <v>2571</v>
      </c>
      <c r="H1899" s="155"/>
      <c r="I1899" s="155"/>
      <c r="J1899" s="155"/>
      <c r="K1899" s="155"/>
      <c r="L1899" s="155"/>
      <c r="M1899" s="155"/>
      <c r="N1899" s="54"/>
      <c r="O1899" s="54"/>
      <c r="P1899" s="54"/>
      <c r="Q1899" s="54"/>
      <c r="R1899" s="54"/>
      <c r="S1899" s="54"/>
      <c r="T1899" s="54"/>
    </row>
    <row r="1900" spans="1:20" ht="15" customHeight="1" x14ac:dyDescent="0.2">
      <c r="A1900" s="91"/>
      <c r="B1900" s="158"/>
      <c r="C1900" s="148" t="s">
        <v>2572</v>
      </c>
      <c r="D1900" s="91" t="s">
        <v>293</v>
      </c>
      <c r="E1900" s="46">
        <v>1</v>
      </c>
      <c r="F1900" s="143" t="str">
        <f>IF(AND(ISNA(VLOOKUP(D1900,A:A,1,FALSE())),ISNA(VLOOKUP(D1900,BaseType!A:A,1,FALSE())),D1900&lt;&gt;"Struct"),"N","Y")</f>
        <v>Y</v>
      </c>
      <c r="G1900" s="153" t="s">
        <v>2573</v>
      </c>
      <c r="H1900" s="155"/>
      <c r="I1900" s="155"/>
      <c r="J1900" s="155"/>
      <c r="K1900" s="155"/>
      <c r="L1900" s="155"/>
      <c r="M1900" s="155"/>
      <c r="N1900" s="54"/>
      <c r="O1900" s="54"/>
      <c r="P1900" s="54"/>
      <c r="Q1900" s="54"/>
      <c r="R1900" s="54"/>
      <c r="S1900" s="54"/>
      <c r="T1900" s="54"/>
    </row>
    <row r="1901" spans="1:20" ht="15" customHeight="1" x14ac:dyDescent="0.2">
      <c r="A1901" s="91"/>
      <c r="B1901" s="158"/>
      <c r="C1901" s="148" t="s">
        <v>2574</v>
      </c>
      <c r="D1901" s="91" t="s">
        <v>2575</v>
      </c>
      <c r="E1901" s="46">
        <v>1</v>
      </c>
      <c r="F1901" s="143" t="str">
        <f>IF(AND(ISNA(VLOOKUP(D1901,A:A,1,FALSE())),ISNA(VLOOKUP(D1901,BaseType!A:A,1,FALSE())),D1901&lt;&gt;"Struct"),"N","Y")</f>
        <v>Y</v>
      </c>
      <c r="G1901" s="153" t="s">
        <v>2576</v>
      </c>
      <c r="H1901" s="155"/>
      <c r="I1901" s="155"/>
      <c r="J1901" s="155"/>
      <c r="K1901" s="155"/>
      <c r="L1901" s="155"/>
      <c r="M1901" s="155"/>
      <c r="N1901" s="54"/>
      <c r="O1901" s="54"/>
      <c r="P1901" s="54"/>
      <c r="Q1901" s="54"/>
      <c r="R1901" s="54"/>
      <c r="S1901" s="54"/>
      <c r="T1901" s="54"/>
    </row>
    <row r="1902" spans="1:20" ht="15" customHeight="1" x14ac:dyDescent="0.2">
      <c r="A1902" s="91"/>
      <c r="B1902" s="158"/>
      <c r="C1902" s="148" t="s">
        <v>2577</v>
      </c>
      <c r="D1902" s="91" t="s">
        <v>225</v>
      </c>
      <c r="E1902" s="46">
        <v>1</v>
      </c>
      <c r="F1902" s="143" t="str">
        <f>IF(AND(ISNA(VLOOKUP(D1902,A:A,1,FALSE())),ISNA(VLOOKUP(D1902,BaseType!A:A,1,FALSE())),D1902&lt;&gt;"Struct"),"N","Y")</f>
        <v>Y</v>
      </c>
      <c r="G1902" s="153" t="s">
        <v>2578</v>
      </c>
      <c r="H1902" s="155"/>
      <c r="I1902" s="155"/>
      <c r="J1902" s="155"/>
      <c r="K1902" s="155"/>
      <c r="L1902" s="155"/>
      <c r="M1902" s="155"/>
      <c r="N1902" s="54"/>
      <c r="O1902" s="54"/>
      <c r="P1902" s="54"/>
      <c r="Q1902" s="54"/>
      <c r="R1902" s="54"/>
      <c r="S1902" s="54"/>
      <c r="T1902" s="54"/>
    </row>
    <row r="1903" spans="1:20" ht="15" customHeight="1" x14ac:dyDescent="0.2">
      <c r="A1903" s="91"/>
      <c r="B1903" s="158"/>
      <c r="C1903" s="148" t="s">
        <v>2579</v>
      </c>
      <c r="D1903" s="91" t="s">
        <v>225</v>
      </c>
      <c r="E1903" s="46">
        <v>1</v>
      </c>
      <c r="F1903" s="143" t="str">
        <f>IF(AND(ISNA(VLOOKUP(D1903,A:A,1,FALSE())),ISNA(VLOOKUP(D1903,BaseType!A:A,1,FALSE())),D1903&lt;&gt;"Struct"),"N","Y")</f>
        <v>Y</v>
      </c>
      <c r="G1903" s="153" t="s">
        <v>2580</v>
      </c>
      <c r="H1903" s="155"/>
      <c r="I1903" s="155"/>
      <c r="J1903" s="155"/>
      <c r="K1903" s="155"/>
      <c r="L1903" s="155"/>
      <c r="M1903" s="155"/>
      <c r="N1903" s="54"/>
      <c r="O1903" s="54"/>
      <c r="P1903" s="54"/>
      <c r="Q1903" s="54"/>
      <c r="R1903" s="54"/>
      <c r="S1903" s="54"/>
      <c r="T1903" s="54"/>
    </row>
    <row r="1904" spans="1:20" ht="15" customHeight="1" x14ac:dyDescent="0.2">
      <c r="A1904" s="91"/>
      <c r="B1904" s="158"/>
      <c r="C1904" s="148" t="s">
        <v>2581</v>
      </c>
      <c r="D1904" s="91" t="s">
        <v>2582</v>
      </c>
      <c r="E1904" s="46">
        <v>1</v>
      </c>
      <c r="F1904" s="143" t="str">
        <f>IF(AND(ISNA(VLOOKUP(D1904,A:A,1,FALSE())),ISNA(VLOOKUP(D1904,BaseType!A:A,1,FALSE())),D1904&lt;&gt;"Struct"),"N","Y")</f>
        <v>Y</v>
      </c>
      <c r="G1904" s="153" t="s">
        <v>2583</v>
      </c>
      <c r="H1904" s="155"/>
      <c r="I1904" s="155"/>
      <c r="J1904" s="155"/>
      <c r="K1904" s="155"/>
      <c r="L1904" s="155"/>
      <c r="M1904" s="155"/>
      <c r="N1904" s="54"/>
      <c r="O1904" s="54"/>
      <c r="P1904" s="54"/>
      <c r="Q1904" s="54"/>
      <c r="R1904" s="54"/>
      <c r="S1904" s="54"/>
      <c r="T1904" s="54"/>
    </row>
    <row r="1905" spans="1:20" ht="15" customHeight="1" x14ac:dyDescent="0.2">
      <c r="A1905" s="91"/>
      <c r="B1905" s="158"/>
      <c r="C1905" s="148" t="s">
        <v>2584</v>
      </c>
      <c r="D1905" s="170" t="s">
        <v>225</v>
      </c>
      <c r="E1905" s="46">
        <v>1</v>
      </c>
      <c r="F1905" s="143" t="str">
        <f>IF(AND(ISNA(VLOOKUP(D1905,A:A,1,FALSE())),ISNA(VLOOKUP(D1905,BaseType!A:A,1,FALSE())),D1905&lt;&gt;"Struct"),"N","Y")</f>
        <v>Y</v>
      </c>
      <c r="G1905" s="153" t="s">
        <v>2585</v>
      </c>
      <c r="H1905" s="155"/>
      <c r="I1905" s="155"/>
      <c r="J1905" s="155"/>
      <c r="K1905" s="155"/>
      <c r="L1905" s="155"/>
      <c r="M1905" s="155"/>
      <c r="N1905" s="54"/>
      <c r="O1905" s="54"/>
      <c r="P1905" s="54"/>
      <c r="Q1905" s="54"/>
      <c r="R1905" s="54"/>
      <c r="S1905" s="54"/>
      <c r="T1905" s="54"/>
    </row>
    <row r="1906" spans="1:20" ht="15" customHeight="1" x14ac:dyDescent="0.2">
      <c r="A1906" s="91"/>
      <c r="B1906" s="158"/>
      <c r="C1906" s="148" t="s">
        <v>2586</v>
      </c>
      <c r="D1906" s="91" t="s">
        <v>225</v>
      </c>
      <c r="E1906" s="46">
        <v>1</v>
      </c>
      <c r="F1906" s="143" t="str">
        <f>IF(AND(ISNA(VLOOKUP(D1906,A:A,1,FALSE())),ISNA(VLOOKUP(D1906,BaseType!A:A,1,FALSE())),D1906&lt;&gt;"Struct"),"N","Y")</f>
        <v>Y</v>
      </c>
      <c r="G1906" s="153" t="s">
        <v>2587</v>
      </c>
      <c r="H1906" s="155"/>
      <c r="I1906" s="155"/>
      <c r="J1906" s="155"/>
      <c r="K1906" s="155"/>
      <c r="L1906" s="155"/>
      <c r="M1906" s="155"/>
      <c r="N1906" s="54"/>
      <c r="O1906" s="54"/>
      <c r="P1906" s="54"/>
      <c r="Q1906" s="54"/>
      <c r="R1906" s="54"/>
      <c r="S1906" s="54"/>
      <c r="T1906" s="54"/>
    </row>
    <row r="1907" spans="1:20" ht="15" customHeight="1" x14ac:dyDescent="0.2">
      <c r="A1907" s="91"/>
      <c r="B1907" s="158"/>
      <c r="C1907" s="148" t="s">
        <v>2588</v>
      </c>
      <c r="D1907" s="91" t="s">
        <v>225</v>
      </c>
      <c r="E1907" s="46">
        <v>1</v>
      </c>
      <c r="F1907" s="143" t="str">
        <f>IF(AND(ISNA(VLOOKUP(D1907,A:A,1,FALSE())),ISNA(VLOOKUP(D1907,BaseType!A:A,1,FALSE())),D1907&lt;&gt;"Struct"),"N","Y")</f>
        <v>Y</v>
      </c>
      <c r="G1907" s="153" t="s">
        <v>2589</v>
      </c>
      <c r="H1907" s="155"/>
      <c r="I1907" s="155"/>
      <c r="J1907" s="155"/>
      <c r="K1907" s="155"/>
      <c r="L1907" s="155"/>
      <c r="M1907" s="155"/>
      <c r="N1907" s="54"/>
      <c r="O1907" s="54"/>
      <c r="P1907" s="54"/>
      <c r="Q1907" s="54"/>
      <c r="R1907" s="54"/>
      <c r="S1907" s="54"/>
      <c r="T1907" s="54"/>
    </row>
    <row r="1908" spans="1:20" ht="15" customHeight="1" x14ac:dyDescent="0.2">
      <c r="A1908" s="91"/>
      <c r="B1908" s="158"/>
      <c r="C1908" s="148" t="s">
        <v>2590</v>
      </c>
      <c r="D1908" s="91" t="s">
        <v>225</v>
      </c>
      <c r="E1908" s="46">
        <v>1</v>
      </c>
      <c r="F1908" s="143" t="str">
        <f>IF(AND(ISNA(VLOOKUP(D1908,A:A,1,FALSE())),ISNA(VLOOKUP(D1908,BaseType!A:A,1,FALSE())),D1908&lt;&gt;"Struct"),"N","Y")</f>
        <v>Y</v>
      </c>
      <c r="G1908" s="153" t="s">
        <v>2591</v>
      </c>
      <c r="H1908" s="155"/>
      <c r="I1908" s="155"/>
      <c r="J1908" s="155"/>
      <c r="K1908" s="155"/>
      <c r="L1908" s="155"/>
      <c r="M1908" s="155"/>
      <c r="N1908" s="54"/>
      <c r="O1908" s="54"/>
      <c r="P1908" s="54"/>
      <c r="Q1908" s="54"/>
      <c r="R1908" s="54"/>
      <c r="S1908" s="54"/>
      <c r="T1908" s="54"/>
    </row>
    <row r="1909" spans="1:20" ht="15" customHeight="1" x14ac:dyDescent="0.2">
      <c r="A1909" s="91"/>
      <c r="B1909" s="158"/>
      <c r="C1909" s="148" t="s">
        <v>2592</v>
      </c>
      <c r="D1909" s="91" t="s">
        <v>225</v>
      </c>
      <c r="E1909" s="46">
        <v>1</v>
      </c>
      <c r="F1909" s="143" t="str">
        <f>IF(AND(ISNA(VLOOKUP(D1909,A:A,1,FALSE())),ISNA(VLOOKUP(D1909,BaseType!A:A,1,FALSE())),D1909&lt;&gt;"Struct"),"N","Y")</f>
        <v>Y</v>
      </c>
      <c r="G1909" s="153" t="s">
        <v>2593</v>
      </c>
      <c r="H1909" s="155"/>
      <c r="I1909" s="155"/>
      <c r="J1909" s="155"/>
      <c r="K1909" s="155"/>
      <c r="L1909" s="155"/>
      <c r="M1909" s="155"/>
      <c r="N1909" s="54"/>
      <c r="O1909" s="54"/>
      <c r="P1909" s="54"/>
      <c r="Q1909" s="54"/>
      <c r="R1909" s="54"/>
      <c r="S1909" s="54"/>
      <c r="T1909" s="54"/>
    </row>
    <row r="1910" spans="1:20" ht="15" customHeight="1" x14ac:dyDescent="0.2">
      <c r="A1910" s="91"/>
      <c r="B1910" s="158"/>
      <c r="C1910" s="148" t="s">
        <v>2594</v>
      </c>
      <c r="D1910" s="91" t="s">
        <v>225</v>
      </c>
      <c r="E1910" s="46">
        <v>1</v>
      </c>
      <c r="F1910" s="143" t="str">
        <f>IF(AND(ISNA(VLOOKUP(D1910,A:A,1,FALSE())),ISNA(VLOOKUP(D1910,BaseType!A:A,1,FALSE())),D1910&lt;&gt;"Struct"),"N","Y")</f>
        <v>Y</v>
      </c>
      <c r="G1910" s="153" t="s">
        <v>2595</v>
      </c>
      <c r="H1910" s="155"/>
      <c r="I1910" s="155"/>
      <c r="J1910" s="155"/>
      <c r="K1910" s="155"/>
      <c r="L1910" s="155"/>
      <c r="M1910" s="155"/>
      <c r="N1910" s="54"/>
      <c r="O1910" s="54"/>
      <c r="P1910" s="54"/>
      <c r="Q1910" s="54"/>
      <c r="R1910" s="54"/>
      <c r="S1910" s="54"/>
      <c r="T1910" s="54"/>
    </row>
    <row r="1911" spans="1:20" ht="15" customHeight="1" x14ac:dyDescent="0.2">
      <c r="A1911" s="91"/>
      <c r="B1911" s="158"/>
      <c r="C1911" s="148" t="s">
        <v>2596</v>
      </c>
      <c r="D1911" s="91" t="s">
        <v>293</v>
      </c>
      <c r="E1911" s="46">
        <v>1</v>
      </c>
      <c r="F1911" s="143" t="str">
        <f>IF(AND(ISNA(VLOOKUP(D1911,A:A,1,FALSE())),ISNA(VLOOKUP(D1911,BaseType!A:A,1,FALSE())),D1911&lt;&gt;"Struct"),"N","Y")</f>
        <v>Y</v>
      </c>
      <c r="G1911" s="153" t="s">
        <v>2597</v>
      </c>
      <c r="H1911" s="155"/>
      <c r="I1911" s="155"/>
      <c r="J1911" s="155"/>
      <c r="K1911" s="155"/>
      <c r="L1911" s="155"/>
      <c r="M1911" s="155"/>
      <c r="N1911" s="54"/>
      <c r="O1911" s="54"/>
      <c r="P1911" s="54"/>
      <c r="Q1911" s="54"/>
      <c r="R1911" s="54"/>
      <c r="S1911" s="54"/>
      <c r="T1911" s="54"/>
    </row>
    <row r="1912" spans="1:20" ht="15" customHeight="1" x14ac:dyDescent="0.2">
      <c r="A1912" s="91" t="s">
        <v>2575</v>
      </c>
      <c r="B1912" s="149" t="str">
        <f>IF(ISBLANK(A1912),"",IF(AND(ISNA(VLOOKUP(A1912,Interface_Platform!E:E,1,FALSE())),ISNA(VLOOKUP(A1912,D:D,1,FALSE()))),"N","Y"))</f>
        <v>Y</v>
      </c>
      <c r="C1912" s="148"/>
      <c r="D1912" s="173" t="s">
        <v>484</v>
      </c>
      <c r="E1912" s="46"/>
      <c r="F1912" s="143" t="str">
        <f>IF(AND(ISNA(VLOOKUP(D1912,A:A,1,FALSE())),ISNA(VLOOKUP(D1912,BaseType!A:A,1,FALSE())),D1912&lt;&gt;"Struct"),"N","Y")</f>
        <v>Y</v>
      </c>
      <c r="G1912" s="153"/>
      <c r="H1912" s="155"/>
      <c r="I1912" s="155"/>
      <c r="J1912" s="155"/>
      <c r="K1912" s="155"/>
      <c r="L1912" s="155"/>
      <c r="M1912" s="155"/>
      <c r="N1912" s="54"/>
      <c r="O1912" s="54"/>
      <c r="P1912" s="54"/>
      <c r="Q1912" s="54"/>
      <c r="R1912" s="54"/>
      <c r="S1912" s="54"/>
      <c r="T1912" s="54"/>
    </row>
    <row r="1913" spans="1:20" ht="15" customHeight="1" x14ac:dyDescent="0.2">
      <c r="A1913" s="91"/>
      <c r="B1913" s="158"/>
      <c r="C1913" s="148" t="s">
        <v>2598</v>
      </c>
      <c r="D1913" s="91" t="s">
        <v>293</v>
      </c>
      <c r="E1913" s="46">
        <v>1</v>
      </c>
      <c r="F1913" s="143" t="str">
        <f>IF(AND(ISNA(VLOOKUP(D1913,A:A,1,FALSE())),ISNA(VLOOKUP(D1913,BaseType!A:A,1,FALSE())),D1913&lt;&gt;"Struct"),"N","Y")</f>
        <v>Y</v>
      </c>
      <c r="G1913" s="153" t="s">
        <v>2599</v>
      </c>
      <c r="H1913" s="155"/>
      <c r="I1913" s="155"/>
      <c r="J1913" s="155"/>
      <c r="K1913" s="155"/>
      <c r="L1913" s="155"/>
      <c r="M1913" s="155"/>
      <c r="N1913" s="54"/>
      <c r="O1913" s="54"/>
      <c r="P1913" s="54"/>
      <c r="Q1913" s="54"/>
      <c r="R1913" s="54"/>
      <c r="S1913" s="54"/>
      <c r="T1913" s="54"/>
    </row>
    <row r="1914" spans="1:20" ht="15" customHeight="1" x14ac:dyDescent="0.2">
      <c r="A1914" s="91"/>
      <c r="B1914" s="158"/>
      <c r="C1914" s="148" t="s">
        <v>2600</v>
      </c>
      <c r="D1914" s="91" t="s">
        <v>293</v>
      </c>
      <c r="E1914" s="46">
        <v>1</v>
      </c>
      <c r="F1914" s="143" t="str">
        <f>IF(AND(ISNA(VLOOKUP(D1914,A:A,1,FALSE())),ISNA(VLOOKUP(D1914,BaseType!A:A,1,FALSE())),D1914&lt;&gt;"Struct"),"N","Y")</f>
        <v>Y</v>
      </c>
      <c r="G1914" s="153" t="s">
        <v>2601</v>
      </c>
      <c r="H1914" s="155"/>
      <c r="I1914" s="155"/>
      <c r="J1914" s="155"/>
      <c r="K1914" s="155"/>
      <c r="L1914" s="155"/>
      <c r="M1914" s="155"/>
      <c r="N1914" s="54"/>
      <c r="O1914" s="54"/>
      <c r="P1914" s="54"/>
      <c r="Q1914" s="54"/>
      <c r="R1914" s="54"/>
      <c r="S1914" s="54"/>
      <c r="T1914" s="54"/>
    </row>
    <row r="1915" spans="1:20" ht="15" customHeight="1" x14ac:dyDescent="0.2">
      <c r="A1915" s="91"/>
      <c r="B1915" s="158"/>
      <c r="C1915" s="148" t="s">
        <v>2602</v>
      </c>
      <c r="D1915" s="91" t="s">
        <v>293</v>
      </c>
      <c r="E1915" s="46">
        <v>1</v>
      </c>
      <c r="F1915" s="143" t="str">
        <f>IF(AND(ISNA(VLOOKUP(D1915,A:A,1,FALSE())),ISNA(VLOOKUP(D1915,BaseType!A:A,1,FALSE())),D1915&lt;&gt;"Struct"),"N","Y")</f>
        <v>Y</v>
      </c>
      <c r="G1915" s="153" t="s">
        <v>2603</v>
      </c>
      <c r="H1915" s="155"/>
      <c r="I1915" s="155"/>
      <c r="J1915" s="155"/>
      <c r="K1915" s="155"/>
      <c r="L1915" s="155"/>
      <c r="M1915" s="155"/>
      <c r="N1915" s="54"/>
      <c r="O1915" s="54"/>
      <c r="P1915" s="54"/>
      <c r="Q1915" s="54"/>
      <c r="R1915" s="54"/>
      <c r="S1915" s="54"/>
      <c r="T1915" s="54"/>
    </row>
    <row r="1916" spans="1:20" ht="15" customHeight="1" x14ac:dyDescent="0.2">
      <c r="A1916" s="91" t="s">
        <v>2582</v>
      </c>
      <c r="B1916" s="149" t="str">
        <f>IF(ISBLANK(A1916),"",IF(AND(ISNA(VLOOKUP(A1916,Interface_Platform!E:E,1,FALSE())),ISNA(VLOOKUP(A1916,D:D,1,FALSE()))),"N","Y"))</f>
        <v>Y</v>
      </c>
      <c r="C1916" s="148"/>
      <c r="D1916" s="173" t="s">
        <v>484</v>
      </c>
      <c r="E1916" s="46"/>
      <c r="F1916" s="143" t="str">
        <f>IF(AND(ISNA(VLOOKUP(D1916,A:A,1,FALSE())),ISNA(VLOOKUP(D1916,BaseType!A:A,1,FALSE())),D1916&lt;&gt;"Struct"),"N","Y")</f>
        <v>Y</v>
      </c>
      <c r="G1916" s="153"/>
      <c r="H1916" s="155"/>
      <c r="I1916" s="155"/>
      <c r="J1916" s="155"/>
      <c r="K1916" s="155"/>
      <c r="L1916" s="155"/>
      <c r="M1916" s="155"/>
      <c r="N1916" s="54"/>
      <c r="O1916" s="54"/>
      <c r="P1916" s="54"/>
      <c r="Q1916" s="54"/>
      <c r="R1916" s="54"/>
      <c r="S1916" s="54"/>
      <c r="T1916" s="54"/>
    </row>
    <row r="1917" spans="1:20" ht="15" customHeight="1" x14ac:dyDescent="0.2">
      <c r="A1917" s="91"/>
      <c r="B1917" s="158"/>
      <c r="C1917" s="148" t="s">
        <v>2604</v>
      </c>
      <c r="D1917" s="91" t="s">
        <v>293</v>
      </c>
      <c r="E1917" s="46">
        <v>1</v>
      </c>
      <c r="F1917" s="143" t="str">
        <f>IF(AND(ISNA(VLOOKUP(D1917,A:A,1,FALSE())),ISNA(VLOOKUP(D1917,BaseType!A:A,1,FALSE())),D1917&lt;&gt;"Struct"),"N","Y")</f>
        <v>Y</v>
      </c>
      <c r="G1917" s="153" t="s">
        <v>2605</v>
      </c>
      <c r="H1917" s="155"/>
      <c r="I1917" s="155"/>
      <c r="J1917" s="155"/>
      <c r="K1917" s="155"/>
      <c r="L1917" s="155"/>
      <c r="M1917" s="155"/>
      <c r="N1917" s="54"/>
      <c r="O1917" s="54"/>
      <c r="P1917" s="54"/>
      <c r="Q1917" s="54"/>
      <c r="R1917" s="54"/>
      <c r="S1917" s="54"/>
      <c r="T1917" s="54"/>
    </row>
    <row r="1918" spans="1:20" ht="15" customHeight="1" x14ac:dyDescent="0.2">
      <c r="A1918" s="91" t="s">
        <v>2544</v>
      </c>
      <c r="B1918" s="149" t="str">
        <f>IF(ISBLANK(A1918),"",IF(AND(ISNA(VLOOKUP(A1918,Interface_Platform!E:E,1,FALSE())),ISNA(VLOOKUP(A1918,D:D,1,FALSE()))),"N","Y"))</f>
        <v>Y</v>
      </c>
      <c r="C1918" s="148"/>
      <c r="D1918" s="173" t="s">
        <v>484</v>
      </c>
      <c r="E1918" s="46"/>
      <c r="F1918" s="143" t="str">
        <f>IF(AND(ISNA(VLOOKUP(D1918,A:A,1,FALSE())),ISNA(VLOOKUP(D1918,BaseType!A:A,1,FALSE())),D1918&lt;&gt;"Struct"),"N","Y")</f>
        <v>Y</v>
      </c>
      <c r="G1918" s="153"/>
      <c r="H1918" s="155"/>
      <c r="I1918" s="155"/>
      <c r="J1918" s="155"/>
      <c r="K1918" s="155"/>
      <c r="L1918" s="155"/>
      <c r="M1918" s="155"/>
      <c r="N1918" s="54"/>
      <c r="O1918" s="54"/>
      <c r="P1918" s="54"/>
      <c r="Q1918" s="54"/>
      <c r="R1918" s="54"/>
      <c r="S1918" s="54"/>
      <c r="T1918" s="54"/>
    </row>
    <row r="1919" spans="1:20" ht="15" customHeight="1" x14ac:dyDescent="0.2">
      <c r="A1919" s="91"/>
      <c r="B1919" s="158"/>
      <c r="C1919" s="148" t="s">
        <v>2606</v>
      </c>
      <c r="D1919" s="91" t="s">
        <v>293</v>
      </c>
      <c r="E1919" s="46">
        <v>1</v>
      </c>
      <c r="F1919" s="143" t="str">
        <f>IF(AND(ISNA(VLOOKUP(D1919,A:A,1,FALSE())),ISNA(VLOOKUP(D1919,BaseType!A:A,1,FALSE())),D1919&lt;&gt;"Struct"),"N","Y")</f>
        <v>Y</v>
      </c>
      <c r="G1919" s="153" t="s">
        <v>2607</v>
      </c>
      <c r="H1919" s="155"/>
      <c r="I1919" s="155"/>
      <c r="J1919" s="155"/>
      <c r="K1919" s="155"/>
      <c r="L1919" s="155"/>
      <c r="M1919" s="155"/>
      <c r="N1919" s="54"/>
      <c r="O1919" s="54"/>
      <c r="P1919" s="54"/>
      <c r="Q1919" s="54"/>
      <c r="R1919" s="54"/>
      <c r="S1919" s="54"/>
      <c r="T1919" s="54"/>
    </row>
    <row r="1920" spans="1:20" ht="15" customHeight="1" x14ac:dyDescent="0.2">
      <c r="A1920" s="91"/>
      <c r="B1920" s="158"/>
      <c r="C1920" s="148" t="s">
        <v>2608</v>
      </c>
      <c r="D1920" s="91" t="s">
        <v>293</v>
      </c>
      <c r="E1920" s="46">
        <v>1</v>
      </c>
      <c r="F1920" s="143" t="str">
        <f>IF(AND(ISNA(VLOOKUP(D1920,A:A,1,FALSE())),ISNA(VLOOKUP(D1920,BaseType!A:A,1,FALSE())),D1920&lt;&gt;"Struct"),"N","Y")</f>
        <v>Y</v>
      </c>
      <c r="G1920" s="153" t="s">
        <v>2609</v>
      </c>
      <c r="H1920" s="155"/>
      <c r="I1920" s="155"/>
      <c r="J1920" s="155"/>
      <c r="K1920" s="155"/>
      <c r="L1920" s="155"/>
      <c r="M1920" s="155"/>
      <c r="N1920" s="54"/>
      <c r="O1920" s="54"/>
      <c r="P1920" s="54"/>
      <c r="Q1920" s="54"/>
      <c r="R1920" s="54"/>
      <c r="S1920" s="54"/>
      <c r="T1920" s="54"/>
    </row>
    <row r="1921" spans="1:20" ht="15" customHeight="1" x14ac:dyDescent="0.2">
      <c r="A1921" s="91"/>
      <c r="B1921" s="158"/>
      <c r="C1921" s="148" t="s">
        <v>2610</v>
      </c>
      <c r="D1921" s="91" t="s">
        <v>293</v>
      </c>
      <c r="E1921" s="46">
        <v>1</v>
      </c>
      <c r="F1921" s="143" t="str">
        <f>IF(AND(ISNA(VLOOKUP(D1921,A:A,1,FALSE())),ISNA(VLOOKUP(D1921,BaseType!A:A,1,FALSE())),D1921&lt;&gt;"Struct"),"N","Y")</f>
        <v>Y</v>
      </c>
      <c r="G1921" s="153" t="s">
        <v>2611</v>
      </c>
      <c r="H1921" s="155"/>
      <c r="I1921" s="155"/>
      <c r="J1921" s="155"/>
      <c r="K1921" s="155"/>
      <c r="L1921" s="155"/>
      <c r="M1921" s="155"/>
      <c r="N1921" s="54"/>
      <c r="O1921" s="54"/>
      <c r="P1921" s="54"/>
      <c r="Q1921" s="54"/>
      <c r="R1921" s="54"/>
      <c r="S1921" s="54"/>
      <c r="T1921" s="54"/>
    </row>
    <row r="1922" spans="1:20" ht="15" customHeight="1" x14ac:dyDescent="0.2">
      <c r="A1922" s="91"/>
      <c r="B1922" s="158"/>
      <c r="C1922" s="148" t="s">
        <v>2612</v>
      </c>
      <c r="D1922" s="91" t="s">
        <v>293</v>
      </c>
      <c r="E1922" s="46">
        <v>1</v>
      </c>
      <c r="F1922" s="143" t="str">
        <f>IF(AND(ISNA(VLOOKUP(D1922,A:A,1,FALSE())),ISNA(VLOOKUP(D1922,BaseType!A:A,1,FALSE())),D1922&lt;&gt;"Struct"),"N","Y")</f>
        <v>Y</v>
      </c>
      <c r="G1922" s="153" t="s">
        <v>2613</v>
      </c>
      <c r="H1922" s="155"/>
      <c r="I1922" s="155"/>
      <c r="J1922" s="155"/>
      <c r="K1922" s="155"/>
      <c r="L1922" s="155"/>
      <c r="M1922" s="155"/>
      <c r="N1922" s="54"/>
      <c r="O1922" s="54"/>
      <c r="P1922" s="54"/>
      <c r="Q1922" s="54"/>
      <c r="R1922" s="54"/>
      <c r="S1922" s="54"/>
      <c r="T1922" s="54"/>
    </row>
    <row r="1923" spans="1:20" ht="15" customHeight="1" x14ac:dyDescent="0.2">
      <c r="A1923" s="91"/>
      <c r="B1923" s="158"/>
      <c r="C1923" s="148" t="s">
        <v>2614</v>
      </c>
      <c r="D1923" s="91" t="s">
        <v>293</v>
      </c>
      <c r="E1923" s="46">
        <v>1</v>
      </c>
      <c r="F1923" s="143" t="str">
        <f>IF(AND(ISNA(VLOOKUP(D1923,A:A,1,FALSE())),ISNA(VLOOKUP(D1923,BaseType!A:A,1,FALSE())),D1923&lt;&gt;"Struct"),"N","Y")</f>
        <v>Y</v>
      </c>
      <c r="G1923" s="153" t="s">
        <v>2615</v>
      </c>
      <c r="H1923" s="155"/>
      <c r="I1923" s="155"/>
      <c r="J1923" s="155"/>
      <c r="K1923" s="155"/>
      <c r="L1923" s="155"/>
      <c r="M1923" s="155"/>
      <c r="N1923" s="54"/>
      <c r="O1923" s="54"/>
      <c r="P1923" s="54"/>
      <c r="Q1923" s="54"/>
      <c r="R1923" s="54"/>
      <c r="S1923" s="54"/>
      <c r="T1923" s="54"/>
    </row>
    <row r="1924" spans="1:20" ht="15" customHeight="1" x14ac:dyDescent="0.2">
      <c r="A1924" s="91"/>
      <c r="B1924" s="158"/>
      <c r="C1924" s="148" t="s">
        <v>2616</v>
      </c>
      <c r="D1924" s="91" t="s">
        <v>293</v>
      </c>
      <c r="E1924" s="46">
        <v>1</v>
      </c>
      <c r="F1924" s="143" t="str">
        <f>IF(AND(ISNA(VLOOKUP(D1924,A:A,1,FALSE())),ISNA(VLOOKUP(D1924,BaseType!A:A,1,FALSE())),D1924&lt;&gt;"Struct"),"N","Y")</f>
        <v>Y</v>
      </c>
      <c r="G1924" s="153" t="s">
        <v>2617</v>
      </c>
      <c r="H1924" s="155"/>
      <c r="I1924" s="155"/>
      <c r="J1924" s="155"/>
      <c r="K1924" s="155"/>
      <c r="L1924" s="155"/>
      <c r="M1924" s="155"/>
      <c r="N1924" s="54"/>
      <c r="O1924" s="54"/>
      <c r="P1924" s="54"/>
      <c r="Q1924" s="54"/>
      <c r="R1924" s="54"/>
      <c r="S1924" s="54"/>
      <c r="T1924" s="54"/>
    </row>
    <row r="1925" spans="1:20" ht="15" customHeight="1" x14ac:dyDescent="0.2">
      <c r="A1925" s="91"/>
      <c r="B1925" s="158"/>
      <c r="C1925" s="148" t="s">
        <v>2618</v>
      </c>
      <c r="D1925" s="91" t="s">
        <v>293</v>
      </c>
      <c r="E1925" s="46">
        <v>1</v>
      </c>
      <c r="F1925" s="143" t="str">
        <f>IF(AND(ISNA(VLOOKUP(D1925,A:A,1,FALSE())),ISNA(VLOOKUP(D1925,BaseType!A:A,1,FALSE())),D1925&lt;&gt;"Struct"),"N","Y")</f>
        <v>Y</v>
      </c>
      <c r="G1925" s="153" t="s">
        <v>2619</v>
      </c>
      <c r="H1925" s="155"/>
      <c r="I1925" s="155"/>
      <c r="J1925" s="155"/>
      <c r="K1925" s="155"/>
      <c r="L1925" s="155"/>
      <c r="M1925" s="155"/>
      <c r="N1925" s="54"/>
      <c r="O1925" s="54"/>
      <c r="P1925" s="54"/>
      <c r="Q1925" s="54"/>
      <c r="R1925" s="54"/>
      <c r="S1925" s="54"/>
      <c r="T1925" s="54"/>
    </row>
    <row r="1926" spans="1:20" ht="15" customHeight="1" x14ac:dyDescent="0.2">
      <c r="A1926" s="91"/>
      <c r="B1926" s="158"/>
      <c r="C1926" s="148" t="s">
        <v>2620</v>
      </c>
      <c r="D1926" s="91" t="s">
        <v>293</v>
      </c>
      <c r="E1926" s="46">
        <v>1</v>
      </c>
      <c r="F1926" s="143" t="str">
        <f>IF(AND(ISNA(VLOOKUP(D1926,A:A,1,FALSE())),ISNA(VLOOKUP(D1926,BaseType!A:A,1,FALSE())),D1926&lt;&gt;"Struct"),"N","Y")</f>
        <v>Y</v>
      </c>
      <c r="G1926" s="153" t="s">
        <v>2621</v>
      </c>
      <c r="H1926" s="155"/>
      <c r="I1926" s="155"/>
      <c r="J1926" s="155"/>
      <c r="K1926" s="155"/>
      <c r="L1926" s="155"/>
      <c r="M1926" s="155"/>
      <c r="N1926" s="54"/>
      <c r="O1926" s="54"/>
      <c r="P1926" s="54"/>
      <c r="Q1926" s="54"/>
      <c r="R1926" s="54"/>
      <c r="S1926" s="54"/>
      <c r="T1926" s="54"/>
    </row>
    <row r="1927" spans="1:20" ht="15" customHeight="1" x14ac:dyDescent="0.2">
      <c r="A1927" s="91"/>
      <c r="B1927" s="158"/>
      <c r="C1927" s="148" t="s">
        <v>2622</v>
      </c>
      <c r="D1927" s="91" t="s">
        <v>293</v>
      </c>
      <c r="E1927" s="46">
        <v>1</v>
      </c>
      <c r="F1927" s="143" t="str">
        <f>IF(AND(ISNA(VLOOKUP(D1927,A:A,1,FALSE())),ISNA(VLOOKUP(D1927,BaseType!A:A,1,FALSE())),D1927&lt;&gt;"Struct"),"N","Y")</f>
        <v>Y</v>
      </c>
      <c r="G1927" s="153" t="s">
        <v>2623</v>
      </c>
      <c r="H1927" s="155"/>
      <c r="I1927" s="155"/>
      <c r="J1927" s="155"/>
      <c r="K1927" s="155"/>
      <c r="L1927" s="155"/>
      <c r="M1927" s="155"/>
      <c r="N1927" s="54"/>
      <c r="O1927" s="54"/>
      <c r="P1927" s="54"/>
      <c r="Q1927" s="54"/>
      <c r="R1927" s="54"/>
      <c r="S1927" s="54"/>
      <c r="T1927" s="54"/>
    </row>
    <row r="1928" spans="1:20" ht="15" customHeight="1" x14ac:dyDescent="0.2">
      <c r="A1928" s="91"/>
      <c r="B1928" s="158"/>
      <c r="C1928" s="148" t="s">
        <v>2624</v>
      </c>
      <c r="D1928" s="91" t="s">
        <v>293</v>
      </c>
      <c r="E1928" s="46">
        <v>1</v>
      </c>
      <c r="F1928" s="143" t="str">
        <f>IF(AND(ISNA(VLOOKUP(D1928,A:A,1,FALSE())),ISNA(VLOOKUP(D1928,BaseType!A:A,1,FALSE())),D1928&lt;&gt;"Struct"),"N","Y")</f>
        <v>Y</v>
      </c>
      <c r="G1928" s="153" t="s">
        <v>2625</v>
      </c>
      <c r="H1928" s="155"/>
      <c r="I1928" s="155"/>
      <c r="J1928" s="155"/>
      <c r="K1928" s="155"/>
      <c r="L1928" s="155"/>
      <c r="M1928" s="155"/>
      <c r="N1928" s="54"/>
      <c r="O1928" s="54"/>
      <c r="P1928" s="54"/>
      <c r="Q1928" s="54"/>
      <c r="R1928" s="54"/>
      <c r="S1928" s="54"/>
      <c r="T1928" s="54"/>
    </row>
    <row r="1929" spans="1:20" ht="15" customHeight="1" x14ac:dyDescent="0.2">
      <c r="A1929" s="91"/>
      <c r="B1929" s="158" t="s">
        <v>358</v>
      </c>
      <c r="C1929" s="148" t="s">
        <v>2626</v>
      </c>
      <c r="D1929" s="91" t="s">
        <v>293</v>
      </c>
      <c r="E1929" s="46">
        <v>1</v>
      </c>
      <c r="F1929" s="143" t="str">
        <f>IF(AND(ISNA(VLOOKUP(D1929,A:A,1,FALSE())),ISNA(VLOOKUP(D1929,BaseType!A:A,1,FALSE())),D1929&lt;&gt;"Struct"),"N","Y")</f>
        <v>Y</v>
      </c>
      <c r="G1929" s="153" t="s">
        <v>2627</v>
      </c>
      <c r="H1929" s="155"/>
      <c r="I1929" s="155"/>
      <c r="J1929" s="155"/>
      <c r="K1929" s="155"/>
      <c r="L1929" s="155"/>
      <c r="M1929" s="155"/>
      <c r="N1929" s="54"/>
      <c r="O1929" s="54"/>
      <c r="P1929" s="54"/>
      <c r="Q1929" s="54"/>
      <c r="R1929" s="54"/>
      <c r="S1929" s="54"/>
      <c r="T1929" s="54"/>
    </row>
    <row r="1930" spans="1:20" ht="15" customHeight="1" x14ac:dyDescent="0.2">
      <c r="A1930" s="91"/>
      <c r="B1930" s="158"/>
      <c r="C1930" s="148" t="s">
        <v>2628</v>
      </c>
      <c r="D1930" s="91" t="s">
        <v>293</v>
      </c>
      <c r="E1930" s="46">
        <v>1</v>
      </c>
      <c r="F1930" s="143" t="str">
        <f>IF(AND(ISNA(VLOOKUP(D1930,A:A,1,FALSE())),ISNA(VLOOKUP(D1930,BaseType!A:A,1,FALSE())),D1930&lt;&gt;"Struct"),"N","Y")</f>
        <v>Y</v>
      </c>
      <c r="G1930" s="153" t="s">
        <v>2629</v>
      </c>
      <c r="H1930" s="155"/>
      <c r="I1930" s="155"/>
      <c r="J1930" s="155"/>
      <c r="K1930" s="155"/>
      <c r="L1930" s="155"/>
      <c r="M1930" s="155"/>
      <c r="N1930" s="54"/>
      <c r="O1930" s="54"/>
      <c r="P1930" s="54"/>
      <c r="Q1930" s="54"/>
      <c r="R1930" s="54"/>
      <c r="S1930" s="54"/>
      <c r="T1930" s="54"/>
    </row>
    <row r="1931" spans="1:20" ht="15" customHeight="1" x14ac:dyDescent="0.2">
      <c r="A1931" s="91"/>
      <c r="B1931" s="158"/>
      <c r="C1931" s="148" t="s">
        <v>2630</v>
      </c>
      <c r="D1931" s="91" t="s">
        <v>293</v>
      </c>
      <c r="E1931" s="46">
        <v>1</v>
      </c>
      <c r="F1931" s="143" t="str">
        <f>IF(AND(ISNA(VLOOKUP(D1931,A:A,1,FALSE())),ISNA(VLOOKUP(D1931,BaseType!A:A,1,FALSE())),D1931&lt;&gt;"Struct"),"N","Y")</f>
        <v>Y</v>
      </c>
      <c r="G1931" s="153" t="s">
        <v>2631</v>
      </c>
      <c r="H1931" s="155"/>
      <c r="I1931" s="155"/>
      <c r="J1931" s="155"/>
      <c r="K1931" s="155"/>
      <c r="L1931" s="155"/>
      <c r="M1931" s="155"/>
      <c r="N1931" s="54"/>
      <c r="O1931" s="54"/>
      <c r="P1931" s="54"/>
      <c r="Q1931" s="54"/>
      <c r="R1931" s="54"/>
      <c r="S1931" s="54"/>
      <c r="T1931" s="54"/>
    </row>
    <row r="1932" spans="1:20" ht="15" customHeight="1" x14ac:dyDescent="0.2">
      <c r="A1932" s="91"/>
      <c r="B1932" s="158"/>
      <c r="C1932" s="148" t="s">
        <v>2632</v>
      </c>
      <c r="D1932" s="91" t="s">
        <v>293</v>
      </c>
      <c r="E1932" s="46">
        <v>1</v>
      </c>
      <c r="F1932" s="143" t="str">
        <f>IF(AND(ISNA(VLOOKUP(D1932,A:A,1,FALSE())),ISNA(VLOOKUP(D1932,BaseType!A:A,1,FALSE())),D1932&lt;&gt;"Struct"),"N","Y")</f>
        <v>Y</v>
      </c>
      <c r="G1932" s="153" t="s">
        <v>2633</v>
      </c>
      <c r="H1932" s="155"/>
      <c r="I1932" s="155"/>
      <c r="J1932" s="155"/>
      <c r="K1932" s="155"/>
      <c r="L1932" s="155"/>
      <c r="M1932" s="155"/>
      <c r="N1932" s="54"/>
      <c r="O1932" s="54"/>
      <c r="P1932" s="54"/>
      <c r="Q1932" s="54"/>
      <c r="R1932" s="54"/>
      <c r="S1932" s="54"/>
      <c r="T1932" s="54"/>
    </row>
    <row r="1933" spans="1:20" ht="15" customHeight="1" x14ac:dyDescent="0.2">
      <c r="A1933" s="91"/>
      <c r="B1933" s="158"/>
      <c r="C1933" s="148" t="s">
        <v>2634</v>
      </c>
      <c r="D1933" s="91" t="s">
        <v>293</v>
      </c>
      <c r="E1933" s="46">
        <v>1</v>
      </c>
      <c r="F1933" s="143" t="str">
        <f>IF(AND(ISNA(VLOOKUP(D1933,A:A,1,FALSE())),ISNA(VLOOKUP(D1933,BaseType!A:A,1,FALSE())),D1933&lt;&gt;"Struct"),"N","Y")</f>
        <v>Y</v>
      </c>
      <c r="G1933" s="153" t="s">
        <v>2635</v>
      </c>
      <c r="H1933" s="155"/>
      <c r="I1933" s="155"/>
      <c r="J1933" s="155"/>
      <c r="K1933" s="155"/>
      <c r="L1933" s="155"/>
      <c r="M1933" s="155"/>
      <c r="N1933" s="54"/>
      <c r="O1933" s="54"/>
      <c r="P1933" s="54"/>
      <c r="Q1933" s="54"/>
      <c r="R1933" s="54"/>
      <c r="S1933" s="54"/>
      <c r="T1933" s="54"/>
    </row>
    <row r="1934" spans="1:20" ht="15" customHeight="1" x14ac:dyDescent="0.2">
      <c r="A1934" s="91"/>
      <c r="B1934" s="158"/>
      <c r="C1934" s="148" t="s">
        <v>2636</v>
      </c>
      <c r="D1934" s="91" t="s">
        <v>293</v>
      </c>
      <c r="E1934" s="46">
        <v>1</v>
      </c>
      <c r="F1934" s="143" t="str">
        <f>IF(AND(ISNA(VLOOKUP(D1934,A:A,1,FALSE())),ISNA(VLOOKUP(D1934,BaseType!A:A,1,FALSE())),D1934&lt;&gt;"Struct"),"N","Y")</f>
        <v>Y</v>
      </c>
      <c r="G1934" s="153" t="s">
        <v>2637</v>
      </c>
      <c r="H1934" s="155"/>
      <c r="I1934" s="155"/>
      <c r="J1934" s="155"/>
      <c r="K1934" s="155"/>
      <c r="L1934" s="155"/>
      <c r="M1934" s="155"/>
      <c r="N1934" s="54"/>
      <c r="O1934" s="54"/>
      <c r="P1934" s="54"/>
      <c r="Q1934" s="54"/>
      <c r="R1934" s="54"/>
      <c r="S1934" s="54"/>
      <c r="T1934" s="54"/>
    </row>
    <row r="1935" spans="1:20" ht="15" customHeight="1" x14ac:dyDescent="0.2">
      <c r="A1935" s="91"/>
      <c r="B1935" s="158"/>
      <c r="C1935" s="148" t="s">
        <v>2638</v>
      </c>
      <c r="D1935" s="91" t="s">
        <v>293</v>
      </c>
      <c r="E1935" s="46">
        <v>1</v>
      </c>
      <c r="F1935" s="143" t="str">
        <f>IF(AND(ISNA(VLOOKUP(D1935,A:A,1,FALSE())),ISNA(VLOOKUP(D1935,BaseType!A:A,1,FALSE())),D1935&lt;&gt;"Struct"),"N","Y")</f>
        <v>Y</v>
      </c>
      <c r="G1935" s="153" t="s">
        <v>2639</v>
      </c>
      <c r="H1935" s="155"/>
      <c r="I1935" s="155"/>
      <c r="J1935" s="155"/>
      <c r="K1935" s="155"/>
      <c r="L1935" s="155"/>
      <c r="M1935" s="155"/>
      <c r="N1935" s="54"/>
      <c r="O1935" s="54"/>
      <c r="P1935" s="54"/>
      <c r="Q1935" s="54"/>
      <c r="R1935" s="54"/>
      <c r="S1935" s="54"/>
      <c r="T1935" s="54"/>
    </row>
    <row r="1936" spans="1:20" ht="15" customHeight="1" x14ac:dyDescent="0.2">
      <c r="A1936" s="91"/>
      <c r="B1936" s="158"/>
      <c r="C1936" s="148" t="s">
        <v>2640</v>
      </c>
      <c r="D1936" s="91" t="s">
        <v>293</v>
      </c>
      <c r="E1936" s="46">
        <v>1</v>
      </c>
      <c r="F1936" s="143" t="str">
        <f>IF(AND(ISNA(VLOOKUP(D1936,A:A,1,FALSE())),ISNA(VLOOKUP(D1936,BaseType!A:A,1,FALSE())),D1936&lt;&gt;"Struct"),"N","Y")</f>
        <v>Y</v>
      </c>
      <c r="G1936" s="153" t="s">
        <v>2641</v>
      </c>
      <c r="H1936" s="155"/>
      <c r="I1936" s="155"/>
      <c r="J1936" s="155"/>
      <c r="K1936" s="155"/>
      <c r="L1936" s="155"/>
      <c r="M1936" s="155"/>
      <c r="N1936" s="54"/>
      <c r="O1936" s="54"/>
      <c r="P1936" s="54"/>
      <c r="Q1936" s="54"/>
      <c r="R1936" s="54"/>
      <c r="S1936" s="54"/>
      <c r="T1936" s="54"/>
    </row>
    <row r="1937" spans="1:20" ht="15" customHeight="1" x14ac:dyDescent="0.2">
      <c r="A1937" s="91"/>
      <c r="B1937" s="158"/>
      <c r="C1937" s="148" t="s">
        <v>2642</v>
      </c>
      <c r="D1937" s="91" t="s">
        <v>293</v>
      </c>
      <c r="E1937" s="46">
        <v>1</v>
      </c>
      <c r="F1937" s="143" t="str">
        <f>IF(AND(ISNA(VLOOKUP(D1937,A:A,1,FALSE())),ISNA(VLOOKUP(D1937,BaseType!A:A,1,FALSE())),D1937&lt;&gt;"Struct"),"N","Y")</f>
        <v>Y</v>
      </c>
      <c r="G1937" s="153" t="s">
        <v>2643</v>
      </c>
      <c r="H1937" s="155"/>
      <c r="I1937" s="155"/>
      <c r="J1937" s="155"/>
      <c r="K1937" s="155"/>
      <c r="L1937" s="155"/>
      <c r="M1937" s="155"/>
      <c r="N1937" s="54"/>
      <c r="O1937" s="54"/>
      <c r="P1937" s="54"/>
      <c r="Q1937" s="54"/>
      <c r="R1937" s="54"/>
      <c r="S1937" s="54"/>
      <c r="T1937" s="54"/>
    </row>
    <row r="1938" spans="1:20" ht="15" customHeight="1" x14ac:dyDescent="0.2">
      <c r="A1938" s="91"/>
      <c r="B1938" s="158"/>
      <c r="C1938" s="148" t="s">
        <v>2644</v>
      </c>
      <c r="D1938" s="91" t="s">
        <v>293</v>
      </c>
      <c r="E1938" s="46">
        <v>1</v>
      </c>
      <c r="F1938" s="143" t="str">
        <f>IF(AND(ISNA(VLOOKUP(D1938,A:A,1,FALSE())),ISNA(VLOOKUP(D1938,BaseType!A:A,1,FALSE())),D1938&lt;&gt;"Struct"),"N","Y")</f>
        <v>Y</v>
      </c>
      <c r="G1938" s="153" t="s">
        <v>2645</v>
      </c>
      <c r="H1938" s="155"/>
      <c r="I1938" s="155"/>
      <c r="J1938" s="155"/>
      <c r="K1938" s="155"/>
      <c r="L1938" s="155"/>
      <c r="M1938" s="155"/>
      <c r="N1938" s="54"/>
      <c r="O1938" s="54"/>
      <c r="P1938" s="54"/>
      <c r="Q1938" s="54"/>
      <c r="R1938" s="54"/>
      <c r="S1938" s="54"/>
      <c r="T1938" s="54"/>
    </row>
    <row r="1939" spans="1:20" ht="15" customHeight="1" x14ac:dyDescent="0.2">
      <c r="A1939" s="91"/>
      <c r="B1939" s="158"/>
      <c r="C1939" s="148" t="s">
        <v>2646</v>
      </c>
      <c r="D1939" s="91" t="s">
        <v>293</v>
      </c>
      <c r="E1939" s="46">
        <v>1</v>
      </c>
      <c r="F1939" s="143" t="str">
        <f>IF(AND(ISNA(VLOOKUP(D1939,A:A,1,FALSE())),ISNA(VLOOKUP(D1939,BaseType!A:A,1,FALSE())),D1939&lt;&gt;"Struct"),"N","Y")</f>
        <v>Y</v>
      </c>
      <c r="G1939" s="153" t="s">
        <v>2647</v>
      </c>
      <c r="H1939" s="155"/>
      <c r="I1939" s="155"/>
      <c r="J1939" s="155"/>
      <c r="K1939" s="155"/>
      <c r="L1939" s="155"/>
      <c r="M1939" s="155"/>
      <c r="N1939" s="54"/>
      <c r="O1939" s="54"/>
      <c r="P1939" s="54"/>
      <c r="Q1939" s="54"/>
      <c r="R1939" s="54"/>
      <c r="S1939" s="54"/>
      <c r="T1939" s="54"/>
    </row>
    <row r="1940" spans="1:20" ht="15" customHeight="1" x14ac:dyDescent="0.2">
      <c r="A1940" s="91"/>
      <c r="B1940" s="158"/>
      <c r="C1940" s="148" t="s">
        <v>2648</v>
      </c>
      <c r="D1940" s="91" t="s">
        <v>293</v>
      </c>
      <c r="E1940" s="46">
        <v>1</v>
      </c>
      <c r="F1940" s="143" t="str">
        <f>IF(AND(ISNA(VLOOKUP(D1940,A:A,1,FALSE())),ISNA(VLOOKUP(D1940,BaseType!A:A,1,FALSE())),D1940&lt;&gt;"Struct"),"N","Y")</f>
        <v>Y</v>
      </c>
      <c r="G1940" s="153" t="s">
        <v>2649</v>
      </c>
      <c r="H1940" s="155"/>
      <c r="I1940" s="155"/>
      <c r="J1940" s="155"/>
      <c r="K1940" s="155"/>
      <c r="L1940" s="155"/>
      <c r="M1940" s="155"/>
      <c r="N1940" s="54"/>
      <c r="O1940" s="54"/>
      <c r="P1940" s="54"/>
      <c r="Q1940" s="54"/>
      <c r="R1940" s="54"/>
      <c r="S1940" s="54"/>
      <c r="T1940" s="54"/>
    </row>
    <row r="1941" spans="1:20" ht="15" customHeight="1" x14ac:dyDescent="0.2">
      <c r="A1941" s="91"/>
      <c r="B1941" s="158"/>
      <c r="C1941" s="148" t="s">
        <v>2650</v>
      </c>
      <c r="D1941" s="148" t="s">
        <v>2651</v>
      </c>
      <c r="E1941" s="46">
        <v>1</v>
      </c>
      <c r="F1941" s="143" t="str">
        <f>IF(AND(ISNA(VLOOKUP(D1941,A:A,1,FALSE())),ISNA(VLOOKUP(D1941,BaseType!A:A,1,FALSE())),D1941&lt;&gt;"Struct"),"N","Y")</f>
        <v>Y</v>
      </c>
      <c r="G1941" s="153" t="s">
        <v>2652</v>
      </c>
      <c r="H1941" s="155"/>
      <c r="I1941" s="155"/>
      <c r="J1941" s="155"/>
      <c r="K1941" s="155"/>
      <c r="L1941" s="155"/>
      <c r="M1941" s="155"/>
      <c r="N1941" s="54"/>
      <c r="O1941" s="54"/>
      <c r="P1941" s="54"/>
      <c r="Q1941" s="54"/>
      <c r="R1941" s="54"/>
      <c r="S1941" s="54"/>
      <c r="T1941" s="54"/>
    </row>
    <row r="1942" spans="1:20" ht="15" customHeight="1" x14ac:dyDescent="0.2">
      <c r="A1942" s="91"/>
      <c r="B1942" s="158"/>
      <c r="C1942" s="148" t="s">
        <v>2653</v>
      </c>
      <c r="D1942" s="148" t="s">
        <v>2654</v>
      </c>
      <c r="E1942" s="46">
        <v>1</v>
      </c>
      <c r="F1942" s="143" t="str">
        <f>IF(AND(ISNA(VLOOKUP(D1942,A:A,1,FALSE())),ISNA(VLOOKUP(D1942,BaseType!A:A,1,FALSE())),D1942&lt;&gt;"Struct"),"N","Y")</f>
        <v>Y</v>
      </c>
      <c r="G1942" s="153" t="s">
        <v>2655</v>
      </c>
      <c r="H1942" s="155"/>
      <c r="I1942" s="155"/>
      <c r="J1942" s="155"/>
      <c r="K1942" s="155"/>
      <c r="L1942" s="155"/>
      <c r="M1942" s="155"/>
      <c r="N1942" s="54"/>
      <c r="O1942" s="54"/>
      <c r="P1942" s="54"/>
      <c r="Q1942" s="54"/>
      <c r="R1942" s="54"/>
      <c r="S1942" s="54"/>
      <c r="T1942" s="54"/>
    </row>
    <row r="1943" spans="1:20" ht="15" customHeight="1" x14ac:dyDescent="0.2">
      <c r="A1943" s="91"/>
      <c r="B1943" s="158"/>
      <c r="C1943" s="148" t="s">
        <v>2656</v>
      </c>
      <c r="D1943" s="91" t="s">
        <v>293</v>
      </c>
      <c r="E1943" s="46">
        <v>1</v>
      </c>
      <c r="F1943" s="143" t="str">
        <f>IF(AND(ISNA(VLOOKUP(D1943,A:A,1,FALSE())),ISNA(VLOOKUP(D1943,BaseType!A:A,1,FALSE())),D1943&lt;&gt;"Struct"),"N","Y")</f>
        <v>Y</v>
      </c>
      <c r="G1943" s="153" t="s">
        <v>2657</v>
      </c>
      <c r="H1943" s="155"/>
      <c r="I1943" s="155"/>
      <c r="J1943" s="155"/>
      <c r="K1943" s="155"/>
      <c r="L1943" s="155"/>
      <c r="M1943" s="155"/>
      <c r="N1943" s="54"/>
      <c r="O1943" s="54"/>
      <c r="P1943" s="54"/>
      <c r="Q1943" s="54"/>
      <c r="R1943" s="54"/>
      <c r="S1943" s="54"/>
      <c r="T1943" s="54"/>
    </row>
    <row r="1944" spans="1:20" ht="15" customHeight="1" x14ac:dyDescent="0.2">
      <c r="A1944" s="91"/>
      <c r="B1944" s="158"/>
      <c r="C1944" s="148" t="s">
        <v>2658</v>
      </c>
      <c r="D1944" s="91" t="s">
        <v>293</v>
      </c>
      <c r="E1944" s="46">
        <v>1</v>
      </c>
      <c r="F1944" s="143" t="str">
        <f>IF(AND(ISNA(VLOOKUP(D1944,A:A,1,FALSE())),ISNA(VLOOKUP(D1944,BaseType!A:A,1,FALSE())),D1944&lt;&gt;"Struct"),"N","Y")</f>
        <v>Y</v>
      </c>
      <c r="G1944" s="153" t="s">
        <v>2659</v>
      </c>
      <c r="H1944" s="155"/>
      <c r="I1944" s="155"/>
      <c r="J1944" s="155"/>
      <c r="K1944" s="155"/>
      <c r="L1944" s="155"/>
      <c r="M1944" s="155"/>
      <c r="N1944" s="54"/>
      <c r="O1944" s="54"/>
      <c r="P1944" s="54"/>
      <c r="Q1944" s="54"/>
      <c r="R1944" s="54"/>
      <c r="S1944" s="54"/>
      <c r="T1944" s="54"/>
    </row>
    <row r="1945" spans="1:20" ht="15" customHeight="1" x14ac:dyDescent="0.2">
      <c r="A1945" s="91"/>
      <c r="B1945" s="158"/>
      <c r="C1945" s="148" t="s">
        <v>2660</v>
      </c>
      <c r="D1945" s="91" t="s">
        <v>293</v>
      </c>
      <c r="E1945" s="46">
        <v>1</v>
      </c>
      <c r="F1945" s="143" t="str">
        <f>IF(AND(ISNA(VLOOKUP(D1945,A:A,1,FALSE())),ISNA(VLOOKUP(D1945,BaseType!A:A,1,FALSE())),D1945&lt;&gt;"Struct"),"N","Y")</f>
        <v>Y</v>
      </c>
      <c r="G1945" s="153" t="s">
        <v>2661</v>
      </c>
      <c r="H1945" s="155"/>
      <c r="I1945" s="155"/>
      <c r="J1945" s="155"/>
      <c r="K1945" s="155"/>
      <c r="L1945" s="155"/>
      <c r="M1945" s="155"/>
      <c r="N1945" s="54"/>
      <c r="O1945" s="54"/>
      <c r="P1945" s="54"/>
      <c r="Q1945" s="54"/>
      <c r="R1945" s="54"/>
      <c r="S1945" s="54"/>
      <c r="T1945" s="54"/>
    </row>
    <row r="1946" spans="1:20" ht="15" customHeight="1" x14ac:dyDescent="0.2">
      <c r="A1946" s="91"/>
      <c r="B1946" s="158"/>
      <c r="C1946" s="148" t="s">
        <v>2662</v>
      </c>
      <c r="D1946" s="91" t="s">
        <v>293</v>
      </c>
      <c r="E1946" s="46">
        <v>1</v>
      </c>
      <c r="F1946" s="143" t="str">
        <f>IF(AND(ISNA(VLOOKUP(D1946,A:A,1,FALSE())),ISNA(VLOOKUP(D1946,BaseType!A:A,1,FALSE())),D1946&lt;&gt;"Struct"),"N","Y")</f>
        <v>Y</v>
      </c>
      <c r="G1946" s="153" t="s">
        <v>2663</v>
      </c>
      <c r="H1946" s="155"/>
      <c r="I1946" s="155"/>
      <c r="J1946" s="155"/>
      <c r="K1946" s="155"/>
      <c r="L1946" s="155"/>
      <c r="M1946" s="155"/>
      <c r="N1946" s="54"/>
      <c r="O1946" s="54"/>
      <c r="P1946" s="54"/>
      <c r="Q1946" s="54"/>
      <c r="R1946" s="54"/>
      <c r="S1946" s="54"/>
      <c r="T1946" s="54"/>
    </row>
    <row r="1947" spans="1:20" ht="15" customHeight="1" x14ac:dyDescent="0.2">
      <c r="A1947" s="91"/>
      <c r="B1947" s="158"/>
      <c r="C1947" s="148" t="s">
        <v>2664</v>
      </c>
      <c r="D1947" s="91" t="s">
        <v>293</v>
      </c>
      <c r="E1947" s="46">
        <v>1</v>
      </c>
      <c r="F1947" s="143" t="str">
        <f>IF(AND(ISNA(VLOOKUP(D1947,A:A,1,FALSE())),ISNA(VLOOKUP(D1947,BaseType!A:A,1,FALSE())),D1947&lt;&gt;"Struct"),"N","Y")</f>
        <v>Y</v>
      </c>
      <c r="G1947" s="153" t="s">
        <v>2665</v>
      </c>
      <c r="H1947" s="155"/>
      <c r="I1947" s="155"/>
      <c r="J1947" s="155"/>
      <c r="K1947" s="155"/>
      <c r="L1947" s="155"/>
      <c r="M1947" s="155"/>
      <c r="N1947" s="54"/>
      <c r="O1947" s="54"/>
      <c r="P1947" s="54"/>
      <c r="Q1947" s="54"/>
      <c r="R1947" s="54"/>
      <c r="S1947" s="54"/>
      <c r="T1947" s="54"/>
    </row>
    <row r="1948" spans="1:20" ht="15" customHeight="1" x14ac:dyDescent="0.2">
      <c r="A1948" s="91"/>
      <c r="B1948" s="158"/>
      <c r="C1948" s="148" t="s">
        <v>2666</v>
      </c>
      <c r="D1948" s="91" t="s">
        <v>293</v>
      </c>
      <c r="E1948" s="46">
        <v>1</v>
      </c>
      <c r="F1948" s="143" t="str">
        <f>IF(AND(ISNA(VLOOKUP(D1948,A:A,1,FALSE())),ISNA(VLOOKUP(D1948,BaseType!A:A,1,FALSE())),D1948&lt;&gt;"Struct"),"N","Y")</f>
        <v>Y</v>
      </c>
      <c r="G1948" s="153" t="s">
        <v>2667</v>
      </c>
      <c r="H1948" s="155"/>
      <c r="I1948" s="155"/>
      <c r="J1948" s="155"/>
      <c r="K1948" s="155"/>
      <c r="L1948" s="155"/>
      <c r="M1948" s="155"/>
      <c r="N1948" s="54"/>
      <c r="O1948" s="54"/>
      <c r="P1948" s="54"/>
      <c r="Q1948" s="54"/>
      <c r="R1948" s="54"/>
      <c r="S1948" s="54"/>
      <c r="T1948" s="54"/>
    </row>
    <row r="1949" spans="1:20" ht="15" customHeight="1" x14ac:dyDescent="0.2">
      <c r="A1949" s="91"/>
      <c r="B1949" s="158"/>
      <c r="C1949" s="148" t="s">
        <v>2668</v>
      </c>
      <c r="D1949" s="91" t="s">
        <v>293</v>
      </c>
      <c r="E1949" s="46">
        <v>1</v>
      </c>
      <c r="F1949" s="143" t="str">
        <f>IF(AND(ISNA(VLOOKUP(D1949,A:A,1,FALSE())),ISNA(VLOOKUP(D1949,BaseType!A:A,1,FALSE())),D1949&lt;&gt;"Struct"),"N","Y")</f>
        <v>Y</v>
      </c>
      <c r="G1949" s="153" t="s">
        <v>2669</v>
      </c>
      <c r="H1949" s="155"/>
      <c r="I1949" s="155"/>
      <c r="J1949" s="155"/>
      <c r="K1949" s="155"/>
      <c r="L1949" s="155"/>
      <c r="M1949" s="155"/>
      <c r="N1949" s="54"/>
      <c r="O1949" s="54"/>
      <c r="P1949" s="54"/>
      <c r="Q1949" s="54"/>
      <c r="R1949" s="54"/>
      <c r="S1949" s="54"/>
      <c r="T1949" s="54"/>
    </row>
    <row r="1950" spans="1:20" ht="15" customHeight="1" x14ac:dyDescent="0.2">
      <c r="A1950" s="91"/>
      <c r="B1950" s="158"/>
      <c r="C1950" s="148" t="s">
        <v>2670</v>
      </c>
      <c r="D1950" s="148" t="s">
        <v>2671</v>
      </c>
      <c r="E1950" s="46">
        <v>1</v>
      </c>
      <c r="F1950" s="143" t="str">
        <f>IF(AND(ISNA(VLOOKUP(D1950,A:A,1,FALSE())),ISNA(VLOOKUP(D1950,BaseType!A:A,1,FALSE())),D1950&lt;&gt;"Struct"),"N","Y")</f>
        <v>Y</v>
      </c>
      <c r="G1950" s="153" t="s">
        <v>2672</v>
      </c>
      <c r="H1950" s="155"/>
      <c r="I1950" s="155"/>
      <c r="J1950" s="155"/>
      <c r="K1950" s="155"/>
      <c r="L1950" s="155"/>
      <c r="M1950" s="155"/>
      <c r="N1950" s="54"/>
      <c r="O1950" s="54"/>
      <c r="P1950" s="54"/>
      <c r="Q1950" s="54"/>
      <c r="R1950" s="54"/>
      <c r="S1950" s="54"/>
      <c r="T1950" s="54"/>
    </row>
    <row r="1951" spans="1:20" ht="15" customHeight="1" x14ac:dyDescent="0.2">
      <c r="A1951" s="91"/>
      <c r="B1951" s="158"/>
      <c r="C1951" s="148" t="s">
        <v>2673</v>
      </c>
      <c r="D1951" s="91" t="s">
        <v>293</v>
      </c>
      <c r="E1951" s="46">
        <v>1</v>
      </c>
      <c r="F1951" s="143" t="str">
        <f>IF(AND(ISNA(VLOOKUP(D1951,A:A,1,FALSE())),ISNA(VLOOKUP(D1951,BaseType!A:A,1,FALSE())),D1951&lt;&gt;"Struct"),"N","Y")</f>
        <v>Y</v>
      </c>
      <c r="G1951" s="153" t="s">
        <v>2674</v>
      </c>
      <c r="H1951" s="155"/>
      <c r="I1951" s="155"/>
      <c r="J1951" s="155"/>
      <c r="K1951" s="155"/>
      <c r="L1951" s="155"/>
      <c r="M1951" s="155"/>
      <c r="N1951" s="54"/>
      <c r="O1951" s="54"/>
      <c r="P1951" s="54"/>
      <c r="Q1951" s="54"/>
      <c r="R1951" s="54"/>
      <c r="S1951" s="54"/>
      <c r="T1951" s="54"/>
    </row>
    <row r="1952" spans="1:20" ht="15" customHeight="1" x14ac:dyDescent="0.2">
      <c r="A1952" s="91"/>
      <c r="B1952" s="158"/>
      <c r="C1952" s="148" t="s">
        <v>2675</v>
      </c>
      <c r="D1952" s="91" t="s">
        <v>293</v>
      </c>
      <c r="E1952" s="46">
        <v>1</v>
      </c>
      <c r="F1952" s="143" t="str">
        <f>IF(AND(ISNA(VLOOKUP(D1952,A:A,1,FALSE())),ISNA(VLOOKUP(D1952,BaseType!A:A,1,FALSE())),D1952&lt;&gt;"Struct"),"N","Y")</f>
        <v>Y</v>
      </c>
      <c r="G1952" s="153" t="s">
        <v>2676</v>
      </c>
      <c r="H1952" s="155"/>
      <c r="I1952" s="155"/>
      <c r="J1952" s="155"/>
      <c r="K1952" s="155"/>
      <c r="L1952" s="155"/>
      <c r="M1952" s="155"/>
      <c r="N1952" s="54"/>
      <c r="O1952" s="54"/>
      <c r="P1952" s="54"/>
      <c r="Q1952" s="54"/>
      <c r="R1952" s="54"/>
      <c r="S1952" s="54"/>
      <c r="T1952" s="54"/>
    </row>
    <row r="1953" spans="1:20" ht="15" customHeight="1" x14ac:dyDescent="0.2">
      <c r="A1953" s="91"/>
      <c r="B1953" s="158"/>
      <c r="C1953" s="148" t="s">
        <v>2677</v>
      </c>
      <c r="D1953" s="91" t="s">
        <v>293</v>
      </c>
      <c r="E1953" s="46">
        <v>1</v>
      </c>
      <c r="F1953" s="143" t="str">
        <f>IF(AND(ISNA(VLOOKUP(D1953,A:A,1,FALSE())),ISNA(VLOOKUP(D1953,BaseType!A:A,1,FALSE())),D1953&lt;&gt;"Struct"),"N","Y")</f>
        <v>Y</v>
      </c>
      <c r="G1953" s="153" t="s">
        <v>2678</v>
      </c>
      <c r="H1953" s="155"/>
      <c r="I1953" s="155"/>
      <c r="J1953" s="155"/>
      <c r="K1953" s="155"/>
      <c r="L1953" s="155"/>
      <c r="M1953" s="155"/>
      <c r="N1953" s="54"/>
      <c r="O1953" s="54"/>
      <c r="P1953" s="54"/>
      <c r="Q1953" s="54"/>
      <c r="R1953" s="54"/>
      <c r="S1953" s="54"/>
      <c r="T1953" s="54"/>
    </row>
    <row r="1954" spans="1:20" ht="15" customHeight="1" x14ac:dyDescent="0.2">
      <c r="A1954" s="91"/>
      <c r="B1954" s="158"/>
      <c r="C1954" s="148" t="s">
        <v>2679</v>
      </c>
      <c r="D1954" s="91" t="s">
        <v>293</v>
      </c>
      <c r="E1954" s="46">
        <v>1</v>
      </c>
      <c r="F1954" s="143" t="str">
        <f>IF(AND(ISNA(VLOOKUP(D1954,A:A,1,FALSE())),ISNA(VLOOKUP(D1954,BaseType!A:A,1,FALSE())),D1954&lt;&gt;"Struct"),"N","Y")</f>
        <v>Y</v>
      </c>
      <c r="G1954" s="153" t="s">
        <v>2680</v>
      </c>
      <c r="H1954" s="155"/>
      <c r="I1954" s="155"/>
      <c r="J1954" s="155"/>
      <c r="K1954" s="155"/>
      <c r="L1954" s="155"/>
      <c r="M1954" s="155"/>
      <c r="N1954" s="54"/>
      <c r="O1954" s="54"/>
      <c r="P1954" s="54"/>
      <c r="Q1954" s="54"/>
      <c r="R1954" s="54"/>
      <c r="S1954" s="54"/>
      <c r="T1954" s="54"/>
    </row>
    <row r="1955" spans="1:20" ht="15" customHeight="1" x14ac:dyDescent="0.2">
      <c r="A1955" s="91"/>
      <c r="B1955" s="158"/>
      <c r="C1955" s="148" t="s">
        <v>2681</v>
      </c>
      <c r="D1955" s="91" t="s">
        <v>293</v>
      </c>
      <c r="E1955" s="46">
        <v>1</v>
      </c>
      <c r="F1955" s="143" t="str">
        <f>IF(AND(ISNA(VLOOKUP(D1955,A:A,1,FALSE())),ISNA(VLOOKUP(D1955,BaseType!A:A,1,FALSE())),D1955&lt;&gt;"Struct"),"N","Y")</f>
        <v>Y</v>
      </c>
      <c r="G1955" s="153" t="s">
        <v>2682</v>
      </c>
      <c r="H1955" s="155"/>
      <c r="I1955" s="155"/>
      <c r="J1955" s="155"/>
      <c r="K1955" s="155"/>
      <c r="L1955" s="155"/>
      <c r="M1955" s="155"/>
      <c r="N1955" s="54"/>
      <c r="O1955" s="54"/>
      <c r="P1955" s="54"/>
      <c r="Q1955" s="54"/>
      <c r="R1955" s="54"/>
      <c r="S1955" s="54"/>
      <c r="T1955" s="54"/>
    </row>
    <row r="1956" spans="1:20" ht="15" customHeight="1" x14ac:dyDescent="0.2">
      <c r="A1956" s="91"/>
      <c r="B1956" s="158"/>
      <c r="C1956" s="148" t="s">
        <v>2683</v>
      </c>
      <c r="D1956" s="91" t="s">
        <v>293</v>
      </c>
      <c r="E1956" s="46">
        <v>1</v>
      </c>
      <c r="F1956" s="143" t="str">
        <f>IF(AND(ISNA(VLOOKUP(D1956,A:A,1,FALSE())),ISNA(VLOOKUP(D1956,BaseType!A:A,1,FALSE())),D1956&lt;&gt;"Struct"),"N","Y")</f>
        <v>Y</v>
      </c>
      <c r="G1956" s="153" t="s">
        <v>2684</v>
      </c>
      <c r="H1956" s="155"/>
      <c r="I1956" s="155"/>
      <c r="J1956" s="155"/>
      <c r="K1956" s="155"/>
      <c r="L1956" s="155"/>
      <c r="M1956" s="155"/>
      <c r="N1956" s="54"/>
      <c r="O1956" s="54"/>
      <c r="P1956" s="54"/>
      <c r="Q1956" s="54"/>
      <c r="R1956" s="54"/>
      <c r="S1956" s="54"/>
      <c r="T1956" s="54"/>
    </row>
    <row r="1957" spans="1:20" ht="15" customHeight="1" x14ac:dyDescent="0.2">
      <c r="A1957" s="91"/>
      <c r="B1957" s="158"/>
      <c r="C1957" s="148" t="s">
        <v>2685</v>
      </c>
      <c r="D1957" s="91" t="s">
        <v>293</v>
      </c>
      <c r="E1957" s="46">
        <v>1</v>
      </c>
      <c r="F1957" s="143" t="str">
        <f>IF(AND(ISNA(VLOOKUP(D1957,A:A,1,FALSE())),ISNA(VLOOKUP(D1957,BaseType!A:A,1,FALSE())),D1957&lt;&gt;"Struct"),"N","Y")</f>
        <v>Y</v>
      </c>
      <c r="G1957" s="153" t="s">
        <v>2686</v>
      </c>
      <c r="H1957" s="155"/>
      <c r="I1957" s="155"/>
      <c r="J1957" s="155"/>
      <c r="K1957" s="155"/>
      <c r="L1957" s="155"/>
      <c r="M1957" s="155"/>
      <c r="N1957" s="54"/>
      <c r="O1957" s="54"/>
      <c r="P1957" s="54"/>
      <c r="Q1957" s="54"/>
      <c r="R1957" s="54"/>
      <c r="S1957" s="54"/>
      <c r="T1957" s="54"/>
    </row>
    <row r="1958" spans="1:20" ht="15" customHeight="1" x14ac:dyDescent="0.2">
      <c r="A1958" s="91"/>
      <c r="B1958" s="158"/>
      <c r="C1958" s="148" t="s">
        <v>2687</v>
      </c>
      <c r="D1958" s="91" t="s">
        <v>293</v>
      </c>
      <c r="E1958" s="46">
        <v>1</v>
      </c>
      <c r="F1958" s="143" t="str">
        <f>IF(AND(ISNA(VLOOKUP(D1958,A:A,1,FALSE())),ISNA(VLOOKUP(D1958,BaseType!A:A,1,FALSE())),D1958&lt;&gt;"Struct"),"N","Y")</f>
        <v>Y</v>
      </c>
      <c r="G1958" s="153" t="s">
        <v>2688</v>
      </c>
      <c r="H1958" s="155"/>
      <c r="I1958" s="155"/>
      <c r="J1958" s="155"/>
      <c r="K1958" s="155"/>
      <c r="L1958" s="155"/>
      <c r="M1958" s="155"/>
      <c r="N1958" s="54"/>
      <c r="O1958" s="54"/>
      <c r="P1958" s="54"/>
      <c r="Q1958" s="54"/>
      <c r="R1958" s="54"/>
      <c r="S1958" s="54"/>
      <c r="T1958" s="54"/>
    </row>
    <row r="1959" spans="1:20" ht="15" customHeight="1" x14ac:dyDescent="0.2">
      <c r="A1959" s="91"/>
      <c r="B1959" s="158"/>
      <c r="C1959" s="148" t="s">
        <v>2689</v>
      </c>
      <c r="D1959" s="91" t="s">
        <v>293</v>
      </c>
      <c r="E1959" s="46">
        <v>1</v>
      </c>
      <c r="F1959" s="143" t="str">
        <f>IF(AND(ISNA(VLOOKUP(D1959,A:A,1,FALSE())),ISNA(VLOOKUP(D1959,BaseType!A:A,1,FALSE())),D1959&lt;&gt;"Struct"),"N","Y")</f>
        <v>Y</v>
      </c>
      <c r="G1959" s="153" t="s">
        <v>2690</v>
      </c>
      <c r="H1959" s="155"/>
      <c r="I1959" s="155"/>
      <c r="J1959" s="155"/>
      <c r="K1959" s="155"/>
      <c r="L1959" s="155"/>
      <c r="M1959" s="155"/>
      <c r="N1959" s="54"/>
      <c r="O1959" s="54"/>
      <c r="P1959" s="54"/>
      <c r="Q1959" s="54"/>
      <c r="R1959" s="54"/>
      <c r="S1959" s="54"/>
      <c r="T1959" s="54"/>
    </row>
    <row r="1960" spans="1:20" ht="15" customHeight="1" x14ac:dyDescent="0.2">
      <c r="A1960" s="91"/>
      <c r="B1960" s="158"/>
      <c r="C1960" s="148" t="s">
        <v>2691</v>
      </c>
      <c r="D1960" s="91" t="s">
        <v>293</v>
      </c>
      <c r="E1960" s="46">
        <v>1</v>
      </c>
      <c r="F1960" s="143" t="str">
        <f>IF(AND(ISNA(VLOOKUP(D1960,A:A,1,FALSE())),ISNA(VLOOKUP(D1960,BaseType!A:A,1,FALSE())),D1960&lt;&gt;"Struct"),"N","Y")</f>
        <v>Y</v>
      </c>
      <c r="G1960" s="153" t="s">
        <v>2692</v>
      </c>
      <c r="H1960" s="155"/>
      <c r="I1960" s="155"/>
      <c r="J1960" s="155"/>
      <c r="K1960" s="155"/>
      <c r="L1960" s="155"/>
      <c r="M1960" s="155"/>
      <c r="N1960" s="54"/>
      <c r="O1960" s="54"/>
      <c r="P1960" s="54"/>
      <c r="Q1960" s="54"/>
      <c r="R1960" s="54"/>
      <c r="S1960" s="54"/>
      <c r="T1960" s="54"/>
    </row>
    <row r="1961" spans="1:20" ht="15" customHeight="1" x14ac:dyDescent="0.2">
      <c r="A1961" s="91"/>
      <c r="B1961" s="158"/>
      <c r="C1961" s="148" t="s">
        <v>2693</v>
      </c>
      <c r="D1961" s="91" t="s">
        <v>293</v>
      </c>
      <c r="E1961" s="46">
        <v>1</v>
      </c>
      <c r="F1961" s="143" t="str">
        <f>IF(AND(ISNA(VLOOKUP(D1961,A:A,1,FALSE())),ISNA(VLOOKUP(D1961,BaseType!A:A,1,FALSE())),D1961&lt;&gt;"Struct"),"N","Y")</f>
        <v>Y</v>
      </c>
      <c r="G1961" s="153" t="s">
        <v>2694</v>
      </c>
      <c r="H1961" s="155"/>
      <c r="I1961" s="155"/>
      <c r="J1961" s="155"/>
      <c r="K1961" s="155"/>
      <c r="L1961" s="155"/>
      <c r="M1961" s="155"/>
      <c r="N1961" s="54"/>
      <c r="O1961" s="54"/>
      <c r="P1961" s="54"/>
      <c r="Q1961" s="54"/>
      <c r="R1961" s="54"/>
      <c r="S1961" s="54"/>
      <c r="T1961" s="54"/>
    </row>
    <row r="1962" spans="1:20" ht="15" customHeight="1" x14ac:dyDescent="0.2">
      <c r="A1962" s="91"/>
      <c r="B1962" s="158"/>
      <c r="C1962" s="148" t="s">
        <v>2695</v>
      </c>
      <c r="D1962" s="91" t="s">
        <v>293</v>
      </c>
      <c r="E1962" s="46">
        <v>1</v>
      </c>
      <c r="F1962" s="143" t="str">
        <f>IF(AND(ISNA(VLOOKUP(D1962,A:A,1,FALSE())),ISNA(VLOOKUP(D1962,BaseType!A:A,1,FALSE())),D1962&lt;&gt;"Struct"),"N","Y")</f>
        <v>Y</v>
      </c>
      <c r="G1962" s="153" t="s">
        <v>2696</v>
      </c>
      <c r="H1962" s="155"/>
      <c r="I1962" s="155"/>
      <c r="J1962" s="155"/>
      <c r="K1962" s="155"/>
      <c r="L1962" s="155"/>
      <c r="M1962" s="155"/>
      <c r="N1962" s="54"/>
      <c r="O1962" s="54"/>
      <c r="P1962" s="54"/>
      <c r="Q1962" s="54"/>
      <c r="R1962" s="54"/>
      <c r="S1962" s="54"/>
      <c r="T1962" s="54"/>
    </row>
    <row r="1963" spans="1:20" ht="15" customHeight="1" x14ac:dyDescent="0.2">
      <c r="A1963" s="91" t="s">
        <v>2671</v>
      </c>
      <c r="B1963" s="149" t="str">
        <f>IF(ISBLANK(A1963),"",IF(AND(ISNA(VLOOKUP(A1963,Interface_Platform!E:E,1,FALSE())),ISNA(VLOOKUP(A1963,D:D,1,FALSE()))),"N","Y"))</f>
        <v>Y</v>
      </c>
      <c r="C1963" s="148"/>
      <c r="D1963" s="173" t="s">
        <v>484</v>
      </c>
      <c r="E1963" s="46"/>
      <c r="F1963" s="143" t="str">
        <f>IF(AND(ISNA(VLOOKUP(D1963,A:A,1,FALSE())),ISNA(VLOOKUP(D1963,BaseType!A:A,1,FALSE())),D1963&lt;&gt;"Struct"),"N","Y")</f>
        <v>Y</v>
      </c>
      <c r="G1963" s="153"/>
      <c r="H1963" s="155"/>
      <c r="I1963" s="155"/>
      <c r="J1963" s="155"/>
      <c r="K1963" s="155"/>
      <c r="L1963" s="155"/>
      <c r="M1963" s="155"/>
      <c r="N1963" s="54"/>
      <c r="O1963" s="54"/>
      <c r="P1963" s="54"/>
      <c r="Q1963" s="54"/>
      <c r="R1963" s="54"/>
      <c r="S1963" s="54"/>
      <c r="T1963" s="54"/>
    </row>
    <row r="1964" spans="1:20" ht="15" customHeight="1" x14ac:dyDescent="0.2">
      <c r="A1964" s="91"/>
      <c r="B1964" s="158"/>
      <c r="C1964" s="148" t="s">
        <v>2697</v>
      </c>
      <c r="D1964" s="91" t="s">
        <v>293</v>
      </c>
      <c r="E1964" s="46">
        <v>1</v>
      </c>
      <c r="F1964" s="143" t="str">
        <f>IF(AND(ISNA(VLOOKUP(D1964,A:A,1,FALSE())),ISNA(VLOOKUP(D1964,BaseType!A:A,1,FALSE())),D1964&lt;&gt;"Struct"),"N","Y")</f>
        <v>Y</v>
      </c>
      <c r="G1964" s="153" t="s">
        <v>2698</v>
      </c>
      <c r="H1964" s="155"/>
      <c r="I1964" s="155"/>
      <c r="J1964" s="155"/>
      <c r="K1964" s="155"/>
      <c r="L1964" s="155"/>
      <c r="M1964" s="155"/>
      <c r="N1964" s="54"/>
      <c r="O1964" s="54"/>
      <c r="P1964" s="54"/>
      <c r="Q1964" s="54"/>
      <c r="R1964" s="54"/>
      <c r="S1964" s="54"/>
      <c r="T1964" s="54"/>
    </row>
    <row r="1965" spans="1:20" ht="15" customHeight="1" x14ac:dyDescent="0.2">
      <c r="A1965" s="91"/>
      <c r="B1965" s="158"/>
      <c r="C1965" s="148" t="s">
        <v>2699</v>
      </c>
      <c r="D1965" s="91" t="s">
        <v>293</v>
      </c>
      <c r="E1965" s="46">
        <v>1</v>
      </c>
      <c r="F1965" s="143" t="str">
        <f>IF(AND(ISNA(VLOOKUP(D1965,A:A,1,FALSE())),ISNA(VLOOKUP(D1965,BaseType!A:A,1,FALSE())),D1965&lt;&gt;"Struct"),"N","Y")</f>
        <v>Y</v>
      </c>
      <c r="G1965" s="153" t="s">
        <v>2700</v>
      </c>
      <c r="H1965" s="155"/>
      <c r="I1965" s="155"/>
      <c r="J1965" s="155"/>
      <c r="K1965" s="155"/>
      <c r="L1965" s="155"/>
      <c r="M1965" s="155"/>
      <c r="N1965" s="54"/>
      <c r="O1965" s="54"/>
      <c r="P1965" s="54"/>
      <c r="Q1965" s="54"/>
      <c r="R1965" s="54"/>
      <c r="S1965" s="54"/>
      <c r="T1965" s="54"/>
    </row>
    <row r="1966" spans="1:20" ht="15" customHeight="1" x14ac:dyDescent="0.2">
      <c r="A1966" s="91"/>
      <c r="B1966" s="158"/>
      <c r="C1966" s="148" t="s">
        <v>2701</v>
      </c>
      <c r="D1966" s="91" t="s">
        <v>293</v>
      </c>
      <c r="E1966" s="46">
        <v>1</v>
      </c>
      <c r="F1966" s="143" t="str">
        <f>IF(AND(ISNA(VLOOKUP(D1966,A:A,1,FALSE())),ISNA(VLOOKUP(D1966,BaseType!A:A,1,FALSE())),D1966&lt;&gt;"Struct"),"N","Y")</f>
        <v>Y</v>
      </c>
      <c r="G1966" s="153" t="s">
        <v>2702</v>
      </c>
      <c r="H1966" s="155"/>
      <c r="I1966" s="155"/>
      <c r="J1966" s="155"/>
      <c r="K1966" s="155"/>
      <c r="L1966" s="155"/>
      <c r="M1966" s="155"/>
      <c r="N1966" s="54"/>
      <c r="O1966" s="54"/>
      <c r="P1966" s="54"/>
      <c r="Q1966" s="54"/>
      <c r="R1966" s="54"/>
      <c r="S1966" s="54"/>
      <c r="T1966" s="54"/>
    </row>
    <row r="1967" spans="1:20" ht="15" customHeight="1" x14ac:dyDescent="0.2">
      <c r="A1967" s="91"/>
      <c r="B1967" s="158"/>
      <c r="C1967" s="148" t="s">
        <v>2703</v>
      </c>
      <c r="D1967" s="91" t="s">
        <v>293</v>
      </c>
      <c r="E1967" s="46">
        <v>1</v>
      </c>
      <c r="F1967" s="143" t="str">
        <f>IF(AND(ISNA(VLOOKUP(D1967,A:A,1,FALSE())),ISNA(VLOOKUP(D1967,BaseType!A:A,1,FALSE())),D1967&lt;&gt;"Struct"),"N","Y")</f>
        <v>Y</v>
      </c>
      <c r="G1967" s="153" t="s">
        <v>2704</v>
      </c>
      <c r="H1967" s="155"/>
      <c r="I1967" s="155"/>
      <c r="J1967" s="155"/>
      <c r="K1967" s="155"/>
      <c r="L1967" s="155"/>
      <c r="M1967" s="155"/>
      <c r="N1967" s="54"/>
      <c r="O1967" s="54"/>
      <c r="P1967" s="54"/>
      <c r="Q1967" s="54"/>
      <c r="R1967" s="54"/>
      <c r="S1967" s="54"/>
      <c r="T1967" s="54"/>
    </row>
    <row r="1968" spans="1:20" ht="15" customHeight="1" x14ac:dyDescent="0.2">
      <c r="A1968" s="91"/>
      <c r="B1968" s="158"/>
      <c r="C1968" s="148" t="s">
        <v>2705</v>
      </c>
      <c r="D1968" s="91" t="s">
        <v>293</v>
      </c>
      <c r="E1968" s="46">
        <v>1</v>
      </c>
      <c r="F1968" s="143" t="str">
        <f>IF(AND(ISNA(VLOOKUP(D1968,A:A,1,FALSE())),ISNA(VLOOKUP(D1968,BaseType!A:A,1,FALSE())),D1968&lt;&gt;"Struct"),"N","Y")</f>
        <v>Y</v>
      </c>
      <c r="G1968" s="153" t="s">
        <v>2706</v>
      </c>
      <c r="H1968" s="155"/>
      <c r="I1968" s="155"/>
      <c r="J1968" s="155"/>
      <c r="K1968" s="155"/>
      <c r="L1968" s="155"/>
      <c r="M1968" s="155"/>
      <c r="N1968" s="54"/>
      <c r="O1968" s="54"/>
      <c r="P1968" s="54"/>
      <c r="Q1968" s="54"/>
      <c r="R1968" s="54"/>
      <c r="S1968" s="54"/>
      <c r="T1968" s="54"/>
    </row>
    <row r="1969" spans="1:20" ht="15" customHeight="1" x14ac:dyDescent="0.2">
      <c r="A1969" s="91"/>
      <c r="B1969" s="158"/>
      <c r="C1969" s="148" t="s">
        <v>2707</v>
      </c>
      <c r="D1969" s="91" t="s">
        <v>293</v>
      </c>
      <c r="E1969" s="46">
        <v>1</v>
      </c>
      <c r="F1969" s="143" t="str">
        <f>IF(AND(ISNA(VLOOKUP(D1969,A:A,1,FALSE())),ISNA(VLOOKUP(D1969,BaseType!A:A,1,FALSE())),D1969&lt;&gt;"Struct"),"N","Y")</f>
        <v>Y</v>
      </c>
      <c r="G1969" s="153" t="s">
        <v>2708</v>
      </c>
      <c r="H1969" s="155"/>
      <c r="I1969" s="155"/>
      <c r="J1969" s="155"/>
      <c r="K1969" s="155"/>
      <c r="L1969" s="155"/>
      <c r="M1969" s="155"/>
      <c r="N1969" s="54"/>
      <c r="O1969" s="54"/>
      <c r="P1969" s="54"/>
      <c r="Q1969" s="54"/>
      <c r="R1969" s="54"/>
      <c r="S1969" s="54"/>
      <c r="T1969" s="54"/>
    </row>
    <row r="1970" spans="1:20" ht="15" customHeight="1" x14ac:dyDescent="0.2">
      <c r="A1970" s="91"/>
      <c r="B1970" s="158"/>
      <c r="C1970" s="148" t="s">
        <v>2709</v>
      </c>
      <c r="D1970" s="91" t="s">
        <v>293</v>
      </c>
      <c r="E1970" s="46">
        <v>1</v>
      </c>
      <c r="F1970" s="143" t="str">
        <f>IF(AND(ISNA(VLOOKUP(D1970,A:A,1,FALSE())),ISNA(VLOOKUP(D1970,BaseType!A:A,1,FALSE())),D1970&lt;&gt;"Struct"),"N","Y")</f>
        <v>Y</v>
      </c>
      <c r="G1970" s="153" t="s">
        <v>2710</v>
      </c>
      <c r="H1970" s="155"/>
      <c r="I1970" s="155"/>
      <c r="J1970" s="155"/>
      <c r="K1970" s="155"/>
      <c r="L1970" s="155"/>
      <c r="M1970" s="155"/>
      <c r="N1970" s="54"/>
      <c r="O1970" s="54"/>
      <c r="P1970" s="54"/>
      <c r="Q1970" s="54"/>
      <c r="R1970" s="54"/>
      <c r="S1970" s="54"/>
      <c r="T1970" s="54"/>
    </row>
    <row r="1971" spans="1:20" ht="15" customHeight="1" x14ac:dyDescent="0.2">
      <c r="A1971" s="91"/>
      <c r="B1971" s="158"/>
      <c r="C1971" s="148" t="s">
        <v>2711</v>
      </c>
      <c r="D1971" s="91" t="s">
        <v>293</v>
      </c>
      <c r="E1971" s="46">
        <v>1</v>
      </c>
      <c r="F1971" s="143" t="str">
        <f>IF(AND(ISNA(VLOOKUP(D1971,A:A,1,FALSE())),ISNA(VLOOKUP(D1971,BaseType!A:A,1,FALSE())),D1971&lt;&gt;"Struct"),"N","Y")</f>
        <v>Y</v>
      </c>
      <c r="G1971" s="153" t="s">
        <v>2712</v>
      </c>
      <c r="H1971" s="155"/>
      <c r="I1971" s="155"/>
      <c r="J1971" s="155"/>
      <c r="K1971" s="155"/>
      <c r="L1971" s="155"/>
      <c r="M1971" s="155"/>
      <c r="N1971" s="54"/>
      <c r="O1971" s="54"/>
      <c r="P1971" s="54"/>
      <c r="Q1971" s="54"/>
      <c r="R1971" s="54"/>
      <c r="S1971" s="54"/>
      <c r="T1971" s="54"/>
    </row>
    <row r="1972" spans="1:20" ht="15" customHeight="1" x14ac:dyDescent="0.2">
      <c r="A1972" s="91"/>
      <c r="B1972" s="158"/>
      <c r="C1972" s="148" t="s">
        <v>2713</v>
      </c>
      <c r="D1972" s="91" t="s">
        <v>293</v>
      </c>
      <c r="E1972" s="46">
        <v>1</v>
      </c>
      <c r="F1972" s="143" t="str">
        <f>IF(AND(ISNA(VLOOKUP(D1972,A:A,1,FALSE())),ISNA(VLOOKUP(D1972,BaseType!A:A,1,FALSE())),D1972&lt;&gt;"Struct"),"N","Y")</f>
        <v>Y</v>
      </c>
      <c r="G1972" s="153" t="s">
        <v>2714</v>
      </c>
      <c r="H1972" s="155"/>
      <c r="I1972" s="155"/>
      <c r="J1972" s="155"/>
      <c r="K1972" s="155"/>
      <c r="L1972" s="155"/>
      <c r="M1972" s="155"/>
      <c r="N1972" s="54"/>
      <c r="O1972" s="54"/>
      <c r="P1972" s="54"/>
      <c r="Q1972" s="54"/>
      <c r="R1972" s="54"/>
      <c r="S1972" s="54"/>
      <c r="T1972" s="54"/>
    </row>
    <row r="1973" spans="1:20" ht="15" customHeight="1" x14ac:dyDescent="0.2">
      <c r="A1973" s="91"/>
      <c r="B1973" s="158"/>
      <c r="C1973" s="148" t="s">
        <v>2715</v>
      </c>
      <c r="D1973" s="91" t="s">
        <v>293</v>
      </c>
      <c r="E1973" s="46">
        <v>1</v>
      </c>
      <c r="F1973" s="143" t="str">
        <f>IF(AND(ISNA(VLOOKUP(D1973,A:A,1,FALSE())),ISNA(VLOOKUP(D1973,BaseType!A:A,1,FALSE())),D1973&lt;&gt;"Struct"),"N","Y")</f>
        <v>Y</v>
      </c>
      <c r="G1973" s="153" t="s">
        <v>2716</v>
      </c>
      <c r="H1973" s="155"/>
      <c r="I1973" s="155"/>
      <c r="J1973" s="155"/>
      <c r="K1973" s="155"/>
      <c r="L1973" s="155"/>
      <c r="M1973" s="155"/>
      <c r="N1973" s="54"/>
      <c r="O1973" s="54"/>
      <c r="P1973" s="54"/>
      <c r="Q1973" s="54"/>
      <c r="R1973" s="54"/>
      <c r="S1973" s="54"/>
      <c r="T1973" s="54"/>
    </row>
    <row r="1974" spans="1:20" ht="15" customHeight="1" x14ac:dyDescent="0.2">
      <c r="A1974" s="91"/>
      <c r="B1974" s="158"/>
      <c r="C1974" s="148" t="s">
        <v>2717</v>
      </c>
      <c r="D1974" s="91" t="s">
        <v>293</v>
      </c>
      <c r="E1974" s="46">
        <v>1</v>
      </c>
      <c r="F1974" s="143" t="str">
        <f>IF(AND(ISNA(VLOOKUP(D1974,A:A,1,FALSE())),ISNA(VLOOKUP(D1974,BaseType!A:A,1,FALSE())),D1974&lt;&gt;"Struct"),"N","Y")</f>
        <v>Y</v>
      </c>
      <c r="G1974" s="153" t="s">
        <v>2718</v>
      </c>
      <c r="H1974" s="155"/>
      <c r="I1974" s="155"/>
      <c r="J1974" s="155"/>
      <c r="K1974" s="155"/>
      <c r="L1974" s="155"/>
      <c r="M1974" s="155"/>
      <c r="N1974" s="54"/>
      <c r="O1974" s="54"/>
      <c r="P1974" s="54"/>
      <c r="Q1974" s="54"/>
      <c r="R1974" s="54"/>
      <c r="S1974" s="54"/>
      <c r="T1974" s="54"/>
    </row>
    <row r="1975" spans="1:20" ht="15" customHeight="1" x14ac:dyDescent="0.2">
      <c r="A1975" s="91"/>
      <c r="B1975" s="158"/>
      <c r="C1975" s="148" t="s">
        <v>2719</v>
      </c>
      <c r="D1975" s="91" t="s">
        <v>293</v>
      </c>
      <c r="E1975" s="46">
        <v>1</v>
      </c>
      <c r="F1975" s="143" t="str">
        <f>IF(AND(ISNA(VLOOKUP(D1975,A:A,1,FALSE())),ISNA(VLOOKUP(D1975,BaseType!A:A,1,FALSE())),D1975&lt;&gt;"Struct"),"N","Y")</f>
        <v>Y</v>
      </c>
      <c r="G1975" s="153" t="s">
        <v>2720</v>
      </c>
      <c r="H1975" s="155"/>
      <c r="I1975" s="155"/>
      <c r="J1975" s="155"/>
      <c r="K1975" s="155"/>
      <c r="L1975" s="155"/>
      <c r="M1975" s="155"/>
      <c r="N1975" s="54"/>
      <c r="O1975" s="54"/>
      <c r="P1975" s="54"/>
      <c r="Q1975" s="54"/>
      <c r="R1975" s="54"/>
      <c r="S1975" s="54"/>
      <c r="T1975" s="54"/>
    </row>
    <row r="1976" spans="1:20" ht="15" customHeight="1" x14ac:dyDescent="0.2">
      <c r="A1976" s="91"/>
      <c r="B1976" s="158"/>
      <c r="C1976" s="148" t="s">
        <v>2721</v>
      </c>
      <c r="D1976" s="91" t="s">
        <v>293</v>
      </c>
      <c r="E1976" s="46">
        <v>1</v>
      </c>
      <c r="F1976" s="143" t="str">
        <f>IF(AND(ISNA(VLOOKUP(D1976,A:A,1,FALSE())),ISNA(VLOOKUP(D1976,BaseType!A:A,1,FALSE())),D1976&lt;&gt;"Struct"),"N","Y")</f>
        <v>Y</v>
      </c>
      <c r="G1976" s="153" t="s">
        <v>2722</v>
      </c>
      <c r="H1976" s="155"/>
      <c r="I1976" s="155"/>
      <c r="J1976" s="155"/>
      <c r="K1976" s="155"/>
      <c r="L1976" s="155"/>
      <c r="M1976" s="155"/>
      <c r="N1976" s="54"/>
      <c r="O1976" s="54"/>
      <c r="P1976" s="54"/>
      <c r="Q1976" s="54"/>
      <c r="R1976" s="54"/>
      <c r="S1976" s="54"/>
      <c r="T1976" s="54"/>
    </row>
    <row r="1977" spans="1:20" ht="15" customHeight="1" x14ac:dyDescent="0.2">
      <c r="A1977" s="91"/>
      <c r="B1977" s="158"/>
      <c r="C1977" s="148" t="s">
        <v>2723</v>
      </c>
      <c r="D1977" s="91" t="s">
        <v>293</v>
      </c>
      <c r="E1977" s="46">
        <v>1</v>
      </c>
      <c r="F1977" s="143" t="str">
        <f>IF(AND(ISNA(VLOOKUP(D1977,A:A,1,FALSE())),ISNA(VLOOKUP(D1977,BaseType!A:A,1,FALSE())),D1977&lt;&gt;"Struct"),"N","Y")</f>
        <v>Y</v>
      </c>
      <c r="G1977" s="153" t="s">
        <v>2724</v>
      </c>
      <c r="H1977" s="155"/>
      <c r="I1977" s="155"/>
      <c r="J1977" s="155"/>
      <c r="K1977" s="155"/>
      <c r="L1977" s="155"/>
      <c r="M1977" s="155"/>
      <c r="N1977" s="54"/>
      <c r="O1977" s="54"/>
      <c r="P1977" s="54"/>
      <c r="Q1977" s="54"/>
      <c r="R1977" s="54"/>
      <c r="S1977" s="54"/>
      <c r="T1977" s="54"/>
    </row>
    <row r="1978" spans="1:20" ht="15" customHeight="1" x14ac:dyDescent="0.2">
      <c r="A1978" s="91"/>
      <c r="B1978" s="158"/>
      <c r="C1978" s="148" t="s">
        <v>2725</v>
      </c>
      <c r="D1978" s="91" t="s">
        <v>293</v>
      </c>
      <c r="E1978" s="46">
        <v>1</v>
      </c>
      <c r="F1978" s="143" t="str">
        <f>IF(AND(ISNA(VLOOKUP(D1978,A:A,1,FALSE())),ISNA(VLOOKUP(D1978,BaseType!A:A,1,FALSE())),D1978&lt;&gt;"Struct"),"N","Y")</f>
        <v>Y</v>
      </c>
      <c r="G1978" s="153" t="s">
        <v>2726</v>
      </c>
      <c r="H1978" s="155"/>
      <c r="I1978" s="155"/>
      <c r="J1978" s="155"/>
      <c r="K1978" s="155"/>
      <c r="L1978" s="155"/>
      <c r="M1978" s="155"/>
      <c r="N1978" s="54"/>
      <c r="O1978" s="54"/>
      <c r="P1978" s="54"/>
      <c r="Q1978" s="54"/>
      <c r="R1978" s="54"/>
      <c r="S1978" s="54"/>
      <c r="T1978" s="54"/>
    </row>
    <row r="1979" spans="1:20" ht="15" customHeight="1" x14ac:dyDescent="0.2">
      <c r="A1979" s="91" t="s">
        <v>2651</v>
      </c>
      <c r="B1979" s="149" t="str">
        <f>IF(ISBLANK(A1979),"",IF(AND(ISNA(VLOOKUP(A1979,Interface_Platform!E:E,1,FALSE())),ISNA(VLOOKUP(A1979,D:D,1,FALSE()))),"N","Y"))</f>
        <v>Y</v>
      </c>
      <c r="C1979" s="148"/>
      <c r="D1979" s="173" t="s">
        <v>484</v>
      </c>
      <c r="E1979" s="46"/>
      <c r="F1979" s="143" t="str">
        <f>IF(AND(ISNA(VLOOKUP(D1979,A:A,1,FALSE())),ISNA(VLOOKUP(D1979,BaseType!A:A,1,FALSE())),D1979&lt;&gt;"Struct"),"N","Y")</f>
        <v>Y</v>
      </c>
      <c r="G1979" s="153"/>
      <c r="H1979" s="155"/>
      <c r="I1979" s="155"/>
      <c r="J1979" s="155"/>
      <c r="K1979" s="155"/>
      <c r="L1979" s="155"/>
      <c r="M1979" s="155"/>
      <c r="N1979" s="54"/>
      <c r="O1979" s="54"/>
      <c r="P1979" s="54"/>
      <c r="Q1979" s="54"/>
      <c r="R1979" s="54"/>
      <c r="S1979" s="54"/>
      <c r="T1979" s="54"/>
    </row>
    <row r="1980" spans="1:20" ht="15" customHeight="1" x14ac:dyDescent="0.2">
      <c r="A1980" s="91"/>
      <c r="B1980" s="158"/>
      <c r="C1980" s="148" t="s">
        <v>2727</v>
      </c>
      <c r="D1980" s="91" t="s">
        <v>293</v>
      </c>
      <c r="E1980" s="46">
        <v>1</v>
      </c>
      <c r="F1980" s="143" t="str">
        <f>IF(AND(ISNA(VLOOKUP(D1980,A:A,1,FALSE())),ISNA(VLOOKUP(D1980,BaseType!A:A,1,FALSE())),D1980&lt;&gt;"Struct"),"N","Y")</f>
        <v>Y</v>
      </c>
      <c r="G1980" s="153" t="s">
        <v>2728</v>
      </c>
      <c r="H1980" s="155"/>
      <c r="I1980" s="155"/>
      <c r="J1980" s="155"/>
      <c r="K1980" s="155"/>
      <c r="L1980" s="155"/>
      <c r="M1980" s="155"/>
      <c r="N1980" s="54"/>
      <c r="O1980" s="54"/>
      <c r="P1980" s="54"/>
      <c r="Q1980" s="54"/>
      <c r="R1980" s="54"/>
      <c r="S1980" s="54"/>
      <c r="T1980" s="54"/>
    </row>
    <row r="1981" spans="1:20" ht="15" customHeight="1" x14ac:dyDescent="0.2">
      <c r="A1981" s="91"/>
      <c r="B1981" s="158"/>
      <c r="C1981" s="148" t="s">
        <v>2729</v>
      </c>
      <c r="D1981" s="91" t="s">
        <v>293</v>
      </c>
      <c r="E1981" s="46">
        <v>1</v>
      </c>
      <c r="F1981" s="143" t="str">
        <f>IF(AND(ISNA(VLOOKUP(D1981,A:A,1,FALSE())),ISNA(VLOOKUP(D1981,BaseType!A:A,1,FALSE())),D1981&lt;&gt;"Struct"),"N","Y")</f>
        <v>Y</v>
      </c>
      <c r="G1981" s="153" t="s">
        <v>2730</v>
      </c>
      <c r="H1981" s="155"/>
      <c r="I1981" s="155"/>
      <c r="J1981" s="155"/>
      <c r="K1981" s="155"/>
      <c r="L1981" s="155"/>
      <c r="M1981" s="155"/>
      <c r="N1981" s="54"/>
      <c r="O1981" s="54"/>
      <c r="P1981" s="54"/>
      <c r="Q1981" s="54"/>
      <c r="R1981" s="54"/>
      <c r="S1981" s="54"/>
      <c r="T1981" s="54"/>
    </row>
    <row r="1982" spans="1:20" ht="15" customHeight="1" x14ac:dyDescent="0.2">
      <c r="A1982" s="91"/>
      <c r="B1982" s="158"/>
      <c r="C1982" s="148" t="s">
        <v>2731</v>
      </c>
      <c r="D1982" s="91" t="s">
        <v>293</v>
      </c>
      <c r="E1982" s="46">
        <v>1</v>
      </c>
      <c r="F1982" s="143" t="str">
        <f>IF(AND(ISNA(VLOOKUP(D1982,A:A,1,FALSE())),ISNA(VLOOKUP(D1982,BaseType!A:A,1,FALSE())),D1982&lt;&gt;"Struct"),"N","Y")</f>
        <v>Y</v>
      </c>
      <c r="G1982" s="153" t="s">
        <v>2732</v>
      </c>
      <c r="H1982" s="155"/>
      <c r="I1982" s="155"/>
      <c r="J1982" s="155"/>
      <c r="K1982" s="155"/>
      <c r="L1982" s="155"/>
      <c r="M1982" s="155"/>
      <c r="N1982" s="54"/>
      <c r="O1982" s="54"/>
      <c r="P1982" s="54"/>
      <c r="Q1982" s="54"/>
      <c r="R1982" s="54"/>
      <c r="S1982" s="54"/>
      <c r="T1982" s="54"/>
    </row>
    <row r="1983" spans="1:20" ht="15" customHeight="1" x14ac:dyDescent="0.2">
      <c r="A1983" s="91"/>
      <c r="B1983" s="158"/>
      <c r="C1983" s="148" t="s">
        <v>2733</v>
      </c>
      <c r="D1983" s="91" t="s">
        <v>293</v>
      </c>
      <c r="E1983" s="46">
        <v>1</v>
      </c>
      <c r="F1983" s="143" t="str">
        <f>IF(AND(ISNA(VLOOKUP(D1983,A:A,1,FALSE())),ISNA(VLOOKUP(D1983,BaseType!A:A,1,FALSE())),D1983&lt;&gt;"Struct"),"N","Y")</f>
        <v>Y</v>
      </c>
      <c r="G1983" s="153" t="s">
        <v>2734</v>
      </c>
      <c r="H1983" s="155"/>
      <c r="I1983" s="155"/>
      <c r="J1983" s="155"/>
      <c r="K1983" s="155"/>
      <c r="L1983" s="155"/>
      <c r="M1983" s="155"/>
      <c r="N1983" s="54"/>
      <c r="O1983" s="54"/>
      <c r="P1983" s="54"/>
      <c r="Q1983" s="54"/>
      <c r="R1983" s="54"/>
      <c r="S1983" s="54"/>
      <c r="T1983" s="54"/>
    </row>
    <row r="1984" spans="1:20" ht="15" customHeight="1" x14ac:dyDescent="0.2">
      <c r="A1984" s="91"/>
      <c r="B1984" s="158"/>
      <c r="C1984" s="148" t="s">
        <v>2735</v>
      </c>
      <c r="D1984" s="91" t="s">
        <v>293</v>
      </c>
      <c r="E1984" s="46">
        <v>1</v>
      </c>
      <c r="F1984" s="143" t="str">
        <f>IF(AND(ISNA(VLOOKUP(D1984,A:A,1,FALSE())),ISNA(VLOOKUP(D1984,BaseType!A:A,1,FALSE())),D1984&lt;&gt;"Struct"),"N","Y")</f>
        <v>Y</v>
      </c>
      <c r="G1984" s="153" t="s">
        <v>2736</v>
      </c>
      <c r="H1984" s="155"/>
      <c r="I1984" s="155"/>
      <c r="J1984" s="155"/>
      <c r="K1984" s="155"/>
      <c r="L1984" s="155"/>
      <c r="M1984" s="155"/>
      <c r="N1984" s="54"/>
      <c r="O1984" s="54"/>
      <c r="P1984" s="54"/>
      <c r="Q1984" s="54"/>
      <c r="R1984" s="54"/>
      <c r="S1984" s="54"/>
      <c r="T1984" s="54"/>
    </row>
    <row r="1985" spans="1:20" ht="15" customHeight="1" x14ac:dyDescent="0.2">
      <c r="A1985" s="91"/>
      <c r="B1985" s="158"/>
      <c r="C1985" s="148" t="s">
        <v>2737</v>
      </c>
      <c r="D1985" s="91" t="s">
        <v>293</v>
      </c>
      <c r="E1985" s="46">
        <v>1</v>
      </c>
      <c r="F1985" s="143" t="str">
        <f>IF(AND(ISNA(VLOOKUP(D1985,A:A,1,FALSE())),ISNA(VLOOKUP(D1985,BaseType!A:A,1,FALSE())),D1985&lt;&gt;"Struct"),"N","Y")</f>
        <v>Y</v>
      </c>
      <c r="G1985" s="153" t="s">
        <v>2738</v>
      </c>
      <c r="H1985" s="155"/>
      <c r="I1985" s="155"/>
      <c r="J1985" s="155"/>
      <c r="K1985" s="155"/>
      <c r="L1985" s="155"/>
      <c r="M1985" s="155"/>
      <c r="N1985" s="54"/>
      <c r="O1985" s="54"/>
      <c r="P1985" s="54"/>
      <c r="Q1985" s="54"/>
      <c r="R1985" s="54"/>
      <c r="S1985" s="54"/>
      <c r="T1985" s="54"/>
    </row>
    <row r="1986" spans="1:20" ht="15" customHeight="1" x14ac:dyDescent="0.2">
      <c r="A1986" s="91"/>
      <c r="B1986" s="158"/>
      <c r="C1986" s="148" t="s">
        <v>2739</v>
      </c>
      <c r="D1986" s="91" t="s">
        <v>293</v>
      </c>
      <c r="E1986" s="46">
        <v>1</v>
      </c>
      <c r="F1986" s="143" t="str">
        <f>IF(AND(ISNA(VLOOKUP(D1986,A:A,1,FALSE())),ISNA(VLOOKUP(D1986,BaseType!A:A,1,FALSE())),D1986&lt;&gt;"Struct"),"N","Y")</f>
        <v>Y</v>
      </c>
      <c r="G1986" s="153" t="s">
        <v>2740</v>
      </c>
      <c r="H1986" s="155"/>
      <c r="I1986" s="155"/>
      <c r="J1986" s="155"/>
      <c r="K1986" s="155"/>
      <c r="L1986" s="155"/>
      <c r="M1986" s="155"/>
      <c r="N1986" s="54"/>
      <c r="O1986" s="54"/>
      <c r="P1986" s="54"/>
      <c r="Q1986" s="54"/>
      <c r="R1986" s="54"/>
      <c r="S1986" s="54"/>
      <c r="T1986" s="54"/>
    </row>
    <row r="1987" spans="1:20" ht="15" customHeight="1" x14ac:dyDescent="0.2">
      <c r="A1987" s="91"/>
      <c r="B1987" s="158"/>
      <c r="C1987" s="148" t="s">
        <v>2741</v>
      </c>
      <c r="D1987" s="91" t="s">
        <v>293</v>
      </c>
      <c r="E1987" s="46">
        <v>1</v>
      </c>
      <c r="F1987" s="143" t="str">
        <f>IF(AND(ISNA(VLOOKUP(D1987,A:A,1,FALSE())),ISNA(VLOOKUP(D1987,BaseType!A:A,1,FALSE())),D1987&lt;&gt;"Struct"),"N","Y")</f>
        <v>Y</v>
      </c>
      <c r="G1987" s="153" t="s">
        <v>2742</v>
      </c>
      <c r="H1987" s="155"/>
      <c r="I1987" s="155"/>
      <c r="J1987" s="155"/>
      <c r="K1987" s="155"/>
      <c r="L1987" s="155"/>
      <c r="M1987" s="155"/>
      <c r="N1987" s="54"/>
      <c r="O1987" s="54"/>
      <c r="P1987" s="54"/>
      <c r="Q1987" s="54"/>
      <c r="R1987" s="54"/>
      <c r="S1987" s="54"/>
      <c r="T1987" s="54"/>
    </row>
    <row r="1988" spans="1:20" ht="15" customHeight="1" x14ac:dyDescent="0.2">
      <c r="A1988" s="91"/>
      <c r="B1988" s="158"/>
      <c r="C1988" s="148" t="s">
        <v>2743</v>
      </c>
      <c r="D1988" s="91" t="s">
        <v>293</v>
      </c>
      <c r="E1988" s="46">
        <v>1</v>
      </c>
      <c r="F1988" s="143" t="str">
        <f>IF(AND(ISNA(VLOOKUP(D1988,A:A,1,FALSE())),ISNA(VLOOKUP(D1988,BaseType!A:A,1,FALSE())),D1988&lt;&gt;"Struct"),"N","Y")</f>
        <v>Y</v>
      </c>
      <c r="G1988" s="153" t="s">
        <v>2744</v>
      </c>
      <c r="H1988" s="155"/>
      <c r="I1988" s="155"/>
      <c r="J1988" s="155"/>
      <c r="K1988" s="155"/>
      <c r="L1988" s="155"/>
      <c r="M1988" s="155"/>
      <c r="N1988" s="54"/>
      <c r="O1988" s="54"/>
      <c r="P1988" s="54"/>
      <c r="Q1988" s="54"/>
      <c r="R1988" s="54"/>
      <c r="S1988" s="54"/>
      <c r="T1988" s="54"/>
    </row>
    <row r="1989" spans="1:20" ht="15" customHeight="1" x14ac:dyDescent="0.2">
      <c r="A1989" s="91"/>
      <c r="B1989" s="158"/>
      <c r="C1989" s="148" t="s">
        <v>2745</v>
      </c>
      <c r="D1989" s="91" t="s">
        <v>293</v>
      </c>
      <c r="E1989" s="46">
        <v>1</v>
      </c>
      <c r="F1989" s="143" t="str">
        <f>IF(AND(ISNA(VLOOKUP(D1989,A:A,1,FALSE())),ISNA(VLOOKUP(D1989,BaseType!A:A,1,FALSE())),D1989&lt;&gt;"Struct"),"N","Y")</f>
        <v>Y</v>
      </c>
      <c r="G1989" s="153" t="s">
        <v>2746</v>
      </c>
      <c r="H1989" s="155"/>
      <c r="I1989" s="155"/>
      <c r="J1989" s="155"/>
      <c r="K1989" s="155"/>
      <c r="L1989" s="155"/>
      <c r="M1989" s="155"/>
      <c r="N1989" s="54"/>
      <c r="O1989" s="54"/>
      <c r="P1989" s="54"/>
      <c r="Q1989" s="54"/>
      <c r="R1989" s="54"/>
      <c r="S1989" s="54"/>
      <c r="T1989" s="54"/>
    </row>
    <row r="1990" spans="1:20" ht="15" customHeight="1" x14ac:dyDescent="0.2">
      <c r="A1990" s="91"/>
      <c r="B1990" s="158"/>
      <c r="C1990" s="148" t="s">
        <v>2747</v>
      </c>
      <c r="D1990" s="91" t="s">
        <v>293</v>
      </c>
      <c r="E1990" s="46">
        <v>1</v>
      </c>
      <c r="F1990" s="143" t="str">
        <f>IF(AND(ISNA(VLOOKUP(D1990,A:A,1,FALSE())),ISNA(VLOOKUP(D1990,BaseType!A:A,1,FALSE())),D1990&lt;&gt;"Struct"),"N","Y")</f>
        <v>Y</v>
      </c>
      <c r="G1990" s="153" t="s">
        <v>2748</v>
      </c>
      <c r="H1990" s="155"/>
      <c r="I1990" s="155"/>
      <c r="J1990" s="155"/>
      <c r="K1990" s="155"/>
      <c r="L1990" s="155"/>
      <c r="M1990" s="155"/>
      <c r="N1990" s="54"/>
      <c r="O1990" s="54"/>
      <c r="P1990" s="54"/>
      <c r="Q1990" s="54"/>
      <c r="R1990" s="54"/>
      <c r="S1990" s="54"/>
      <c r="T1990" s="54"/>
    </row>
    <row r="1991" spans="1:20" ht="15" customHeight="1" x14ac:dyDescent="0.2">
      <c r="A1991" s="91"/>
      <c r="B1991" s="158"/>
      <c r="C1991" s="148" t="s">
        <v>2749</v>
      </c>
      <c r="D1991" s="91" t="s">
        <v>293</v>
      </c>
      <c r="E1991" s="46">
        <v>1</v>
      </c>
      <c r="F1991" s="143" t="str">
        <f>IF(AND(ISNA(VLOOKUP(D1991,A:A,1,FALSE())),ISNA(VLOOKUP(D1991,BaseType!A:A,1,FALSE())),D1991&lt;&gt;"Struct"),"N","Y")</f>
        <v>Y</v>
      </c>
      <c r="G1991" s="153" t="s">
        <v>2750</v>
      </c>
      <c r="H1991" s="155"/>
      <c r="I1991" s="155"/>
      <c r="J1991" s="155"/>
      <c r="K1991" s="155"/>
      <c r="L1991" s="155"/>
      <c r="M1991" s="155"/>
      <c r="N1991" s="54"/>
      <c r="O1991" s="54"/>
      <c r="P1991" s="54"/>
      <c r="Q1991" s="54"/>
      <c r="R1991" s="54"/>
      <c r="S1991" s="54"/>
      <c r="T1991" s="54"/>
    </row>
    <row r="1992" spans="1:20" ht="15" customHeight="1" x14ac:dyDescent="0.2">
      <c r="A1992" s="91"/>
      <c r="B1992" s="158"/>
      <c r="C1992" s="148" t="s">
        <v>2751</v>
      </c>
      <c r="D1992" s="91" t="s">
        <v>293</v>
      </c>
      <c r="E1992" s="46">
        <v>1</v>
      </c>
      <c r="F1992" s="143" t="str">
        <f>IF(AND(ISNA(VLOOKUP(D1992,A:A,1,FALSE())),ISNA(VLOOKUP(D1992,BaseType!A:A,1,FALSE())),D1992&lt;&gt;"Struct"),"N","Y")</f>
        <v>Y</v>
      </c>
      <c r="G1992" s="153" t="s">
        <v>2752</v>
      </c>
      <c r="H1992" s="155"/>
      <c r="I1992" s="155"/>
      <c r="J1992" s="155"/>
      <c r="K1992" s="155"/>
      <c r="L1992" s="155"/>
      <c r="M1992" s="155"/>
      <c r="N1992" s="54"/>
      <c r="O1992" s="54"/>
      <c r="P1992" s="54"/>
      <c r="Q1992" s="54"/>
      <c r="R1992" s="54"/>
      <c r="S1992" s="54"/>
      <c r="T1992" s="54"/>
    </row>
    <row r="1993" spans="1:20" ht="15" customHeight="1" x14ac:dyDescent="0.2">
      <c r="A1993" s="91"/>
      <c r="B1993" s="158"/>
      <c r="C1993" s="148" t="s">
        <v>2753</v>
      </c>
      <c r="D1993" s="91" t="s">
        <v>293</v>
      </c>
      <c r="E1993" s="46">
        <v>1</v>
      </c>
      <c r="F1993" s="143" t="str">
        <f>IF(AND(ISNA(VLOOKUP(D1993,A:A,1,FALSE())),ISNA(VLOOKUP(D1993,BaseType!A:A,1,FALSE())),D1993&lt;&gt;"Struct"),"N","Y")</f>
        <v>Y</v>
      </c>
      <c r="G1993" s="153" t="s">
        <v>2754</v>
      </c>
      <c r="H1993" s="155"/>
      <c r="I1993" s="155"/>
      <c r="J1993" s="155"/>
      <c r="K1993" s="155"/>
      <c r="L1993" s="155"/>
      <c r="M1993" s="155"/>
      <c r="N1993" s="54"/>
      <c r="O1993" s="54"/>
      <c r="P1993" s="54"/>
      <c r="Q1993" s="54"/>
      <c r="R1993" s="54"/>
      <c r="S1993" s="54"/>
      <c r="T1993" s="54"/>
    </row>
    <row r="1994" spans="1:20" ht="15" customHeight="1" x14ac:dyDescent="0.2">
      <c r="A1994" s="91"/>
      <c r="B1994" s="158"/>
      <c r="C1994" s="148" t="s">
        <v>2755</v>
      </c>
      <c r="D1994" s="91" t="s">
        <v>293</v>
      </c>
      <c r="E1994" s="46">
        <v>1</v>
      </c>
      <c r="F1994" s="143" t="str">
        <f>IF(AND(ISNA(VLOOKUP(D1994,A:A,1,FALSE())),ISNA(VLOOKUP(D1994,BaseType!A:A,1,FALSE())),D1994&lt;&gt;"Struct"),"N","Y")</f>
        <v>Y</v>
      </c>
      <c r="G1994" s="153" t="s">
        <v>2756</v>
      </c>
      <c r="H1994" s="155"/>
      <c r="I1994" s="155"/>
      <c r="J1994" s="155"/>
      <c r="K1994" s="155"/>
      <c r="L1994" s="155"/>
      <c r="M1994" s="155"/>
      <c r="N1994" s="54"/>
      <c r="O1994" s="54"/>
      <c r="P1994" s="54"/>
      <c r="Q1994" s="54"/>
      <c r="R1994" s="54"/>
      <c r="S1994" s="54"/>
      <c r="T1994" s="54"/>
    </row>
    <row r="1995" spans="1:20" ht="15" customHeight="1" x14ac:dyDescent="0.2">
      <c r="A1995" s="91"/>
      <c r="B1995" s="158"/>
      <c r="C1995" s="148" t="s">
        <v>2757</v>
      </c>
      <c r="D1995" s="91" t="s">
        <v>293</v>
      </c>
      <c r="E1995" s="46">
        <v>1</v>
      </c>
      <c r="F1995" s="143" t="str">
        <f>IF(AND(ISNA(VLOOKUP(D1995,A:A,1,FALSE())),ISNA(VLOOKUP(D1995,BaseType!A:A,1,FALSE())),D1995&lt;&gt;"Struct"),"N","Y")</f>
        <v>Y</v>
      </c>
      <c r="G1995" s="153" t="s">
        <v>2758</v>
      </c>
      <c r="H1995" s="155"/>
      <c r="I1995" s="155"/>
      <c r="J1995" s="155"/>
      <c r="K1995" s="155"/>
      <c r="L1995" s="155"/>
      <c r="M1995" s="155"/>
      <c r="N1995" s="54"/>
      <c r="O1995" s="54"/>
      <c r="P1995" s="54"/>
      <c r="Q1995" s="54"/>
      <c r="R1995" s="54"/>
      <c r="S1995" s="54"/>
      <c r="T1995" s="54"/>
    </row>
    <row r="1996" spans="1:20" ht="15" customHeight="1" x14ac:dyDescent="0.2">
      <c r="A1996" s="91"/>
      <c r="B1996" s="158"/>
      <c r="C1996" s="148" t="s">
        <v>2759</v>
      </c>
      <c r="D1996" s="91" t="s">
        <v>293</v>
      </c>
      <c r="E1996" s="46">
        <v>1</v>
      </c>
      <c r="F1996" s="143" t="str">
        <f>IF(AND(ISNA(VLOOKUP(D1996,A:A,1,FALSE())),ISNA(VLOOKUP(D1996,BaseType!A:A,1,FALSE())),D1996&lt;&gt;"Struct"),"N","Y")</f>
        <v>Y</v>
      </c>
      <c r="G1996" s="153" t="s">
        <v>2760</v>
      </c>
      <c r="H1996" s="155"/>
      <c r="I1996" s="155"/>
      <c r="J1996" s="155"/>
      <c r="K1996" s="155"/>
      <c r="L1996" s="155"/>
      <c r="M1996" s="155"/>
      <c r="N1996" s="54"/>
      <c r="O1996" s="54"/>
      <c r="P1996" s="54"/>
      <c r="Q1996" s="54"/>
      <c r="R1996" s="54"/>
      <c r="S1996" s="54"/>
      <c r="T1996" s="54"/>
    </row>
    <row r="1997" spans="1:20" ht="15" customHeight="1" x14ac:dyDescent="0.2">
      <c r="A1997" s="91"/>
      <c r="B1997" s="158"/>
      <c r="C1997" s="148" t="s">
        <v>2761</v>
      </c>
      <c r="D1997" s="91" t="s">
        <v>293</v>
      </c>
      <c r="E1997" s="46">
        <v>1</v>
      </c>
      <c r="F1997" s="143" t="str">
        <f>IF(AND(ISNA(VLOOKUP(D1997,A:A,1,FALSE())),ISNA(VLOOKUP(D1997,BaseType!A:A,1,FALSE())),D1997&lt;&gt;"Struct"),"N","Y")</f>
        <v>Y</v>
      </c>
      <c r="G1997" s="153" t="s">
        <v>2762</v>
      </c>
      <c r="H1997" s="155"/>
      <c r="I1997" s="155"/>
      <c r="J1997" s="155"/>
      <c r="K1997" s="155"/>
      <c r="L1997" s="155"/>
      <c r="M1997" s="155"/>
      <c r="N1997" s="54"/>
      <c r="O1997" s="54"/>
      <c r="P1997" s="54"/>
      <c r="Q1997" s="54"/>
      <c r="R1997" s="54"/>
      <c r="S1997" s="54"/>
      <c r="T1997" s="54"/>
    </row>
    <row r="1998" spans="1:20" ht="15" customHeight="1" x14ac:dyDescent="0.2">
      <c r="A1998" s="91"/>
      <c r="B1998" s="158"/>
      <c r="C1998" s="148" t="s">
        <v>2763</v>
      </c>
      <c r="D1998" s="91" t="s">
        <v>293</v>
      </c>
      <c r="E1998" s="46">
        <v>1</v>
      </c>
      <c r="F1998" s="143" t="str">
        <f>IF(AND(ISNA(VLOOKUP(D1998,A:A,1,FALSE())),ISNA(VLOOKUP(D1998,BaseType!A:A,1,FALSE())),D1998&lt;&gt;"Struct"),"N","Y")</f>
        <v>Y</v>
      </c>
      <c r="G1998" s="153" t="s">
        <v>2764</v>
      </c>
      <c r="H1998" s="155"/>
      <c r="I1998" s="155"/>
      <c r="J1998" s="155"/>
      <c r="K1998" s="155"/>
      <c r="L1998" s="155"/>
      <c r="M1998" s="155"/>
      <c r="N1998" s="54"/>
      <c r="O1998" s="54"/>
      <c r="P1998" s="54"/>
      <c r="Q1998" s="54"/>
      <c r="R1998" s="54"/>
      <c r="S1998" s="54"/>
      <c r="T1998" s="54"/>
    </row>
    <row r="1999" spans="1:20" ht="15" customHeight="1" x14ac:dyDescent="0.2">
      <c r="A1999" s="91"/>
      <c r="B1999" s="158"/>
      <c r="C1999" s="148" t="s">
        <v>2765</v>
      </c>
      <c r="D1999" s="91" t="s">
        <v>293</v>
      </c>
      <c r="E1999" s="46">
        <v>1</v>
      </c>
      <c r="F1999" s="143" t="str">
        <f>IF(AND(ISNA(VLOOKUP(D1999,A:A,1,FALSE())),ISNA(VLOOKUP(D1999,BaseType!A:A,1,FALSE())),D1999&lt;&gt;"Struct"),"N","Y")</f>
        <v>Y</v>
      </c>
      <c r="G1999" s="153" t="s">
        <v>2766</v>
      </c>
      <c r="H1999" s="155"/>
      <c r="I1999" s="155"/>
      <c r="J1999" s="155"/>
      <c r="K1999" s="155"/>
      <c r="L1999" s="155"/>
      <c r="M1999" s="155"/>
      <c r="N1999" s="54"/>
      <c r="O1999" s="54"/>
      <c r="P1999" s="54"/>
      <c r="Q1999" s="54"/>
      <c r="R1999" s="54"/>
      <c r="S1999" s="54"/>
      <c r="T1999" s="54"/>
    </row>
    <row r="2000" spans="1:20" ht="15" customHeight="1" x14ac:dyDescent="0.2">
      <c r="A2000" s="91" t="s">
        <v>2654</v>
      </c>
      <c r="B2000" s="149" t="str">
        <f>IF(ISBLANK(A2000),"",IF(AND(ISNA(VLOOKUP(A2000,Interface_Platform!E:E,1,FALSE())),ISNA(VLOOKUP(A2000,D:D,1,FALSE()))),"N","Y"))</f>
        <v>Y</v>
      </c>
      <c r="C2000" s="148"/>
      <c r="D2000" s="173" t="s">
        <v>484</v>
      </c>
      <c r="E2000" s="46"/>
      <c r="F2000" s="143" t="str">
        <f>IF(AND(ISNA(VLOOKUP(D2000,A:A,1,FALSE())),ISNA(VLOOKUP(D2000,BaseType!A:A,1,FALSE())),D2000&lt;&gt;"Struct"),"N","Y")</f>
        <v>Y</v>
      </c>
      <c r="G2000" s="153"/>
      <c r="H2000" s="155"/>
      <c r="I2000" s="155"/>
      <c r="J2000" s="155"/>
      <c r="K2000" s="155"/>
      <c r="L2000" s="155"/>
      <c r="M2000" s="155"/>
      <c r="N2000" s="54"/>
      <c r="O2000" s="54"/>
      <c r="P2000" s="54"/>
      <c r="Q2000" s="54"/>
      <c r="R2000" s="54"/>
      <c r="S2000" s="54"/>
      <c r="T2000" s="54"/>
    </row>
    <row r="2001" spans="1:20" ht="15" customHeight="1" x14ac:dyDescent="0.2">
      <c r="A2001" s="91"/>
      <c r="B2001" s="158"/>
      <c r="C2001" s="148" t="s">
        <v>2767</v>
      </c>
      <c r="D2001" s="91" t="s">
        <v>293</v>
      </c>
      <c r="E2001" s="46">
        <v>1</v>
      </c>
      <c r="F2001" s="143" t="str">
        <f>IF(AND(ISNA(VLOOKUP(D2001,A:A,1,FALSE())),ISNA(VLOOKUP(D2001,BaseType!A:A,1,FALSE())),D2001&lt;&gt;"Struct"),"N","Y")</f>
        <v>Y</v>
      </c>
      <c r="G2001" s="153" t="s">
        <v>2768</v>
      </c>
      <c r="H2001" s="155"/>
      <c r="I2001" s="155"/>
      <c r="J2001" s="155"/>
      <c r="K2001" s="155"/>
      <c r="L2001" s="155"/>
      <c r="M2001" s="155"/>
      <c r="N2001" s="54"/>
      <c r="O2001" s="54"/>
      <c r="P2001" s="54"/>
      <c r="Q2001" s="54"/>
      <c r="R2001" s="54"/>
      <c r="S2001" s="54"/>
      <c r="T2001" s="54"/>
    </row>
    <row r="2002" spans="1:20" ht="15" customHeight="1" x14ac:dyDescent="0.2">
      <c r="A2002" s="91"/>
      <c r="B2002" s="158"/>
      <c r="C2002" s="148" t="s">
        <v>2769</v>
      </c>
      <c r="D2002" s="91" t="s">
        <v>293</v>
      </c>
      <c r="E2002" s="46">
        <v>1</v>
      </c>
      <c r="F2002" s="143" t="str">
        <f>IF(AND(ISNA(VLOOKUP(D2002,A:A,1,FALSE())),ISNA(VLOOKUP(D2002,BaseType!A:A,1,FALSE())),D2002&lt;&gt;"Struct"),"N","Y")</f>
        <v>Y</v>
      </c>
      <c r="G2002" s="153" t="s">
        <v>2770</v>
      </c>
      <c r="H2002" s="155"/>
      <c r="I2002" s="155"/>
      <c r="J2002" s="155"/>
      <c r="K2002" s="155"/>
      <c r="L2002" s="155"/>
      <c r="M2002" s="155"/>
      <c r="N2002" s="54"/>
      <c r="O2002" s="54"/>
      <c r="P2002" s="54"/>
      <c r="Q2002" s="54"/>
      <c r="R2002" s="54"/>
      <c r="S2002" s="54"/>
      <c r="T2002" s="54"/>
    </row>
    <row r="2003" spans="1:20" ht="15" customHeight="1" x14ac:dyDescent="0.2">
      <c r="A2003" s="91"/>
      <c r="B2003" s="158"/>
      <c r="C2003" s="148" t="s">
        <v>2771</v>
      </c>
      <c r="D2003" s="91" t="s">
        <v>293</v>
      </c>
      <c r="E2003" s="46">
        <v>1</v>
      </c>
      <c r="F2003" s="143" t="str">
        <f>IF(AND(ISNA(VLOOKUP(D2003,A:A,1,FALSE())),ISNA(VLOOKUP(D2003,BaseType!A:A,1,FALSE())),D2003&lt;&gt;"Struct"),"N","Y")</f>
        <v>Y</v>
      </c>
      <c r="G2003" s="153" t="s">
        <v>2772</v>
      </c>
      <c r="H2003" s="155"/>
      <c r="I2003" s="155"/>
      <c r="J2003" s="155"/>
      <c r="K2003" s="155"/>
      <c r="L2003" s="155"/>
      <c r="M2003" s="155"/>
      <c r="N2003" s="54"/>
      <c r="O2003" s="54"/>
      <c r="P2003" s="54"/>
      <c r="Q2003" s="54"/>
      <c r="R2003" s="54"/>
      <c r="S2003" s="54"/>
      <c r="T2003" s="54"/>
    </row>
    <row r="2004" spans="1:20" ht="15" customHeight="1" x14ac:dyDescent="0.2">
      <c r="A2004" s="91"/>
      <c r="B2004" s="158"/>
      <c r="C2004" s="148" t="s">
        <v>2773</v>
      </c>
      <c r="D2004" s="91" t="s">
        <v>293</v>
      </c>
      <c r="E2004" s="46">
        <v>1</v>
      </c>
      <c r="F2004" s="143" t="str">
        <f>IF(AND(ISNA(VLOOKUP(D2004,A:A,1,FALSE())),ISNA(VLOOKUP(D2004,BaseType!A:A,1,FALSE())),D2004&lt;&gt;"Struct"),"N","Y")</f>
        <v>Y</v>
      </c>
      <c r="G2004" s="153" t="s">
        <v>2774</v>
      </c>
      <c r="H2004" s="155"/>
      <c r="I2004" s="155"/>
      <c r="J2004" s="155"/>
      <c r="K2004" s="155"/>
      <c r="L2004" s="155"/>
      <c r="M2004" s="155"/>
      <c r="N2004" s="54"/>
      <c r="O2004" s="54"/>
      <c r="P2004" s="54"/>
      <c r="Q2004" s="54"/>
      <c r="R2004" s="54"/>
      <c r="S2004" s="54"/>
      <c r="T2004" s="54"/>
    </row>
    <row r="2005" spans="1:20" ht="15" customHeight="1" x14ac:dyDescent="0.2">
      <c r="A2005" s="91"/>
      <c r="B2005" s="158"/>
      <c r="C2005" s="148" t="s">
        <v>2775</v>
      </c>
      <c r="D2005" s="91" t="s">
        <v>293</v>
      </c>
      <c r="E2005" s="46">
        <v>1</v>
      </c>
      <c r="F2005" s="143" t="str">
        <f>IF(AND(ISNA(VLOOKUP(D2005,A:A,1,FALSE())),ISNA(VLOOKUP(D2005,BaseType!A:A,1,FALSE())),D2005&lt;&gt;"Struct"),"N","Y")</f>
        <v>Y</v>
      </c>
      <c r="G2005" s="153" t="s">
        <v>2776</v>
      </c>
      <c r="H2005" s="155"/>
      <c r="I2005" s="155"/>
      <c r="J2005" s="155"/>
      <c r="K2005" s="155"/>
      <c r="L2005" s="155"/>
      <c r="M2005" s="155"/>
      <c r="N2005" s="54"/>
      <c r="O2005" s="54"/>
      <c r="P2005" s="54"/>
      <c r="Q2005" s="54"/>
      <c r="R2005" s="54"/>
      <c r="S2005" s="54"/>
      <c r="T2005" s="54"/>
    </row>
    <row r="2006" spans="1:20" ht="15" customHeight="1" x14ac:dyDescent="0.2">
      <c r="A2006" s="91"/>
      <c r="B2006" s="158"/>
      <c r="C2006" s="148" t="s">
        <v>2777</v>
      </c>
      <c r="D2006" s="91" t="s">
        <v>293</v>
      </c>
      <c r="E2006" s="46">
        <v>1</v>
      </c>
      <c r="F2006" s="143" t="str">
        <f>IF(AND(ISNA(VLOOKUP(D2006,A:A,1,FALSE())),ISNA(VLOOKUP(D2006,BaseType!A:A,1,FALSE())),D2006&lt;&gt;"Struct"),"N","Y")</f>
        <v>Y</v>
      </c>
      <c r="G2006" s="153" t="s">
        <v>2778</v>
      </c>
      <c r="H2006" s="155"/>
      <c r="I2006" s="155"/>
      <c r="J2006" s="155"/>
      <c r="K2006" s="155"/>
      <c r="L2006" s="155"/>
      <c r="M2006" s="155"/>
      <c r="N2006" s="54"/>
      <c r="O2006" s="54"/>
      <c r="P2006" s="54"/>
      <c r="Q2006" s="54"/>
      <c r="R2006" s="54"/>
      <c r="S2006" s="54"/>
      <c r="T2006" s="54"/>
    </row>
    <row r="2007" spans="1:20" ht="15" customHeight="1" x14ac:dyDescent="0.2">
      <c r="A2007" s="91"/>
      <c r="B2007" s="158"/>
      <c r="C2007" s="148" t="s">
        <v>2779</v>
      </c>
      <c r="D2007" s="91" t="s">
        <v>293</v>
      </c>
      <c r="E2007" s="46">
        <v>1</v>
      </c>
      <c r="F2007" s="143" t="str">
        <f>IF(AND(ISNA(VLOOKUP(D2007,A:A,1,FALSE())),ISNA(VLOOKUP(D2007,BaseType!A:A,1,FALSE())),D2007&lt;&gt;"Struct"),"N","Y")</f>
        <v>Y</v>
      </c>
      <c r="G2007" s="153" t="s">
        <v>2780</v>
      </c>
      <c r="H2007" s="155"/>
      <c r="I2007" s="155"/>
      <c r="J2007" s="155"/>
      <c r="K2007" s="155"/>
      <c r="L2007" s="155"/>
      <c r="M2007" s="155"/>
      <c r="N2007" s="54"/>
      <c r="O2007" s="54"/>
      <c r="P2007" s="54"/>
      <c r="Q2007" s="54"/>
      <c r="R2007" s="54"/>
      <c r="S2007" s="54"/>
      <c r="T2007" s="54"/>
    </row>
    <row r="2008" spans="1:20" ht="15" customHeight="1" x14ac:dyDescent="0.2">
      <c r="A2008" s="91"/>
      <c r="B2008" s="158"/>
      <c r="C2008" s="148" t="s">
        <v>2781</v>
      </c>
      <c r="D2008" s="91" t="s">
        <v>293</v>
      </c>
      <c r="E2008" s="46">
        <v>1</v>
      </c>
      <c r="F2008" s="143" t="str">
        <f>IF(AND(ISNA(VLOOKUP(D2008,A:A,1,FALSE())),ISNA(VLOOKUP(D2008,BaseType!A:A,1,FALSE())),D2008&lt;&gt;"Struct"),"N","Y")</f>
        <v>Y</v>
      </c>
      <c r="G2008" s="153" t="s">
        <v>2782</v>
      </c>
      <c r="H2008" s="155"/>
      <c r="I2008" s="155"/>
      <c r="J2008" s="155"/>
      <c r="K2008" s="155"/>
      <c r="L2008" s="155"/>
      <c r="M2008" s="155"/>
      <c r="N2008" s="54"/>
      <c r="O2008" s="54"/>
      <c r="P2008" s="54"/>
      <c r="Q2008" s="54"/>
      <c r="R2008" s="54"/>
      <c r="S2008" s="54"/>
      <c r="T2008" s="54"/>
    </row>
    <row r="2009" spans="1:20" ht="15" customHeight="1" x14ac:dyDescent="0.2">
      <c r="A2009" s="91" t="s">
        <v>2547</v>
      </c>
      <c r="B2009" s="149" t="str">
        <f>IF(ISBLANK(A2009),"",IF(AND(ISNA(VLOOKUP(A2009,Interface_Platform!E:E,1,FALSE())),ISNA(VLOOKUP(A2009,D:D,1,FALSE()))),"N","Y"))</f>
        <v>Y</v>
      </c>
      <c r="C2009" s="148"/>
      <c r="D2009" s="173" t="s">
        <v>484</v>
      </c>
      <c r="E2009" s="46"/>
      <c r="F2009" s="143" t="str">
        <f>IF(AND(ISNA(VLOOKUP(D2009,A:A,1,FALSE())),ISNA(VLOOKUP(D2009,BaseType!A:A,1,FALSE())),D2009&lt;&gt;"Struct"),"N","Y")</f>
        <v>Y</v>
      </c>
      <c r="G2009" s="153"/>
      <c r="H2009" s="155"/>
      <c r="I2009" s="155"/>
      <c r="J2009" s="155"/>
      <c r="K2009" s="155"/>
      <c r="L2009" s="155"/>
      <c r="M2009" s="155"/>
      <c r="N2009" s="54"/>
      <c r="O2009" s="54"/>
      <c r="P2009" s="54"/>
      <c r="Q2009" s="54"/>
      <c r="R2009" s="54"/>
      <c r="S2009" s="54"/>
      <c r="T2009" s="54"/>
    </row>
    <row r="2010" spans="1:20" ht="15" customHeight="1" x14ac:dyDescent="0.2">
      <c r="A2010" s="91"/>
      <c r="B2010" s="158"/>
      <c r="C2010" s="148" t="s">
        <v>2783</v>
      </c>
      <c r="D2010" s="91" t="s">
        <v>193</v>
      </c>
      <c r="E2010" s="46">
        <v>1</v>
      </c>
      <c r="F2010" s="143" t="str">
        <f>IF(AND(ISNA(VLOOKUP(D2010,A:A,1,FALSE())),ISNA(VLOOKUP(D2010,BaseType!A:A,1,FALSE())),D2010&lt;&gt;"Struct"),"N","Y")</f>
        <v>Y</v>
      </c>
      <c r="G2010" s="153" t="s">
        <v>2784</v>
      </c>
      <c r="H2010" s="155"/>
      <c r="I2010" s="155"/>
      <c r="J2010" s="155"/>
      <c r="K2010" s="155"/>
      <c r="L2010" s="155"/>
      <c r="M2010" s="155"/>
      <c r="N2010" s="54"/>
      <c r="O2010" s="54"/>
      <c r="P2010" s="54"/>
      <c r="Q2010" s="54"/>
      <c r="R2010" s="54"/>
      <c r="S2010" s="54"/>
      <c r="T2010" s="54"/>
    </row>
    <row r="2011" spans="1:20" ht="15" customHeight="1" x14ac:dyDescent="0.2">
      <c r="A2011" s="91" t="s">
        <v>406</v>
      </c>
      <c r="B2011" s="149" t="str">
        <f>IF(ISBLANK(A2011),"",IF(AND(ISNA(VLOOKUP(A2011,Interface_Platform!E:E,1,FALSE())),ISNA(VLOOKUP(A2011,D:D,1,FALSE()))),"N","Y"))</f>
        <v>Y</v>
      </c>
      <c r="C2011" s="148"/>
      <c r="D2011" s="173" t="s">
        <v>484</v>
      </c>
      <c r="E2011" s="46"/>
      <c r="F2011" s="143" t="str">
        <f>IF(AND(ISNA(VLOOKUP(D2011,A:A,1,FALSE())),ISNA(VLOOKUP(D2011,BaseType!A:A,1,FALSE())),D2011&lt;&gt;"Struct"),"N","Y")</f>
        <v>Y</v>
      </c>
      <c r="G2011" s="153" t="s">
        <v>2785</v>
      </c>
      <c r="H2011" s="155"/>
      <c r="I2011" s="155"/>
      <c r="J2011" s="155"/>
      <c r="K2011" s="155"/>
      <c r="L2011" s="155"/>
      <c r="M2011" s="155"/>
      <c r="N2011" s="54"/>
      <c r="O2011" s="54"/>
      <c r="P2011" s="54"/>
      <c r="Q2011" s="54"/>
      <c r="R2011" s="54"/>
      <c r="S2011" s="54"/>
      <c r="T2011" s="54"/>
    </row>
    <row r="2012" spans="1:20" ht="15" customHeight="1" x14ac:dyDescent="0.2">
      <c r="A2012" s="91"/>
      <c r="B2012" s="158"/>
      <c r="C2012" s="148" t="s">
        <v>2786</v>
      </c>
      <c r="D2012" s="91" t="s">
        <v>293</v>
      </c>
      <c r="E2012" s="46">
        <v>1</v>
      </c>
      <c r="F2012" s="144" t="str">
        <f>IF(AND(ISNA(VLOOKUP(D2012,A:A,1,FALSE())),ISNA(VLOOKUP(D2012,BaseType!A:A,1,FALSE())),D2012&lt;&gt;"Struct"),"N","Y")</f>
        <v>Y</v>
      </c>
      <c r="G2012" s="153" t="s">
        <v>2787</v>
      </c>
      <c r="H2012" s="155"/>
      <c r="I2012" s="155"/>
      <c r="J2012" s="155"/>
      <c r="K2012" s="155"/>
      <c r="L2012" s="155"/>
      <c r="M2012" s="155"/>
    </row>
    <row r="2013" spans="1:20" ht="15" customHeight="1" x14ac:dyDescent="0.2">
      <c r="A2013" s="91"/>
      <c r="B2013" s="158"/>
      <c r="C2013" s="148" t="s">
        <v>2788</v>
      </c>
      <c r="D2013" s="91" t="s">
        <v>298</v>
      </c>
      <c r="E2013" s="46">
        <v>1</v>
      </c>
      <c r="F2013" s="144" t="str">
        <f>IF(AND(ISNA(VLOOKUP(D2013,A:A,1,FALSE())),ISNA(VLOOKUP(D2013,BaseType!A:A,1,FALSE())),D2013&lt;&gt;"Struct"),"N","Y")</f>
        <v>Y</v>
      </c>
      <c r="G2013" s="153" t="s">
        <v>2789</v>
      </c>
      <c r="H2013" s="155"/>
      <c r="I2013" s="155"/>
      <c r="J2013" s="155"/>
      <c r="K2013" s="155"/>
      <c r="L2013" s="155"/>
      <c r="M2013" s="155"/>
    </row>
    <row r="2014" spans="1:20" ht="15" customHeight="1" x14ac:dyDescent="0.2">
      <c r="A2014" s="91"/>
      <c r="B2014" s="158"/>
      <c r="C2014" s="148" t="s">
        <v>2790</v>
      </c>
      <c r="D2014" s="91" t="s">
        <v>298</v>
      </c>
      <c r="E2014" s="46">
        <v>1</v>
      </c>
      <c r="F2014" s="144" t="str">
        <f>IF(AND(ISNA(VLOOKUP(D2014,A:A,1,FALSE())),ISNA(VLOOKUP(D2014,BaseType!A:A,1,FALSE())),D2014&lt;&gt;"Struct"),"N","Y")</f>
        <v>Y</v>
      </c>
      <c r="G2014" s="153" t="s">
        <v>2791</v>
      </c>
      <c r="H2014" s="155"/>
      <c r="I2014" s="155"/>
      <c r="J2014" s="155"/>
      <c r="K2014" s="155"/>
      <c r="L2014" s="155"/>
      <c r="M2014" s="155"/>
    </row>
    <row r="2015" spans="1:20" ht="15" customHeight="1" x14ac:dyDescent="0.2">
      <c r="A2015" s="91"/>
      <c r="B2015" s="158"/>
      <c r="C2015" s="148" t="s">
        <v>2792</v>
      </c>
      <c r="D2015" s="91" t="s">
        <v>225</v>
      </c>
      <c r="E2015" s="46">
        <v>1</v>
      </c>
      <c r="F2015" s="144" t="str">
        <f>IF(AND(ISNA(VLOOKUP(D2015,A:A,1,FALSE())),ISNA(VLOOKUP(D2015,BaseType!A:A,1,FALSE())),D2015&lt;&gt;"Struct"),"N","Y")</f>
        <v>Y</v>
      </c>
      <c r="G2015" s="153" t="s">
        <v>2793</v>
      </c>
      <c r="H2015" s="155"/>
      <c r="I2015" s="155"/>
      <c r="J2015" s="155"/>
      <c r="K2015" s="155"/>
      <c r="L2015" s="155"/>
      <c r="M2015" s="155"/>
    </row>
    <row r="2016" spans="1:20" ht="15" customHeight="1" x14ac:dyDescent="0.2">
      <c r="A2016" s="91"/>
      <c r="B2016" s="158"/>
      <c r="C2016" s="148" t="s">
        <v>2794</v>
      </c>
      <c r="D2016" s="91" t="s">
        <v>193</v>
      </c>
      <c r="E2016" s="46">
        <v>1</v>
      </c>
      <c r="F2016" s="144" t="str">
        <f>IF(AND(ISNA(VLOOKUP(D2016,A:A,1,FALSE())),ISNA(VLOOKUP(D2016,BaseType!A:A,1,FALSE())),D2016&lt;&gt;"Struct"),"N","Y")</f>
        <v>Y</v>
      </c>
      <c r="G2016" s="153" t="s">
        <v>2795</v>
      </c>
      <c r="H2016" s="155"/>
      <c r="I2016" s="155"/>
      <c r="J2016" s="155"/>
      <c r="K2016" s="155"/>
      <c r="L2016" s="155"/>
      <c r="M2016" s="155"/>
    </row>
    <row r="2017" spans="1:20" ht="15" customHeight="1" x14ac:dyDescent="0.2">
      <c r="A2017" s="91"/>
      <c r="B2017" s="158"/>
      <c r="C2017" s="148" t="s">
        <v>2796</v>
      </c>
      <c r="D2017" s="91" t="s">
        <v>193</v>
      </c>
      <c r="E2017" s="46">
        <v>1</v>
      </c>
      <c r="F2017" s="144" t="str">
        <f>IF(AND(ISNA(VLOOKUP(D2017,A:A,1,FALSE())),ISNA(VLOOKUP(D2017,BaseType!A:A,1,FALSE())),D2017&lt;&gt;"Struct"),"N","Y")</f>
        <v>Y</v>
      </c>
      <c r="G2017" s="153" t="s">
        <v>2797</v>
      </c>
      <c r="H2017" s="155"/>
      <c r="I2017" s="155"/>
      <c r="J2017" s="155"/>
      <c r="K2017" s="155"/>
      <c r="L2017" s="155"/>
      <c r="M2017" s="155"/>
    </row>
    <row r="2018" spans="1:20" ht="15" customHeight="1" x14ac:dyDescent="0.2">
      <c r="A2018" s="91"/>
      <c r="B2018" s="158"/>
      <c r="C2018" s="148" t="s">
        <v>2798</v>
      </c>
      <c r="D2018" s="91" t="s">
        <v>193</v>
      </c>
      <c r="E2018" s="46">
        <v>1</v>
      </c>
      <c r="F2018" s="144" t="str">
        <f>IF(AND(ISNA(VLOOKUP(D2018,A:A,1,FALSE())),ISNA(VLOOKUP(D2018,BaseType!A:A,1,FALSE())),D2018&lt;&gt;"Struct"),"N","Y")</f>
        <v>Y</v>
      </c>
      <c r="G2018" s="153" t="s">
        <v>2799</v>
      </c>
      <c r="H2018" s="155"/>
      <c r="I2018" s="155"/>
      <c r="J2018" s="155"/>
      <c r="K2018" s="155"/>
      <c r="L2018" s="155"/>
      <c r="M2018" s="155"/>
    </row>
    <row r="2019" spans="1:20" ht="15" customHeight="1" x14ac:dyDescent="0.2">
      <c r="A2019" s="91"/>
      <c r="B2019" s="158"/>
      <c r="C2019" s="148" t="s">
        <v>2800</v>
      </c>
      <c r="D2019" s="91" t="s">
        <v>225</v>
      </c>
      <c r="E2019" s="46">
        <v>1</v>
      </c>
      <c r="F2019" s="144" t="str">
        <f>IF(AND(ISNA(VLOOKUP(D2019,A:A,1,FALSE())),ISNA(VLOOKUP(D2019,BaseType!A:A,1,FALSE())),D2019&lt;&gt;"Struct"),"N","Y")</f>
        <v>Y</v>
      </c>
      <c r="G2019" s="153" t="s">
        <v>2801</v>
      </c>
      <c r="H2019" s="155"/>
      <c r="I2019" s="155"/>
      <c r="J2019" s="155"/>
      <c r="K2019" s="155"/>
      <c r="L2019" s="155"/>
      <c r="M2019" s="155"/>
    </row>
    <row r="2020" spans="1:20" ht="15" customHeight="1" x14ac:dyDescent="0.2">
      <c r="A2020" s="91"/>
      <c r="B2020" s="158"/>
      <c r="C2020" s="148" t="s">
        <v>2802</v>
      </c>
      <c r="D2020" s="91" t="s">
        <v>225</v>
      </c>
      <c r="E2020" s="46">
        <v>1</v>
      </c>
      <c r="F2020" s="144" t="str">
        <f>IF(AND(ISNA(VLOOKUP(D2020,A:A,1,FALSE())),ISNA(VLOOKUP(D2020,BaseType!A:A,1,FALSE())),D2020&lt;&gt;"Struct"),"N","Y")</f>
        <v>Y</v>
      </c>
      <c r="G2020" s="153" t="s">
        <v>2803</v>
      </c>
      <c r="H2020" s="155"/>
      <c r="I2020" s="155"/>
      <c r="J2020" s="155"/>
      <c r="K2020" s="155"/>
      <c r="L2020" s="155"/>
      <c r="M2020" s="155"/>
    </row>
    <row r="2021" spans="1:20" ht="15" customHeight="1" x14ac:dyDescent="0.2">
      <c r="A2021" s="91"/>
      <c r="B2021" s="158"/>
      <c r="C2021" s="148" t="s">
        <v>2804</v>
      </c>
      <c r="D2021" s="91" t="s">
        <v>2805</v>
      </c>
      <c r="E2021" s="46">
        <v>30</v>
      </c>
      <c r="F2021" s="144" t="str">
        <f>IF(AND(ISNA(VLOOKUP(D2021,A:A,1,FALSE())),ISNA(VLOOKUP(D2021,BaseType!A:A,1,FALSE())),D2021&lt;&gt;"Struct"),"N","Y")</f>
        <v>Y</v>
      </c>
      <c r="G2021" s="153" t="s">
        <v>2806</v>
      </c>
      <c r="H2021" s="155"/>
      <c r="I2021" s="155"/>
      <c r="J2021" s="155"/>
      <c r="K2021" s="155"/>
      <c r="L2021" s="155"/>
      <c r="M2021" s="155"/>
    </row>
    <row r="2022" spans="1:20" ht="15" customHeight="1" x14ac:dyDescent="0.2">
      <c r="A2022" s="91"/>
      <c r="B2022" s="158"/>
      <c r="C2022" s="148" t="s">
        <v>2807</v>
      </c>
      <c r="D2022" s="91" t="s">
        <v>225</v>
      </c>
      <c r="E2022" s="46">
        <v>1</v>
      </c>
      <c r="F2022" s="144" t="str">
        <f>IF(AND(ISNA(VLOOKUP(D2022,A:A,1,FALSE())),ISNA(VLOOKUP(D2022,BaseType!A:A,1,FALSE())),D2022&lt;&gt;"Struct"),"N","Y")</f>
        <v>Y</v>
      </c>
      <c r="G2022" s="153" t="s">
        <v>2808</v>
      </c>
      <c r="H2022" s="155"/>
      <c r="I2022" s="155"/>
      <c r="J2022" s="155"/>
      <c r="K2022" s="155"/>
      <c r="L2022" s="155"/>
      <c r="M2022" s="155"/>
    </row>
    <row r="2023" spans="1:20" ht="15" customHeight="1" x14ac:dyDescent="0.2">
      <c r="A2023" s="91" t="s">
        <v>2805</v>
      </c>
      <c r="B2023" s="149" t="str">
        <f>IF(ISBLANK(A2023),"",IF(AND(ISNA(VLOOKUP(A2023,Interface_Platform!E:E,1,FALSE())),ISNA(VLOOKUP(A2023,D:D,1,FALSE()))),"N","Y"))</f>
        <v>Y</v>
      </c>
      <c r="C2023" s="148"/>
      <c r="D2023" s="91" t="s">
        <v>484</v>
      </c>
      <c r="E2023" s="46"/>
      <c r="F2023" s="144" t="str">
        <f>IF(AND(ISNA(VLOOKUP(D2023,A:A,1,FALSE())),ISNA(VLOOKUP(D2023,BaseType!A:A,1,FALSE())),D2023&lt;&gt;"Struct"),"N","Y")</f>
        <v>Y</v>
      </c>
      <c r="G2023" s="153"/>
      <c r="H2023" s="155"/>
      <c r="I2023" s="155"/>
      <c r="J2023" s="155"/>
      <c r="K2023" s="155"/>
      <c r="L2023" s="155"/>
      <c r="M2023" s="155"/>
    </row>
    <row r="2024" spans="1:20" ht="15" customHeight="1" x14ac:dyDescent="0.2">
      <c r="A2024" s="91"/>
      <c r="B2024" s="158"/>
      <c r="C2024" s="148" t="s">
        <v>2809</v>
      </c>
      <c r="D2024" s="91" t="s">
        <v>225</v>
      </c>
      <c r="E2024" s="46">
        <v>1</v>
      </c>
      <c r="F2024" s="144" t="str">
        <f>IF(AND(ISNA(VLOOKUP(D2024,A:A,1,FALSE())),ISNA(VLOOKUP(D2024,BaseType!A:A,1,FALSE())),D2024&lt;&gt;"Struct"),"N","Y")</f>
        <v>Y</v>
      </c>
      <c r="G2024" s="153" t="s">
        <v>2810</v>
      </c>
      <c r="H2024" s="155"/>
      <c r="I2024" s="155"/>
      <c r="J2024" s="155"/>
      <c r="K2024" s="155"/>
      <c r="L2024" s="155"/>
      <c r="M2024" s="155"/>
    </row>
    <row r="2025" spans="1:20" ht="15" customHeight="1" x14ac:dyDescent="0.2">
      <c r="A2025" s="91"/>
      <c r="B2025" s="158"/>
      <c r="C2025" s="148" t="s">
        <v>2811</v>
      </c>
      <c r="D2025" s="91" t="s">
        <v>225</v>
      </c>
      <c r="E2025" s="46">
        <v>1</v>
      </c>
      <c r="F2025" s="144" t="str">
        <f>IF(AND(ISNA(VLOOKUP(D2025,A:A,1,FALSE())),ISNA(VLOOKUP(D2025,BaseType!A:A,1,FALSE())),D2025&lt;&gt;"Struct"),"N","Y")</f>
        <v>Y</v>
      </c>
      <c r="G2025" s="153" t="s">
        <v>2812</v>
      </c>
      <c r="H2025" s="155"/>
      <c r="I2025" s="155"/>
      <c r="J2025" s="155"/>
      <c r="K2025" s="155"/>
      <c r="L2025" s="155"/>
      <c r="M2025" s="155"/>
    </row>
    <row r="2026" spans="1:20" ht="15" customHeight="1" x14ac:dyDescent="0.2">
      <c r="A2026" s="91"/>
      <c r="B2026" s="158"/>
      <c r="C2026" s="148" t="s">
        <v>2813</v>
      </c>
      <c r="D2026" s="91" t="s">
        <v>225</v>
      </c>
      <c r="E2026" s="46">
        <v>1</v>
      </c>
      <c r="F2026" s="144" t="str">
        <f>IF(AND(ISNA(VLOOKUP(D2026,A:A,1,FALSE())),ISNA(VLOOKUP(D2026,BaseType!A:A,1,FALSE())),D2026&lt;&gt;"Struct"),"N","Y")</f>
        <v>Y</v>
      </c>
      <c r="G2026" s="153" t="s">
        <v>2814</v>
      </c>
      <c r="H2026" s="155"/>
      <c r="I2026" s="155"/>
      <c r="J2026" s="155"/>
      <c r="K2026" s="155"/>
      <c r="L2026" s="155"/>
      <c r="M2026" s="155"/>
    </row>
    <row r="2027" spans="1:20" ht="15" customHeight="1" x14ac:dyDescent="0.2">
      <c r="A2027" s="91" t="s">
        <v>274</v>
      </c>
      <c r="B2027" s="149" t="str">
        <f>IF(ISBLANK(A2027),"",IF(AND(ISNA(VLOOKUP(A2027,Interface_Platform!E:E,1,FALSE())),ISNA(VLOOKUP(A2027,D:D,1,FALSE()))),"N","Y"))</f>
        <v>Y</v>
      </c>
      <c r="C2027" s="148"/>
      <c r="D2027" s="173" t="s">
        <v>484</v>
      </c>
      <c r="E2027" s="46"/>
      <c r="F2027" s="144" t="str">
        <f>IF(AND(ISNA(VLOOKUP(D2027,A:A,1,FALSE())),ISNA(VLOOKUP(D2027,BaseType!A:A,1,FALSE())),D2027&lt;&gt;"Struct"),"N","Y")</f>
        <v>Y</v>
      </c>
      <c r="G2027" s="153"/>
      <c r="H2027" s="155"/>
      <c r="I2027" s="155"/>
      <c r="J2027" s="155"/>
      <c r="K2027" s="155"/>
      <c r="L2027" s="155"/>
      <c r="M2027" s="155"/>
      <c r="N2027" s="54"/>
      <c r="O2027" s="54"/>
      <c r="P2027" s="54"/>
      <c r="Q2027" s="54"/>
      <c r="R2027" s="54"/>
      <c r="S2027" s="54"/>
      <c r="T2027" s="54"/>
    </row>
    <row r="2028" spans="1:20" ht="15" customHeight="1" x14ac:dyDescent="0.2">
      <c r="A2028" s="208"/>
      <c r="B2028" s="210"/>
      <c r="C2028" s="211" t="s">
        <v>2485</v>
      </c>
      <c r="D2028" s="208" t="s">
        <v>293</v>
      </c>
      <c r="E2028" s="212">
        <v>1</v>
      </c>
      <c r="F2028" s="209" t="str">
        <f>IF(AND(ISNA(VLOOKUP(D2028,A:A,1,FALSE())),ISNA(VLOOKUP(D2028,BaseType!A:A,1,FALSE())),D2028&lt;&gt;"Struct"),"N","Y")</f>
        <v>Y</v>
      </c>
      <c r="G2028" s="207" t="s">
        <v>2815</v>
      </c>
      <c r="H2028" s="206"/>
      <c r="I2028" s="206"/>
      <c r="J2028" s="206"/>
      <c r="K2028" s="206"/>
      <c r="L2028" s="206"/>
      <c r="M2028" s="206"/>
      <c r="N2028" s="54"/>
      <c r="O2028" s="54"/>
      <c r="P2028" s="54"/>
      <c r="Q2028" s="54"/>
      <c r="R2028" s="54"/>
      <c r="S2028" s="54"/>
      <c r="T2028" s="54"/>
    </row>
    <row r="2029" spans="1:20" ht="15" customHeight="1" x14ac:dyDescent="0.2">
      <c r="A2029" s="91"/>
      <c r="B2029" s="158"/>
      <c r="C2029" s="148" t="s">
        <v>2486</v>
      </c>
      <c r="D2029" s="91" t="s">
        <v>293</v>
      </c>
      <c r="E2029" s="46">
        <v>1</v>
      </c>
      <c r="F2029" s="144" t="str">
        <f>IF(AND(ISNA(VLOOKUP(D2029,A:A,1,FALSE())),ISNA(VLOOKUP(D2029,BaseType!A:A,1,FALSE())),D2029&lt;&gt;"Struct"),"N","Y")</f>
        <v>Y</v>
      </c>
      <c r="G2029" s="153" t="s">
        <v>2816</v>
      </c>
      <c r="H2029" s="155"/>
      <c r="I2029" s="155"/>
      <c r="J2029" s="155"/>
      <c r="K2029" s="155"/>
      <c r="L2029" s="155"/>
      <c r="M2029" s="155"/>
      <c r="N2029" s="51"/>
      <c r="O2029" s="51"/>
      <c r="P2029" s="51"/>
      <c r="Q2029" s="51"/>
      <c r="R2029" s="51"/>
      <c r="S2029" s="51"/>
      <c r="T2029" s="51"/>
    </row>
    <row r="2030" spans="1:20" ht="15" customHeight="1" x14ac:dyDescent="0.2">
      <c r="A2030" s="91"/>
      <c r="B2030" s="158"/>
      <c r="C2030" s="148" t="s">
        <v>2487</v>
      </c>
      <c r="D2030" s="91" t="s">
        <v>293</v>
      </c>
      <c r="E2030" s="46">
        <v>1</v>
      </c>
      <c r="F2030" s="144" t="str">
        <f>IF(AND(ISNA(VLOOKUP(D2030,A:A,1,FALSE())),ISNA(VLOOKUP(D2030,BaseType!A:A,1,FALSE())),D2030&lt;&gt;"Struct"),"N","Y")</f>
        <v>Y</v>
      </c>
      <c r="G2030" s="153" t="s">
        <v>2817</v>
      </c>
      <c r="H2030" s="155"/>
      <c r="I2030" s="155"/>
      <c r="J2030" s="155"/>
      <c r="K2030" s="155"/>
      <c r="L2030" s="155"/>
      <c r="M2030" s="155"/>
      <c r="N2030" s="51"/>
      <c r="O2030" s="51"/>
      <c r="P2030" s="51"/>
      <c r="Q2030" s="51"/>
      <c r="R2030" s="51"/>
      <c r="S2030" s="51"/>
      <c r="T2030" s="51"/>
    </row>
    <row r="2031" spans="1:20" ht="15" customHeight="1" x14ac:dyDescent="0.2">
      <c r="A2031" s="91"/>
      <c r="B2031" s="158"/>
      <c r="C2031" s="148" t="s">
        <v>2488</v>
      </c>
      <c r="D2031" s="91" t="s">
        <v>293</v>
      </c>
      <c r="E2031" s="46">
        <v>1</v>
      </c>
      <c r="F2031" s="144" t="str">
        <f>IF(AND(ISNA(VLOOKUP(D2031,A:A,1,FALSE())),ISNA(VLOOKUP(D2031,BaseType!A:A,1,FALSE())),D2031&lt;&gt;"Struct"),"N","Y")</f>
        <v>Y</v>
      </c>
      <c r="G2031" s="153" t="s">
        <v>2818</v>
      </c>
      <c r="H2031" s="155"/>
      <c r="I2031" s="155"/>
      <c r="J2031" s="155"/>
      <c r="K2031" s="155"/>
      <c r="L2031" s="155"/>
      <c r="M2031" s="155"/>
      <c r="N2031" s="51"/>
      <c r="O2031" s="51"/>
      <c r="P2031" s="51"/>
      <c r="Q2031" s="51"/>
      <c r="R2031" s="51"/>
      <c r="S2031" s="51"/>
      <c r="T2031" s="51"/>
    </row>
    <row r="2032" spans="1:20" ht="15" customHeight="1" x14ac:dyDescent="0.2">
      <c r="A2032" s="226" t="s">
        <v>451</v>
      </c>
      <c r="B2032" s="223" t="str">
        <f>IF(ISBLANK(A2032),"",IF(AND(ISNA(VLOOKUP(A2032,Interface_Platform!E:E,1,FALSE())),ISNA(VLOOKUP(A2032,D:D,1,FALSE()))),"N","Y"))</f>
        <v>Y</v>
      </c>
      <c r="C2032" s="115"/>
      <c r="D2032" s="173" t="s">
        <v>484</v>
      </c>
      <c r="E2032" s="225"/>
      <c r="F2032" s="144" t="str">
        <f>IF(AND(ISNA(VLOOKUP(D2032,A:A,1,FALSE())),ISNA(VLOOKUP(D2032,BaseType!A:A,1,FALSE())),D2032&lt;&gt;"Struct"),"N","Y")</f>
        <v>Y</v>
      </c>
      <c r="G2032" s="224"/>
      <c r="H2032" s="115"/>
      <c r="I2032" s="115"/>
      <c r="J2032" s="115"/>
      <c r="K2032" s="115"/>
      <c r="L2032" s="115"/>
      <c r="M2032" s="115"/>
      <c r="N2032" s="115"/>
      <c r="O2032" s="115"/>
      <c r="P2032" s="115"/>
      <c r="Q2032" s="115"/>
      <c r="R2032" s="115"/>
      <c r="S2032" s="115"/>
      <c r="T2032" s="115"/>
    </row>
    <row r="2033" spans="1:20" ht="15" customHeight="1" x14ac:dyDescent="0.2">
      <c r="A2033" s="51"/>
      <c r="B2033" s="51"/>
      <c r="C2033" s="51" t="s">
        <v>202</v>
      </c>
      <c r="D2033" s="80" t="s">
        <v>203</v>
      </c>
      <c r="E2033" s="171">
        <v>1</v>
      </c>
      <c r="F2033" s="144" t="str">
        <f>IF(AND(ISNA(VLOOKUP(D2033,A:A,1,FALSE())),ISNA(VLOOKUP(D2033,BaseType!A:A,1,FALSE())),D2033&lt;&gt;"Struct"),"N","Y")</f>
        <v>Y</v>
      </c>
      <c r="G2033" s="172"/>
      <c r="H2033" s="51"/>
      <c r="I2033" s="51"/>
      <c r="J2033" s="51"/>
      <c r="K2033" s="51"/>
      <c r="L2033" s="51"/>
      <c r="M2033" s="51"/>
      <c r="N2033" s="51"/>
      <c r="O2033" s="51"/>
      <c r="P2033" s="51"/>
      <c r="Q2033" s="51"/>
      <c r="R2033" s="51"/>
      <c r="S2033" s="51"/>
      <c r="T2033" s="51"/>
    </row>
    <row r="2034" spans="1:20" ht="15" customHeight="1" x14ac:dyDescent="0.2">
      <c r="A2034" s="80" t="s">
        <v>453</v>
      </c>
      <c r="B2034" s="149" t="str">
        <f>IF(ISBLANK(A2034),"",IF(AND(ISNA(VLOOKUP(A2034,Interface_Platform!E:E,1,FALSE())),ISNA(VLOOKUP(A2034,D:D,1,FALSE()))),"N","Y"))</f>
        <v>Y</v>
      </c>
      <c r="C2034" s="51"/>
      <c r="D2034" s="173" t="s">
        <v>484</v>
      </c>
      <c r="E2034" s="171"/>
      <c r="F2034" s="144" t="str">
        <f>IF(AND(ISNA(VLOOKUP(D2034,A:A,1,FALSE())),ISNA(VLOOKUP(D2034,BaseType!A:A,1,FALSE())),D2034&lt;&gt;"Struct"),"N","Y")</f>
        <v>Y</v>
      </c>
      <c r="G2034" s="172"/>
      <c r="H2034" s="51"/>
      <c r="I2034" s="51"/>
      <c r="J2034" s="51"/>
      <c r="K2034" s="51"/>
      <c r="L2034" s="51"/>
      <c r="M2034" s="51"/>
      <c r="N2034" s="51"/>
      <c r="O2034" s="51"/>
      <c r="P2034" s="51"/>
      <c r="Q2034" s="51"/>
      <c r="R2034" s="51"/>
      <c r="S2034" s="51"/>
      <c r="T2034" s="51"/>
    </row>
    <row r="2035" spans="1:20" ht="15" customHeight="1" x14ac:dyDescent="0.2">
      <c r="A2035" s="51"/>
      <c r="B2035" s="149"/>
      <c r="C2035" s="51" t="s">
        <v>458</v>
      </c>
      <c r="D2035" s="80" t="s">
        <v>234</v>
      </c>
      <c r="E2035" s="171">
        <v>1</v>
      </c>
      <c r="F2035" s="144" t="str">
        <f>IF(AND(ISNA(VLOOKUP(D2035,A:A,1,FALSE())),ISNA(VLOOKUP(D2035,BaseType!A:A,1,FALSE())),D2035&lt;&gt;"Struct"),"N","Y")</f>
        <v>Y</v>
      </c>
      <c r="G2035" s="172"/>
      <c r="H2035" s="51"/>
      <c r="I2035" s="51"/>
      <c r="J2035" s="51"/>
      <c r="K2035" s="51"/>
      <c r="L2035" s="51"/>
      <c r="M2035" s="51"/>
      <c r="N2035" s="51"/>
      <c r="O2035" s="51"/>
      <c r="P2035" s="51"/>
      <c r="Q2035" s="51"/>
      <c r="R2035" s="51"/>
      <c r="S2035" s="51"/>
      <c r="T2035" s="51"/>
    </row>
    <row r="2036" spans="1:20" ht="15" customHeight="1" x14ac:dyDescent="0.2">
      <c r="A2036" s="51"/>
      <c r="B2036" s="149" t="str">
        <f>IF(ISBLANK(A2036),"",IF(AND(ISNA(VLOOKUP(A2036,Interface_Platform!E:E,1,FALSE())),ISNA(VLOOKUP(A2036,D:D,1,FALSE()))),"N","Y"))</f>
        <v/>
      </c>
      <c r="C2036" s="51" t="s">
        <v>247</v>
      </c>
      <c r="D2036" s="80" t="s">
        <v>248</v>
      </c>
      <c r="E2036" s="171">
        <v>1</v>
      </c>
      <c r="F2036" s="144" t="str">
        <f>IF(AND(ISNA(VLOOKUP(D2036,A:A,1,FALSE())),ISNA(VLOOKUP(D2036,BaseType!A:A,1,FALSE())),D2036&lt;&gt;"Struct"),"N","Y")</f>
        <v>Y</v>
      </c>
      <c r="G2036" s="172"/>
      <c r="H2036" s="51"/>
      <c r="I2036" s="51"/>
      <c r="J2036" s="51"/>
      <c r="K2036" s="51"/>
      <c r="L2036" s="51"/>
      <c r="M2036" s="51"/>
      <c r="N2036" s="51"/>
      <c r="O2036" s="51"/>
      <c r="P2036" s="51"/>
      <c r="Q2036" s="51"/>
      <c r="R2036" s="51"/>
      <c r="S2036" s="51"/>
      <c r="T2036" s="51"/>
    </row>
    <row r="2037" spans="1:20" ht="15" customHeight="1" x14ac:dyDescent="0.2">
      <c r="A2037" s="51" t="s">
        <v>264</v>
      </c>
      <c r="B2037" s="149" t="str">
        <f>IF(ISBLANK(A2037),"",IF(AND(ISNA(VLOOKUP(A2037,Interface_Platform!E:E,1,FALSE())),ISNA(VLOOKUP(A2037,D:D,1,FALSE()))),"N","Y"))</f>
        <v>Y</v>
      </c>
      <c r="C2037" s="51"/>
      <c r="D2037" s="173" t="s">
        <v>484</v>
      </c>
      <c r="E2037" s="171"/>
      <c r="F2037" s="144" t="str">
        <f>IF(AND(ISNA(VLOOKUP(D2037,A:A,1,FALSE())),ISNA(VLOOKUP(D2037,BaseType!A:A,1,FALSE())),D2037&lt;&gt;"Struct"),"N","Y")</f>
        <v>Y</v>
      </c>
      <c r="G2037" s="172"/>
      <c r="H2037" s="51"/>
      <c r="I2037" s="51"/>
      <c r="J2037" s="51"/>
      <c r="K2037" s="51"/>
      <c r="L2037" s="51"/>
      <c r="M2037" s="51"/>
      <c r="N2037" s="51"/>
      <c r="O2037" s="51"/>
      <c r="P2037" s="51"/>
      <c r="Q2037" s="51"/>
      <c r="R2037" s="51"/>
      <c r="S2037" s="51"/>
      <c r="T2037" s="51"/>
    </row>
    <row r="2038" spans="1:20" ht="15" customHeight="1" x14ac:dyDescent="0.2">
      <c r="A2038" s="91"/>
      <c r="B2038" s="149" t="str">
        <f>IF(ISBLANK(A2038),"",IF(AND(ISNA(VLOOKUP(A2038,Interface_Platform!E:E,1,FALSE())),ISNA(VLOOKUP(A2038,D:D,1,FALSE()))),"N","Y"))</f>
        <v/>
      </c>
      <c r="C2038" s="148" t="s">
        <v>2819</v>
      </c>
      <c r="D2038" s="91" t="s">
        <v>193</v>
      </c>
      <c r="E2038" s="46">
        <v>1</v>
      </c>
      <c r="F2038" s="144" t="str">
        <f>IF(AND(ISNA(VLOOKUP(D2038,A:A,1,FALSE())),ISNA(VLOOKUP(D2038,BaseType!A:A,1,FALSE())),D2038&lt;&gt;"Struct"),"N","Y")</f>
        <v>Y</v>
      </c>
      <c r="G2038" s="153" t="s">
        <v>2820</v>
      </c>
      <c r="H2038" s="141"/>
      <c r="I2038" s="141"/>
      <c r="J2038" s="141"/>
      <c r="K2038" s="141"/>
      <c r="L2038" s="141"/>
      <c r="M2038" s="141"/>
      <c r="N2038" s="51"/>
      <c r="O2038" s="51"/>
      <c r="P2038" s="51"/>
      <c r="Q2038" s="51"/>
      <c r="R2038" s="51"/>
      <c r="S2038" s="51"/>
      <c r="T2038" s="51"/>
    </row>
    <row r="2039" spans="1:20" ht="15" customHeight="1" x14ac:dyDescent="0.2">
      <c r="A2039" s="177"/>
      <c r="B2039" s="149"/>
      <c r="C2039" s="168" t="s">
        <v>2821</v>
      </c>
      <c r="D2039" s="91" t="s">
        <v>193</v>
      </c>
      <c r="E2039" s="178">
        <v>1</v>
      </c>
      <c r="F2039" s="144" t="str">
        <f>IF(AND(ISNA(VLOOKUP(D2039,A:A,1,FALSE())),ISNA(VLOOKUP(D2039,BaseType!A:A,1,FALSE())),D2039&lt;&gt;"Struct"),"N","Y")</f>
        <v>Y</v>
      </c>
      <c r="G2039" s="175" t="s">
        <v>2822</v>
      </c>
      <c r="H2039" s="176"/>
      <c r="I2039" s="176"/>
      <c r="J2039" s="176"/>
      <c r="K2039" s="176"/>
      <c r="L2039" s="176"/>
      <c r="M2039" s="176"/>
      <c r="N2039" s="54"/>
      <c r="O2039" s="54"/>
      <c r="P2039" s="54"/>
      <c r="Q2039" s="54"/>
      <c r="R2039" s="54"/>
      <c r="S2039" s="54"/>
      <c r="T2039" s="54"/>
    </row>
    <row r="2040" spans="1:20" ht="15" customHeight="1" x14ac:dyDescent="0.2">
      <c r="A2040" s="177"/>
      <c r="B2040" s="149" t="str">
        <f>IF(ISBLANK(A2040),"",IF(AND(ISNA(VLOOKUP(A2040,Interface_Platform!E:E,1,FALSE())),ISNA(VLOOKUP(A2040,D:D,1,FALSE()))),"N","Y"))</f>
        <v/>
      </c>
      <c r="C2040" s="168" t="s">
        <v>2823</v>
      </c>
      <c r="D2040" s="177" t="s">
        <v>193</v>
      </c>
      <c r="E2040" s="178">
        <v>1</v>
      </c>
      <c r="F2040" s="144" t="str">
        <f>IF(AND(ISNA(VLOOKUP(D2040,A:A,1,FALSE())),ISNA(VLOOKUP(D2040,BaseType!A:A,1,FALSE())),D2040&lt;&gt;"Struct"),"N","Y")</f>
        <v>Y</v>
      </c>
      <c r="G2040" s="175" t="s">
        <v>2824</v>
      </c>
      <c r="H2040" s="176"/>
      <c r="I2040" s="176"/>
      <c r="J2040" s="176"/>
      <c r="K2040" s="176"/>
      <c r="L2040" s="176"/>
      <c r="M2040" s="176"/>
      <c r="N2040" s="54"/>
      <c r="O2040" s="54"/>
      <c r="P2040" s="54"/>
      <c r="Q2040" s="54"/>
      <c r="R2040" s="54"/>
      <c r="S2040" s="54"/>
      <c r="T2040" s="54"/>
    </row>
    <row r="2041" spans="1:20" ht="15" customHeight="1" x14ac:dyDescent="0.2">
      <c r="A2041" s="91"/>
      <c r="B2041" s="149" t="str">
        <f>IF(ISBLANK(A2041),"",IF(AND(ISNA(VLOOKUP(A2041,Interface_Platform!E:E,1,FALSE())),ISNA(VLOOKUP(A2041,D:D,1,FALSE()))),"N","Y"))</f>
        <v/>
      </c>
      <c r="C2041" s="148" t="s">
        <v>2825</v>
      </c>
      <c r="D2041" s="91" t="s">
        <v>193</v>
      </c>
      <c r="E2041" s="46">
        <v>1</v>
      </c>
      <c r="F2041" s="144" t="str">
        <f>IF(AND(ISNA(VLOOKUP(D2041,A:A,1,FALSE())),ISNA(VLOOKUP(D2041,BaseType!A:A,1,FALSE())),D2041&lt;&gt;"Struct"),"N","Y")</f>
        <v>Y</v>
      </c>
      <c r="G2041" s="153" t="s">
        <v>2430</v>
      </c>
      <c r="H2041" s="155"/>
      <c r="I2041" s="155"/>
      <c r="J2041" s="155"/>
      <c r="K2041" s="155"/>
      <c r="L2041" s="155"/>
      <c r="M2041" s="155"/>
      <c r="N2041" s="54"/>
      <c r="O2041" s="54"/>
      <c r="P2041" s="54"/>
      <c r="Q2041" s="54"/>
      <c r="R2041" s="54"/>
      <c r="S2041" s="54"/>
      <c r="T2041" s="54"/>
    </row>
    <row r="2042" spans="1:20" ht="15" customHeight="1" x14ac:dyDescent="0.2">
      <c r="A2042" s="91"/>
      <c r="B2042" s="149" t="str">
        <f>IF(ISBLANK(A2042),"",IF(AND(ISNA(VLOOKUP(A2042,Interface_Platform!E:E,1,FALSE())),ISNA(VLOOKUP(A2042,D:D,1,FALSE()))),"N","Y"))</f>
        <v/>
      </c>
      <c r="C2042" s="148" t="s">
        <v>2826</v>
      </c>
      <c r="D2042" s="91" t="s">
        <v>193</v>
      </c>
      <c r="E2042" s="46">
        <v>1</v>
      </c>
      <c r="F2042" s="144" t="str">
        <f>IF(AND(ISNA(VLOOKUP(D2042,A:A,1,FALSE())),ISNA(VLOOKUP(D2042,BaseType!A:A,1,FALSE())),D2042&lt;&gt;"Struct"),"N","Y")</f>
        <v>Y</v>
      </c>
      <c r="G2042" s="153" t="s">
        <v>2827</v>
      </c>
      <c r="H2042" s="155"/>
      <c r="I2042" s="155"/>
      <c r="J2042" s="155"/>
      <c r="K2042" s="155"/>
      <c r="L2042" s="155"/>
      <c r="M2042" s="155"/>
      <c r="N2042" s="54"/>
      <c r="O2042" s="54"/>
      <c r="P2042" s="54"/>
      <c r="Q2042" s="54"/>
      <c r="R2042" s="54"/>
      <c r="S2042" s="54"/>
      <c r="T2042" s="54"/>
    </row>
    <row r="2043" spans="1:20" ht="15" customHeight="1" x14ac:dyDescent="0.2">
      <c r="A2043" s="91"/>
      <c r="B2043" s="149" t="str">
        <f>IF(ISBLANK(A2043),"",IF(AND(ISNA(VLOOKUP(A2043,Interface_Platform!E:E,1,FALSE())),ISNA(VLOOKUP(A2043,D:D,1,FALSE()))),"N","Y"))</f>
        <v/>
      </c>
      <c r="C2043" s="148" t="s">
        <v>2828</v>
      </c>
      <c r="D2043" s="91" t="s">
        <v>764</v>
      </c>
      <c r="E2043" s="46">
        <v>1</v>
      </c>
      <c r="F2043" s="144" t="str">
        <f>IF(AND(ISNA(VLOOKUP(D2043,A:A,1,FALSE())),ISNA(VLOOKUP(D2043,BaseType!A:A,1,FALSE())),D2043&lt;&gt;"Struct"),"N","Y")</f>
        <v>Y</v>
      </c>
      <c r="G2043" s="153" t="s">
        <v>2829</v>
      </c>
      <c r="H2043" s="141"/>
      <c r="I2043" s="141"/>
      <c r="J2043" s="141"/>
      <c r="K2043" s="141"/>
      <c r="L2043" s="141"/>
      <c r="M2043" s="141"/>
      <c r="N2043" s="54"/>
      <c r="O2043" s="54"/>
      <c r="P2043" s="54"/>
      <c r="Q2043" s="54"/>
      <c r="R2043" s="54"/>
      <c r="S2043" s="54"/>
      <c r="T2043" s="54"/>
    </row>
    <row r="2044" spans="1:20" ht="15" customHeight="1" x14ac:dyDescent="0.2">
      <c r="A2044" s="91"/>
      <c r="B2044" s="149" t="str">
        <f>IF(ISBLANK(A2044),"",IF(AND(ISNA(VLOOKUP(A2044,Interface_Platform!E:E,1,FALSE())),ISNA(VLOOKUP(A2044,D:D,1,FALSE()))),"N","Y"))</f>
        <v/>
      </c>
      <c r="C2044" s="148" t="s">
        <v>2830</v>
      </c>
      <c r="D2044" s="91" t="s">
        <v>764</v>
      </c>
      <c r="E2044" s="46">
        <v>1</v>
      </c>
      <c r="F2044" s="144" t="str">
        <f>IF(AND(ISNA(VLOOKUP(D2044,A:A,1,FALSE())),ISNA(VLOOKUP(D2044,BaseType!A:A,1,FALSE())),D2044&lt;&gt;"Struct"),"N","Y")</f>
        <v>Y</v>
      </c>
      <c r="G2044" s="153" t="s">
        <v>2831</v>
      </c>
      <c r="H2044" s="155"/>
      <c r="I2044" s="155"/>
      <c r="J2044" s="155"/>
      <c r="K2044" s="155"/>
      <c r="L2044" s="155"/>
      <c r="M2044" s="155"/>
      <c r="N2044" s="54"/>
      <c r="O2044" s="54"/>
      <c r="P2044" s="54"/>
      <c r="Q2044" s="54"/>
      <c r="R2044" s="54"/>
      <c r="S2044" s="54"/>
      <c r="T2044" s="54"/>
    </row>
    <row r="2045" spans="1:20" ht="15" customHeight="1" x14ac:dyDescent="0.2">
      <c r="A2045" s="91"/>
      <c r="B2045" s="149" t="str">
        <f>IF(ISBLANK(A2045),"",IF(AND(ISNA(VLOOKUP(A2045,Interface_Platform!E:E,1,FALSE())),ISNA(VLOOKUP(A2045,D:D,1,FALSE()))),"N","Y"))</f>
        <v/>
      </c>
      <c r="C2045" s="148" t="s">
        <v>2832</v>
      </c>
      <c r="D2045" s="91" t="s">
        <v>764</v>
      </c>
      <c r="E2045" s="46">
        <v>1</v>
      </c>
      <c r="F2045" s="144" t="str">
        <f>IF(AND(ISNA(VLOOKUP(D2045,A:A,1,FALSE())),ISNA(VLOOKUP(D2045,BaseType!A:A,1,FALSE())),D2045&lt;&gt;"Struct"),"N","Y")</f>
        <v>Y</v>
      </c>
      <c r="G2045" s="153" t="s">
        <v>2833</v>
      </c>
      <c r="H2045" s="155"/>
      <c r="I2045" s="155"/>
      <c r="J2045" s="155"/>
      <c r="K2045" s="155"/>
      <c r="L2045" s="155"/>
      <c r="M2045" s="155"/>
      <c r="N2045" s="54"/>
      <c r="O2045" s="54"/>
      <c r="P2045" s="54"/>
      <c r="Q2045" s="54"/>
      <c r="R2045" s="54"/>
      <c r="S2045" s="54"/>
      <c r="T2045" s="54"/>
    </row>
    <row r="2046" spans="1:20" ht="15" customHeight="1" x14ac:dyDescent="0.2">
      <c r="A2046" s="47" t="s">
        <v>232</v>
      </c>
      <c r="B2046" s="149" t="str">
        <f>IF(ISBLANK(A2046),"",IF(AND(ISNA(VLOOKUP(A2046,Interface_Platform!E:E,1,FALSE())),ISNA(VLOOKUP(A2046,D:D,1,FALSE()))),"N","Y"))</f>
        <v>Y</v>
      </c>
      <c r="C2046" s="148"/>
      <c r="D2046" s="173" t="s">
        <v>484</v>
      </c>
      <c r="E2046" s="46"/>
      <c r="F2046" s="144"/>
      <c r="G2046" s="153"/>
      <c r="H2046" s="155"/>
      <c r="I2046" s="155"/>
      <c r="J2046" s="155"/>
      <c r="K2046" s="155"/>
      <c r="L2046" s="155"/>
      <c r="M2046" s="155"/>
      <c r="N2046" s="54"/>
      <c r="O2046" s="54"/>
      <c r="P2046" s="54"/>
      <c r="Q2046" s="54"/>
      <c r="R2046" s="54"/>
      <c r="S2046" s="54"/>
      <c r="T2046" s="54"/>
    </row>
    <row r="2047" spans="1:20" ht="15" customHeight="1" x14ac:dyDescent="0.2">
      <c r="A2047" s="91"/>
      <c r="B2047" s="149" t="str">
        <f>IF(ISBLANK(A2047),"",IF(AND(ISNA(VLOOKUP(A2047,Interface_Platform!E:E,1,FALSE())),ISNA(VLOOKUP(A2047,D:D,1,FALSE()))),"N","Y"))</f>
        <v/>
      </c>
      <c r="C2047" s="160" t="s">
        <v>891</v>
      </c>
      <c r="D2047" s="148" t="s">
        <v>293</v>
      </c>
      <c r="E2047" s="46">
        <v>1</v>
      </c>
      <c r="F2047" s="144" t="str">
        <f>IF(AND(ISNA(VLOOKUP(D2047,A:A,1,FALSE())),ISNA(VLOOKUP(D2047,BaseType!A:A,1,FALSE())),D2047&lt;&gt;"Struct"),"N","Y")</f>
        <v>Y</v>
      </c>
      <c r="G2047" s="147" t="s">
        <v>892</v>
      </c>
      <c r="H2047" s="155"/>
      <c r="I2047" s="155"/>
      <c r="J2047" s="155"/>
      <c r="K2047" s="155"/>
      <c r="L2047" s="155"/>
      <c r="M2047" s="155"/>
      <c r="N2047" s="54"/>
      <c r="O2047" s="54"/>
      <c r="P2047" s="54"/>
      <c r="Q2047" s="54"/>
      <c r="R2047" s="54"/>
      <c r="S2047" s="54"/>
      <c r="T2047" s="54"/>
    </row>
    <row r="2048" spans="1:20" ht="15" customHeight="1" x14ac:dyDescent="0.2">
      <c r="A2048" s="91"/>
      <c r="B2048" s="149" t="str">
        <f>IF(ISBLANK(A2048),"",IF(AND(ISNA(VLOOKUP(A2048,Interface_Platform!E:E,1,FALSE())),ISNA(VLOOKUP(A2048,D:D,1,FALSE()))),"N","Y"))</f>
        <v/>
      </c>
      <c r="C2048" s="160" t="s">
        <v>893</v>
      </c>
      <c r="D2048" s="148" t="s">
        <v>293</v>
      </c>
      <c r="E2048" s="46">
        <v>1</v>
      </c>
      <c r="F2048" s="144" t="str">
        <f>IF(AND(ISNA(VLOOKUP(D2048,A:A,1,FALSE())),ISNA(VLOOKUP(D2048,BaseType!A:A,1,FALSE())),D2048&lt;&gt;"Struct"),"N","Y")</f>
        <v>Y</v>
      </c>
      <c r="G2048" s="147" t="s">
        <v>894</v>
      </c>
      <c r="H2048" s="155"/>
      <c r="I2048" s="155"/>
      <c r="J2048" s="155"/>
      <c r="K2048" s="155"/>
      <c r="L2048" s="155"/>
      <c r="M2048" s="155"/>
      <c r="N2048" s="54"/>
      <c r="O2048" s="54"/>
      <c r="P2048" s="54"/>
      <c r="Q2048" s="54"/>
      <c r="R2048" s="54"/>
      <c r="S2048" s="54"/>
      <c r="T2048" s="54"/>
    </row>
    <row r="2049" spans="1:20" ht="15" customHeight="1" x14ac:dyDescent="0.2">
      <c r="A2049" s="91"/>
      <c r="B2049" s="149" t="str">
        <f>IF(ISBLANK(A2049),"",IF(AND(ISNA(VLOOKUP(A2049,Interface_Platform!E:E,1,FALSE())),ISNA(VLOOKUP(A2049,D:D,1,FALSE()))),"N","Y"))</f>
        <v/>
      </c>
      <c r="C2049" s="160" t="s">
        <v>895</v>
      </c>
      <c r="D2049" s="148" t="s">
        <v>293</v>
      </c>
      <c r="E2049" s="46">
        <v>1</v>
      </c>
      <c r="F2049" s="144" t="str">
        <f>IF(AND(ISNA(VLOOKUP(D2049,A:A,1,FALSE())),ISNA(VLOOKUP(D2049,BaseType!A:A,1,FALSE())),D2049&lt;&gt;"Struct"),"N","Y")</f>
        <v>Y</v>
      </c>
      <c r="G2049" s="147" t="s">
        <v>896</v>
      </c>
      <c r="H2049" s="155"/>
      <c r="I2049" s="155"/>
      <c r="J2049" s="155"/>
      <c r="K2049" s="155"/>
      <c r="L2049" s="155"/>
      <c r="M2049" s="155"/>
      <c r="N2049" s="54"/>
      <c r="O2049" s="54"/>
      <c r="P2049" s="54"/>
      <c r="Q2049" s="54"/>
      <c r="R2049" s="54"/>
      <c r="S2049" s="54"/>
      <c r="T2049" s="54"/>
    </row>
    <row r="2050" spans="1:20" ht="15" customHeight="1" x14ac:dyDescent="0.2">
      <c r="A2050" s="91"/>
      <c r="B2050" s="149" t="str">
        <f>IF(ISBLANK(A2050),"",IF(AND(ISNA(VLOOKUP(A2050,Interface_Platform!E:E,1,FALSE())),ISNA(VLOOKUP(A2050,D:D,1,FALSE()))),"N","Y"))</f>
        <v/>
      </c>
      <c r="C2050" s="160" t="s">
        <v>897</v>
      </c>
      <c r="D2050" s="148" t="s">
        <v>293</v>
      </c>
      <c r="E2050" s="46">
        <v>1</v>
      </c>
      <c r="F2050" s="144" t="str">
        <f>IF(AND(ISNA(VLOOKUP(D2050,A:A,1,FALSE())),ISNA(VLOOKUP(D2050,BaseType!A:A,1,FALSE())),D2050&lt;&gt;"Struct"),"N","Y")</f>
        <v>Y</v>
      </c>
      <c r="G2050" s="147" t="s">
        <v>898</v>
      </c>
      <c r="H2050" s="155"/>
      <c r="I2050" s="155"/>
      <c r="J2050" s="155"/>
      <c r="K2050" s="155"/>
      <c r="L2050" s="155"/>
      <c r="M2050" s="155"/>
      <c r="N2050" s="54"/>
      <c r="O2050" s="54"/>
      <c r="P2050" s="54"/>
      <c r="Q2050" s="54"/>
      <c r="R2050" s="54"/>
      <c r="S2050" s="54"/>
      <c r="T2050" s="54"/>
    </row>
    <row r="2051" spans="1:20" ht="15" customHeight="1" x14ac:dyDescent="0.2">
      <c r="A2051" s="91"/>
      <c r="B2051" s="149" t="str">
        <f>IF(ISBLANK(A2051),"",IF(AND(ISNA(VLOOKUP(A2051,Interface_Platform!E:E,1,FALSE())),ISNA(VLOOKUP(A2051,D:D,1,FALSE()))),"N","Y"))</f>
        <v/>
      </c>
      <c r="C2051" s="160" t="s">
        <v>899</v>
      </c>
      <c r="D2051" s="148" t="s">
        <v>293</v>
      </c>
      <c r="E2051" s="46">
        <v>1</v>
      </c>
      <c r="F2051" s="144" t="str">
        <f>IF(AND(ISNA(VLOOKUP(D2051,A:A,1,FALSE())),ISNA(VLOOKUP(D2051,BaseType!A:A,1,FALSE())),D2051&lt;&gt;"Struct"),"N","Y")</f>
        <v>Y</v>
      </c>
      <c r="G2051" s="147" t="s">
        <v>900</v>
      </c>
      <c r="H2051" s="155"/>
      <c r="I2051" s="155"/>
      <c r="J2051" s="155"/>
      <c r="K2051" s="155"/>
      <c r="L2051" s="155"/>
      <c r="M2051" s="155"/>
      <c r="N2051" s="54"/>
      <c r="O2051" s="54"/>
      <c r="P2051" s="54"/>
      <c r="Q2051" s="54"/>
      <c r="R2051" s="54"/>
      <c r="S2051" s="54"/>
      <c r="T2051" s="54"/>
    </row>
    <row r="2052" spans="1:20" ht="15" customHeight="1" x14ac:dyDescent="0.2">
      <c r="A2052" s="91"/>
      <c r="B2052" s="158"/>
      <c r="C2052" s="160" t="s">
        <v>901</v>
      </c>
      <c r="D2052" s="148" t="s">
        <v>293</v>
      </c>
      <c r="E2052" s="46">
        <v>1</v>
      </c>
      <c r="F2052" s="144" t="str">
        <f>IF(AND(ISNA(VLOOKUP(D2052,A:A,1,FALSE())),ISNA(VLOOKUP(D2052,BaseType!A:A,1,FALSE())),D2052&lt;&gt;"Struct"),"N","Y")</f>
        <v>Y</v>
      </c>
      <c r="G2052" s="147" t="s">
        <v>902</v>
      </c>
      <c r="H2052" s="155"/>
      <c r="I2052" s="155"/>
      <c r="J2052" s="155"/>
      <c r="K2052" s="155"/>
      <c r="L2052" s="155"/>
      <c r="M2052" s="155"/>
      <c r="N2052" s="54"/>
      <c r="O2052" s="54"/>
      <c r="P2052" s="54"/>
      <c r="Q2052" s="54"/>
      <c r="R2052" s="54"/>
      <c r="S2052" s="54"/>
      <c r="T2052" s="54"/>
    </row>
    <row r="2053" spans="1:20" ht="15" customHeight="1" x14ac:dyDescent="0.2">
      <c r="A2053" s="91"/>
      <c r="B2053" s="158"/>
      <c r="C2053" s="160" t="s">
        <v>903</v>
      </c>
      <c r="D2053" s="148" t="s">
        <v>293</v>
      </c>
      <c r="E2053" s="46">
        <v>1</v>
      </c>
      <c r="F2053" s="144" t="str">
        <f>IF(AND(ISNA(VLOOKUP(D2053,A:A,1,FALSE())),ISNA(VLOOKUP(D2053,BaseType!A:A,1,FALSE())),D2053&lt;&gt;"Struct"),"N","Y")</f>
        <v>Y</v>
      </c>
      <c r="G2053" s="147" t="s">
        <v>904</v>
      </c>
      <c r="H2053" s="155"/>
      <c r="I2053" s="155"/>
      <c r="J2053" s="155"/>
      <c r="K2053" s="155"/>
      <c r="L2053" s="155"/>
      <c r="M2053" s="155"/>
      <c r="N2053" s="54"/>
      <c r="O2053" s="54"/>
      <c r="P2053" s="54"/>
      <c r="Q2053" s="54"/>
      <c r="R2053" s="54"/>
      <c r="S2053" s="54"/>
      <c r="T2053" s="54"/>
    </row>
    <row r="2054" spans="1:20" ht="15" customHeight="1" x14ac:dyDescent="0.2">
      <c r="A2054" s="91"/>
      <c r="B2054" s="158"/>
      <c r="C2054" s="160" t="s">
        <v>905</v>
      </c>
      <c r="D2054" s="148" t="s">
        <v>293</v>
      </c>
      <c r="E2054" s="46">
        <v>1</v>
      </c>
      <c r="F2054" s="144" t="str">
        <f>IF(AND(ISNA(VLOOKUP(D2054,A:A,1,FALSE())),ISNA(VLOOKUP(D2054,BaseType!A:A,1,FALSE())),D2054&lt;&gt;"Struct"),"N","Y")</f>
        <v>Y</v>
      </c>
      <c r="G2054" s="147" t="s">
        <v>906</v>
      </c>
      <c r="H2054" s="155"/>
      <c r="I2054" s="155"/>
      <c r="J2054" s="155"/>
      <c r="K2054" s="155"/>
      <c r="L2054" s="155"/>
      <c r="M2054" s="155"/>
      <c r="N2054" s="54"/>
      <c r="O2054" s="54"/>
      <c r="P2054" s="54"/>
      <c r="Q2054" s="54"/>
      <c r="R2054" s="54"/>
      <c r="S2054" s="54"/>
      <c r="T2054" s="54"/>
    </row>
    <row r="2055" spans="1:20" ht="15" customHeight="1" x14ac:dyDescent="0.2">
      <c r="A2055" s="91"/>
      <c r="B2055" s="158"/>
      <c r="C2055" s="160" t="s">
        <v>907</v>
      </c>
      <c r="D2055" s="148" t="s">
        <v>293</v>
      </c>
      <c r="E2055" s="46">
        <v>1</v>
      </c>
      <c r="F2055" s="144" t="str">
        <f>IF(AND(ISNA(VLOOKUP(D2055,A:A,1,FALSE())),ISNA(VLOOKUP(D2055,BaseType!A:A,1,FALSE())),D2055&lt;&gt;"Struct"),"N","Y")</f>
        <v>Y</v>
      </c>
      <c r="G2055" s="147" t="s">
        <v>908</v>
      </c>
      <c r="H2055" s="155"/>
      <c r="I2055" s="155"/>
      <c r="J2055" s="155"/>
      <c r="K2055" s="155"/>
      <c r="L2055" s="155"/>
      <c r="M2055" s="155"/>
      <c r="N2055" s="54"/>
      <c r="O2055" s="54"/>
      <c r="P2055" s="54"/>
      <c r="Q2055" s="54"/>
      <c r="R2055" s="54"/>
      <c r="S2055" s="54"/>
      <c r="T2055" s="54"/>
    </row>
    <row r="2056" spans="1:20" ht="15" customHeight="1" x14ac:dyDescent="0.2">
      <c r="A2056" s="91"/>
      <c r="B2056" s="158"/>
      <c r="C2056" s="160" t="s">
        <v>909</v>
      </c>
      <c r="D2056" s="148" t="s">
        <v>293</v>
      </c>
      <c r="E2056" s="46">
        <v>1</v>
      </c>
      <c r="F2056" s="144" t="str">
        <f>IF(AND(ISNA(VLOOKUP(D2056,A:A,1,FALSE())),ISNA(VLOOKUP(D2056,BaseType!A:A,1,FALSE())),D2056&lt;&gt;"Struct"),"N","Y")</f>
        <v>Y</v>
      </c>
      <c r="G2056" s="147" t="s">
        <v>910</v>
      </c>
      <c r="H2056" s="155"/>
      <c r="I2056" s="155"/>
      <c r="J2056" s="155"/>
      <c r="K2056" s="155"/>
      <c r="L2056" s="155"/>
      <c r="M2056" s="155"/>
      <c r="N2056" s="54"/>
      <c r="O2056" s="54"/>
      <c r="P2056" s="54"/>
      <c r="Q2056" s="54"/>
      <c r="R2056" s="54"/>
      <c r="S2056" s="54"/>
      <c r="T2056" s="54"/>
    </row>
    <row r="2057" spans="1:20" ht="15" customHeight="1" x14ac:dyDescent="0.2">
      <c r="A2057" s="91"/>
      <c r="B2057" s="158"/>
      <c r="C2057" s="160" t="s">
        <v>911</v>
      </c>
      <c r="D2057" s="148" t="s">
        <v>293</v>
      </c>
      <c r="E2057" s="46">
        <v>1</v>
      </c>
      <c r="F2057" s="144" t="str">
        <f>IF(AND(ISNA(VLOOKUP(D2057,A:A,1,FALSE())),ISNA(VLOOKUP(D2057,BaseType!A:A,1,FALSE())),D2057&lt;&gt;"Struct"),"N","Y")</f>
        <v>Y</v>
      </c>
      <c r="G2057" s="147" t="s">
        <v>912</v>
      </c>
      <c r="H2057" s="155"/>
      <c r="I2057" s="155"/>
      <c r="J2057" s="155"/>
      <c r="K2057" s="155"/>
      <c r="L2057" s="155"/>
      <c r="M2057" s="155"/>
      <c r="N2057" s="54"/>
      <c r="O2057" s="54"/>
      <c r="P2057" s="54"/>
      <c r="Q2057" s="54"/>
      <c r="R2057" s="54"/>
      <c r="S2057" s="54"/>
      <c r="T2057" s="54"/>
    </row>
    <row r="2058" spans="1:20" ht="15" customHeight="1" x14ac:dyDescent="0.2">
      <c r="A2058" s="91"/>
      <c r="B2058" s="158"/>
      <c r="C2058" s="160" t="s">
        <v>913</v>
      </c>
      <c r="D2058" s="148" t="s">
        <v>293</v>
      </c>
      <c r="E2058" s="46">
        <v>1</v>
      </c>
      <c r="F2058" s="144" t="str">
        <f>IF(AND(ISNA(VLOOKUP(D2058,A:A,1,FALSE())),ISNA(VLOOKUP(D2058,BaseType!A:A,1,FALSE())),D2058&lt;&gt;"Struct"),"N","Y")</f>
        <v>Y</v>
      </c>
      <c r="G2058" s="147" t="s">
        <v>914</v>
      </c>
      <c r="H2058" s="155"/>
      <c r="I2058" s="155"/>
      <c r="J2058" s="155"/>
      <c r="K2058" s="155"/>
      <c r="L2058" s="155"/>
      <c r="M2058" s="155"/>
      <c r="N2058" s="54"/>
      <c r="O2058" s="54"/>
      <c r="P2058" s="54"/>
      <c r="Q2058" s="54"/>
      <c r="R2058" s="54"/>
      <c r="S2058" s="54"/>
      <c r="T2058" s="54"/>
    </row>
    <row r="2059" spans="1:20" ht="15" customHeight="1" x14ac:dyDescent="0.2">
      <c r="A2059" s="91"/>
      <c r="B2059" s="158"/>
      <c r="C2059" s="160" t="s">
        <v>915</v>
      </c>
      <c r="D2059" s="148" t="s">
        <v>293</v>
      </c>
      <c r="E2059" s="46">
        <v>1</v>
      </c>
      <c r="F2059" s="144" t="str">
        <f>IF(AND(ISNA(VLOOKUP(D2059,A:A,1,FALSE())),ISNA(VLOOKUP(D2059,BaseType!A:A,1,FALSE())),D2059&lt;&gt;"Struct"),"N","Y")</f>
        <v>Y</v>
      </c>
      <c r="G2059" s="147" t="s">
        <v>916</v>
      </c>
      <c r="H2059" s="155"/>
      <c r="I2059" s="155"/>
      <c r="J2059" s="155"/>
      <c r="K2059" s="155"/>
      <c r="L2059" s="155"/>
      <c r="M2059" s="155"/>
      <c r="N2059" s="54"/>
      <c r="O2059" s="54"/>
      <c r="P2059" s="54"/>
      <c r="Q2059" s="54"/>
      <c r="R2059" s="54"/>
      <c r="S2059" s="54"/>
      <c r="T2059" s="54"/>
    </row>
    <row r="2060" spans="1:20" ht="15" customHeight="1" x14ac:dyDescent="0.2">
      <c r="A2060" s="91"/>
      <c r="B2060" s="158"/>
      <c r="C2060" s="160" t="s">
        <v>917</v>
      </c>
      <c r="D2060" s="148" t="s">
        <v>918</v>
      </c>
      <c r="E2060" s="46">
        <v>1</v>
      </c>
      <c r="F2060" s="144" t="str">
        <f>IF(AND(ISNA(VLOOKUP(D2060,A:A,1,FALSE())),ISNA(VLOOKUP(D2060,BaseType!A:A,1,FALSE())),D2060&lt;&gt;"Struct"),"N","Y")</f>
        <v>Y</v>
      </c>
      <c r="G2060" s="147" t="s">
        <v>919</v>
      </c>
      <c r="H2060" s="155"/>
      <c r="I2060" s="155"/>
      <c r="J2060" s="155"/>
      <c r="K2060" s="155"/>
      <c r="L2060" s="155"/>
      <c r="M2060" s="155"/>
      <c r="N2060" s="54"/>
      <c r="O2060" s="54"/>
      <c r="P2060" s="54"/>
      <c r="Q2060" s="54"/>
      <c r="R2060" s="54"/>
      <c r="S2060" s="54"/>
      <c r="T2060" s="54"/>
    </row>
    <row r="2061" spans="1:20" ht="15" customHeight="1" x14ac:dyDescent="0.2">
      <c r="A2061" s="91"/>
      <c r="B2061" s="158"/>
      <c r="C2061" s="160" t="s">
        <v>920</v>
      </c>
      <c r="D2061" s="148" t="s">
        <v>918</v>
      </c>
      <c r="E2061" s="46">
        <v>1</v>
      </c>
      <c r="F2061" s="144" t="str">
        <f>IF(AND(ISNA(VLOOKUP(D2061,A:A,1,FALSE())),ISNA(VLOOKUP(D2061,BaseType!A:A,1,FALSE())),D2061&lt;&gt;"Struct"),"N","Y")</f>
        <v>Y</v>
      </c>
      <c r="G2061" s="147" t="s">
        <v>921</v>
      </c>
      <c r="H2061" s="155"/>
      <c r="I2061" s="155"/>
      <c r="J2061" s="155"/>
      <c r="K2061" s="155"/>
      <c r="L2061" s="155"/>
      <c r="M2061" s="155"/>
      <c r="N2061" s="54"/>
      <c r="O2061" s="54"/>
      <c r="P2061" s="54"/>
      <c r="Q2061" s="54"/>
      <c r="R2061" s="54"/>
      <c r="S2061" s="54"/>
      <c r="T2061" s="54"/>
    </row>
    <row r="2062" spans="1:20" ht="15" customHeight="1" x14ac:dyDescent="0.2">
      <c r="A2062" s="91"/>
      <c r="B2062" s="158"/>
      <c r="C2062" s="160" t="s">
        <v>922</v>
      </c>
      <c r="D2062" s="148" t="s">
        <v>193</v>
      </c>
      <c r="E2062" s="46">
        <v>1</v>
      </c>
      <c r="F2062" s="144" t="str">
        <f>IF(AND(ISNA(VLOOKUP(D2062,A:A,1,FALSE())),ISNA(VLOOKUP(D2062,BaseType!A:A,1,FALSE())),D2062&lt;&gt;"Struct"),"N","Y")</f>
        <v>Y</v>
      </c>
      <c r="G2062" s="147" t="s">
        <v>923</v>
      </c>
      <c r="H2062" s="155"/>
      <c r="I2062" s="155"/>
      <c r="J2062" s="155"/>
      <c r="K2062" s="155"/>
      <c r="L2062" s="155"/>
      <c r="M2062" s="155"/>
      <c r="N2062" s="54"/>
      <c r="O2062" s="54"/>
      <c r="P2062" s="54"/>
      <c r="Q2062" s="54"/>
      <c r="R2062" s="54"/>
      <c r="S2062" s="54"/>
      <c r="T2062" s="54"/>
    </row>
    <row r="2063" spans="1:20" ht="15" customHeight="1" x14ac:dyDescent="0.2">
      <c r="A2063" s="91"/>
      <c r="B2063" s="158"/>
      <c r="C2063" s="160" t="s">
        <v>924</v>
      </c>
      <c r="D2063" s="148" t="s">
        <v>193</v>
      </c>
      <c r="E2063" s="46">
        <v>1</v>
      </c>
      <c r="F2063" s="144" t="str">
        <f>IF(AND(ISNA(VLOOKUP(D2063,A:A,1,FALSE())),ISNA(VLOOKUP(D2063,BaseType!A:A,1,FALSE())),D2063&lt;&gt;"Struct"),"N","Y")</f>
        <v>Y</v>
      </c>
      <c r="G2063" s="147" t="s">
        <v>925</v>
      </c>
      <c r="H2063" s="155"/>
      <c r="I2063" s="155"/>
      <c r="J2063" s="155"/>
      <c r="K2063" s="155"/>
      <c r="L2063" s="155"/>
      <c r="M2063" s="155"/>
      <c r="N2063" s="54"/>
      <c r="O2063" s="54"/>
      <c r="P2063" s="54"/>
      <c r="Q2063" s="54"/>
      <c r="R2063" s="54"/>
      <c r="S2063" s="54"/>
      <c r="T2063" s="54"/>
    </row>
    <row r="2064" spans="1:20" ht="15" customHeight="1" x14ac:dyDescent="0.2">
      <c r="A2064" s="91"/>
      <c r="B2064" s="158"/>
      <c r="C2064" s="160" t="s">
        <v>926</v>
      </c>
      <c r="D2064" s="148" t="s">
        <v>193</v>
      </c>
      <c r="E2064" s="46">
        <v>1</v>
      </c>
      <c r="F2064" s="144" t="str">
        <f>IF(AND(ISNA(VLOOKUP(D2064,A:A,1,FALSE())),ISNA(VLOOKUP(D2064,BaseType!A:A,1,FALSE())),D2064&lt;&gt;"Struct"),"N","Y")</f>
        <v>Y</v>
      </c>
      <c r="G2064" s="147" t="s">
        <v>927</v>
      </c>
      <c r="H2064" s="155"/>
      <c r="I2064" s="155"/>
      <c r="J2064" s="155"/>
      <c r="K2064" s="155"/>
      <c r="L2064" s="155"/>
      <c r="M2064" s="155"/>
      <c r="N2064" s="54"/>
      <c r="O2064" s="54"/>
      <c r="P2064" s="54"/>
      <c r="Q2064" s="54"/>
      <c r="R2064" s="54"/>
      <c r="S2064" s="54"/>
      <c r="T2064" s="54"/>
    </row>
    <row r="2065" spans="1:20" ht="15" customHeight="1" x14ac:dyDescent="0.2">
      <c r="A2065" s="91"/>
      <c r="B2065" s="158"/>
      <c r="C2065" s="160" t="s">
        <v>928</v>
      </c>
      <c r="D2065" s="148" t="s">
        <v>193</v>
      </c>
      <c r="E2065" s="46">
        <v>1</v>
      </c>
      <c r="F2065" s="144" t="str">
        <f>IF(AND(ISNA(VLOOKUP(D2065,A:A,1,FALSE())),ISNA(VLOOKUP(D2065,BaseType!A:A,1,FALSE())),D2065&lt;&gt;"Struct"),"N","Y")</f>
        <v>Y</v>
      </c>
      <c r="G2065" s="147" t="s">
        <v>929</v>
      </c>
      <c r="H2065" s="155"/>
      <c r="I2065" s="155"/>
      <c r="J2065" s="155"/>
      <c r="K2065" s="155"/>
      <c r="L2065" s="155"/>
      <c r="M2065" s="155"/>
      <c r="N2065" s="54"/>
      <c r="O2065" s="54"/>
      <c r="P2065" s="54"/>
      <c r="Q2065" s="54"/>
      <c r="R2065" s="54"/>
      <c r="S2065" s="54"/>
      <c r="T2065" s="54"/>
    </row>
    <row r="2066" spans="1:20" ht="15" customHeight="1" x14ac:dyDescent="0.2">
      <c r="A2066" s="91"/>
      <c r="B2066" s="158"/>
      <c r="C2066" s="160" t="s">
        <v>930</v>
      </c>
      <c r="D2066" s="148" t="s">
        <v>193</v>
      </c>
      <c r="E2066" s="46">
        <v>1</v>
      </c>
      <c r="F2066" s="144" t="str">
        <f>IF(AND(ISNA(VLOOKUP(D2066,A:A,1,FALSE())),ISNA(VLOOKUP(D2066,BaseType!A:A,1,FALSE())),D2066&lt;&gt;"Struct"),"N","Y")</f>
        <v>Y</v>
      </c>
      <c r="G2066" s="147" t="s">
        <v>931</v>
      </c>
      <c r="H2066" s="155"/>
      <c r="I2066" s="155"/>
      <c r="J2066" s="155"/>
      <c r="K2066" s="155"/>
      <c r="L2066" s="155"/>
      <c r="M2066" s="155"/>
      <c r="N2066" s="54"/>
      <c r="O2066" s="54"/>
      <c r="P2066" s="54"/>
      <c r="Q2066" s="54"/>
      <c r="R2066" s="54"/>
      <c r="S2066" s="54"/>
      <c r="T2066" s="54"/>
    </row>
    <row r="2067" spans="1:20" ht="15" customHeight="1" x14ac:dyDescent="0.2">
      <c r="A2067" s="91"/>
      <c r="B2067" s="158"/>
      <c r="C2067" s="160" t="s">
        <v>932</v>
      </c>
      <c r="D2067" s="148" t="s">
        <v>193</v>
      </c>
      <c r="E2067" s="46">
        <v>1</v>
      </c>
      <c r="F2067" s="144" t="str">
        <f>IF(AND(ISNA(VLOOKUP(D2067,A:A,1,FALSE())),ISNA(VLOOKUP(D2067,BaseType!A:A,1,FALSE())),D2067&lt;&gt;"Struct"),"N","Y")</f>
        <v>Y</v>
      </c>
      <c r="G2067" s="147" t="s">
        <v>933</v>
      </c>
      <c r="H2067" s="155"/>
      <c r="I2067" s="155"/>
      <c r="J2067" s="155"/>
      <c r="K2067" s="155"/>
      <c r="L2067" s="155"/>
      <c r="M2067" s="155"/>
      <c r="N2067" s="54"/>
      <c r="O2067" s="54"/>
      <c r="P2067" s="54"/>
      <c r="Q2067" s="54"/>
      <c r="R2067" s="54"/>
      <c r="S2067" s="54"/>
      <c r="T2067" s="54"/>
    </row>
    <row r="2068" spans="1:20" ht="15" customHeight="1" x14ac:dyDescent="0.2">
      <c r="A2068" s="91"/>
      <c r="B2068" s="158"/>
      <c r="C2068" s="160" t="s">
        <v>934</v>
      </c>
      <c r="D2068" s="148" t="s">
        <v>193</v>
      </c>
      <c r="E2068" s="46">
        <v>1</v>
      </c>
      <c r="F2068" s="144" t="str">
        <f>IF(AND(ISNA(VLOOKUP(D2068,A:A,1,FALSE())),ISNA(VLOOKUP(D2068,BaseType!A:A,1,FALSE())),D2068&lt;&gt;"Struct"),"N","Y")</f>
        <v>Y</v>
      </c>
      <c r="G2068" s="147" t="s">
        <v>935</v>
      </c>
      <c r="H2068" s="155"/>
      <c r="I2068" s="155"/>
      <c r="J2068" s="155"/>
      <c r="K2068" s="155"/>
      <c r="L2068" s="155"/>
      <c r="M2068" s="155"/>
      <c r="N2068" s="54"/>
      <c r="O2068" s="54"/>
      <c r="P2068" s="54"/>
      <c r="Q2068" s="54"/>
      <c r="R2068" s="54"/>
      <c r="S2068" s="54"/>
      <c r="T2068" s="54"/>
    </row>
    <row r="2069" spans="1:20" ht="15" customHeight="1" x14ac:dyDescent="0.2">
      <c r="A2069" s="91"/>
      <c r="B2069" s="158"/>
      <c r="C2069" s="160" t="s">
        <v>936</v>
      </c>
      <c r="D2069" s="148" t="s">
        <v>193</v>
      </c>
      <c r="E2069" s="46">
        <v>1</v>
      </c>
      <c r="F2069" s="144" t="str">
        <f>IF(AND(ISNA(VLOOKUP(D2069,A:A,1,FALSE())),ISNA(VLOOKUP(D2069,BaseType!A:A,1,FALSE())),D2069&lt;&gt;"Struct"),"N","Y")</f>
        <v>Y</v>
      </c>
      <c r="G2069" s="147" t="s">
        <v>937</v>
      </c>
      <c r="H2069" s="155"/>
      <c r="I2069" s="155"/>
      <c r="J2069" s="155"/>
      <c r="K2069" s="155"/>
      <c r="L2069" s="155"/>
      <c r="M2069" s="155"/>
      <c r="N2069" s="54"/>
      <c r="O2069" s="54"/>
      <c r="P2069" s="54"/>
      <c r="Q2069" s="54"/>
      <c r="R2069" s="54"/>
      <c r="S2069" s="54"/>
      <c r="T2069" s="54"/>
    </row>
    <row r="2070" spans="1:20" ht="15" customHeight="1" x14ac:dyDescent="0.2">
      <c r="A2070" s="91"/>
      <c r="B2070" s="158"/>
      <c r="C2070" s="160" t="s">
        <v>938</v>
      </c>
      <c r="D2070" s="148" t="s">
        <v>193</v>
      </c>
      <c r="E2070" s="46">
        <v>1</v>
      </c>
      <c r="F2070" s="144" t="str">
        <f>IF(AND(ISNA(VLOOKUP(D2070,A:A,1,FALSE())),ISNA(VLOOKUP(D2070,BaseType!A:A,1,FALSE())),D2070&lt;&gt;"Struct"),"N","Y")</f>
        <v>Y</v>
      </c>
      <c r="G2070" s="147" t="s">
        <v>939</v>
      </c>
      <c r="H2070" s="155"/>
      <c r="I2070" s="155"/>
      <c r="J2070" s="155"/>
      <c r="K2070" s="155"/>
      <c r="L2070" s="155"/>
      <c r="M2070" s="155"/>
      <c r="N2070" s="54"/>
      <c r="O2070" s="54"/>
      <c r="P2070" s="54"/>
      <c r="Q2070" s="54"/>
      <c r="R2070" s="54"/>
      <c r="S2070" s="54"/>
      <c r="T2070" s="54"/>
    </row>
    <row r="2071" spans="1:20" ht="15" customHeight="1" x14ac:dyDescent="0.2">
      <c r="A2071" s="91"/>
      <c r="B2071" s="158"/>
      <c r="C2071" s="160" t="s">
        <v>940</v>
      </c>
      <c r="D2071" s="148" t="s">
        <v>193</v>
      </c>
      <c r="E2071" s="46">
        <v>1</v>
      </c>
      <c r="F2071" s="144" t="str">
        <f>IF(AND(ISNA(VLOOKUP(D2071,A:A,1,FALSE())),ISNA(VLOOKUP(D2071,BaseType!A:A,1,FALSE())),D2071&lt;&gt;"Struct"),"N","Y")</f>
        <v>Y</v>
      </c>
      <c r="G2071" s="147" t="s">
        <v>941</v>
      </c>
      <c r="H2071" s="155"/>
      <c r="I2071" s="155"/>
      <c r="J2071" s="155"/>
      <c r="K2071" s="155"/>
      <c r="L2071" s="155"/>
      <c r="M2071" s="155"/>
      <c r="N2071" s="54"/>
      <c r="O2071" s="54"/>
      <c r="P2071" s="54"/>
      <c r="Q2071" s="54"/>
      <c r="R2071" s="54"/>
      <c r="S2071" s="54"/>
      <c r="T2071" s="54"/>
    </row>
    <row r="2072" spans="1:20" ht="15" customHeight="1" x14ac:dyDescent="0.2">
      <c r="A2072" s="91"/>
      <c r="B2072" s="158"/>
      <c r="C2072" s="160" t="s">
        <v>942</v>
      </c>
      <c r="D2072" s="148" t="s">
        <v>193</v>
      </c>
      <c r="E2072" s="46">
        <v>1</v>
      </c>
      <c r="F2072" s="144" t="str">
        <f>IF(AND(ISNA(VLOOKUP(D2072,A:A,1,FALSE())),ISNA(VLOOKUP(D2072,BaseType!A:A,1,FALSE())),D2072&lt;&gt;"Struct"),"N","Y")</f>
        <v>Y</v>
      </c>
      <c r="G2072" s="147" t="s">
        <v>943</v>
      </c>
      <c r="H2072" s="155"/>
      <c r="I2072" s="155"/>
      <c r="J2072" s="155"/>
      <c r="K2072" s="155"/>
      <c r="L2072" s="155"/>
      <c r="M2072" s="155"/>
      <c r="N2072" s="54"/>
      <c r="O2072" s="54"/>
      <c r="P2072" s="54"/>
      <c r="Q2072" s="54"/>
      <c r="R2072" s="54"/>
      <c r="S2072" s="54"/>
      <c r="T2072" s="54"/>
    </row>
    <row r="2073" spans="1:20" ht="15" customHeight="1" x14ac:dyDescent="0.2">
      <c r="A2073" s="91"/>
      <c r="B2073" s="158"/>
      <c r="C2073" s="160" t="s">
        <v>944</v>
      </c>
      <c r="D2073" s="148" t="s">
        <v>193</v>
      </c>
      <c r="E2073" s="46">
        <v>1</v>
      </c>
      <c r="F2073" s="144" t="str">
        <f>IF(AND(ISNA(VLOOKUP(D2073,A:A,1,FALSE())),ISNA(VLOOKUP(D2073,BaseType!A:A,1,FALSE())),D2073&lt;&gt;"Struct"),"N","Y")</f>
        <v>Y</v>
      </c>
      <c r="G2073" s="147" t="s">
        <v>945</v>
      </c>
      <c r="H2073" s="155"/>
      <c r="I2073" s="155"/>
      <c r="J2073" s="155"/>
      <c r="K2073" s="155"/>
      <c r="L2073" s="155"/>
      <c r="M2073" s="155"/>
      <c r="N2073" s="54"/>
      <c r="O2073" s="54"/>
      <c r="P2073" s="54"/>
      <c r="Q2073" s="54"/>
      <c r="R2073" s="54"/>
      <c r="S2073" s="54"/>
      <c r="T2073" s="54"/>
    </row>
    <row r="2074" spans="1:20" ht="15" customHeight="1" x14ac:dyDescent="0.2">
      <c r="A2074" s="91"/>
      <c r="B2074" s="158"/>
      <c r="C2074" s="160" t="s">
        <v>946</v>
      </c>
      <c r="D2074" s="148" t="s">
        <v>193</v>
      </c>
      <c r="E2074" s="46">
        <v>1</v>
      </c>
      <c r="F2074" s="144" t="str">
        <f>IF(AND(ISNA(VLOOKUP(D2074,A:A,1,FALSE())),ISNA(VLOOKUP(D2074,BaseType!A:A,1,FALSE())),D2074&lt;&gt;"Struct"),"N","Y")</f>
        <v>Y</v>
      </c>
      <c r="G2074" s="147" t="s">
        <v>947</v>
      </c>
      <c r="H2074" s="155"/>
      <c r="I2074" s="155"/>
      <c r="J2074" s="155"/>
      <c r="K2074" s="155"/>
      <c r="L2074" s="155"/>
      <c r="M2074" s="155"/>
      <c r="N2074" s="54"/>
      <c r="O2074" s="54"/>
      <c r="P2074" s="54"/>
      <c r="Q2074" s="54"/>
      <c r="R2074" s="54"/>
      <c r="S2074" s="54"/>
      <c r="T2074" s="54"/>
    </row>
    <row r="2075" spans="1:20" ht="15" customHeight="1" x14ac:dyDescent="0.2">
      <c r="A2075" s="91"/>
      <c r="B2075" s="158"/>
      <c r="C2075" s="160" t="s">
        <v>948</v>
      </c>
      <c r="D2075" s="148" t="s">
        <v>193</v>
      </c>
      <c r="E2075" s="46">
        <v>1</v>
      </c>
      <c r="F2075" s="144" t="str">
        <f>IF(AND(ISNA(VLOOKUP(D2075,A:A,1,FALSE())),ISNA(VLOOKUP(D2075,BaseType!A:A,1,FALSE())),D2075&lt;&gt;"Struct"),"N","Y")</f>
        <v>Y</v>
      </c>
      <c r="G2075" s="150" t="s">
        <v>949</v>
      </c>
      <c r="H2075" s="155"/>
      <c r="I2075" s="155"/>
      <c r="J2075" s="155"/>
      <c r="K2075" s="155"/>
      <c r="L2075" s="155"/>
      <c r="M2075" s="155"/>
      <c r="N2075" s="54"/>
      <c r="O2075" s="54"/>
      <c r="P2075" s="54"/>
      <c r="Q2075" s="54"/>
      <c r="R2075" s="54"/>
      <c r="S2075" s="54"/>
      <c r="T2075" s="54"/>
    </row>
    <row r="2076" spans="1:20" ht="15" customHeight="1" x14ac:dyDescent="0.2">
      <c r="A2076" s="91"/>
      <c r="B2076" s="158"/>
      <c r="C2076" s="214" t="s">
        <v>950</v>
      </c>
      <c r="D2076" s="148" t="s">
        <v>193</v>
      </c>
      <c r="E2076" s="46">
        <v>1</v>
      </c>
      <c r="F2076" s="144" t="str">
        <f>IF(AND(ISNA(VLOOKUP(D2076,A:A,1,FALSE())),ISNA(VLOOKUP(D2076,BaseType!A:A,1,FALSE())),D2076&lt;&gt;"Struct"),"N","Y")</f>
        <v>Y</v>
      </c>
      <c r="G2076" s="146" t="s">
        <v>951</v>
      </c>
      <c r="H2076" s="155"/>
      <c r="I2076" s="155"/>
      <c r="J2076" s="155"/>
      <c r="K2076" s="155"/>
      <c r="L2076" s="155"/>
      <c r="M2076" s="155"/>
      <c r="N2076" s="54"/>
      <c r="O2076" s="54"/>
      <c r="P2076" s="54"/>
      <c r="Q2076" s="54"/>
      <c r="R2076" s="54"/>
      <c r="S2076" s="54"/>
      <c r="T2076" s="54"/>
    </row>
    <row r="2077" spans="1:20" ht="15" customHeight="1" x14ac:dyDescent="0.2">
      <c r="A2077" s="91"/>
      <c r="B2077" s="158"/>
      <c r="C2077" s="160" t="s">
        <v>952</v>
      </c>
      <c r="D2077" s="148" t="s">
        <v>193</v>
      </c>
      <c r="E2077" s="46">
        <v>1</v>
      </c>
      <c r="F2077" s="144" t="str">
        <f>IF(AND(ISNA(VLOOKUP(D2077,A:A,1,FALSE())),ISNA(VLOOKUP(D2077,BaseType!A:A,1,FALSE())),D2077&lt;&gt;"Struct"),"N","Y")</f>
        <v>Y</v>
      </c>
      <c r="G2077" s="146" t="s">
        <v>953</v>
      </c>
      <c r="H2077" s="155"/>
      <c r="I2077" s="155"/>
      <c r="J2077" s="155"/>
      <c r="K2077" s="155"/>
      <c r="L2077" s="155"/>
      <c r="M2077" s="155"/>
      <c r="N2077" s="54"/>
      <c r="O2077" s="54"/>
      <c r="P2077" s="54"/>
      <c r="Q2077" s="54"/>
      <c r="R2077" s="54"/>
      <c r="S2077" s="54"/>
      <c r="T2077" s="54"/>
    </row>
    <row r="2078" spans="1:20" ht="15" customHeight="1" x14ac:dyDescent="0.2">
      <c r="A2078" s="91"/>
      <c r="B2078" s="158"/>
      <c r="C2078" s="159" t="s">
        <v>1062</v>
      </c>
      <c r="D2078" s="143" t="s">
        <v>193</v>
      </c>
      <c r="E2078" s="142">
        <v>1</v>
      </c>
      <c r="F2078" s="144" t="str">
        <f>IF(AND(ISNA(VLOOKUP(D2078,A:A,1,FALSE())),ISNA(VLOOKUP(D2078,BaseType!A:A,1,FALSE())),D2078&lt;&gt;"Struct"),"N","Y")</f>
        <v>Y</v>
      </c>
      <c r="G2078" s="146" t="s">
        <v>1063</v>
      </c>
      <c r="H2078" s="155"/>
      <c r="I2078" s="155"/>
      <c r="J2078" s="155"/>
      <c r="K2078" s="155"/>
      <c r="L2078" s="155"/>
      <c r="M2078" s="155"/>
      <c r="N2078" s="54"/>
      <c r="O2078" s="54"/>
      <c r="P2078" s="54"/>
      <c r="Q2078" s="54"/>
      <c r="R2078" s="54"/>
      <c r="S2078" s="54"/>
      <c r="T2078" s="54"/>
    </row>
    <row r="2079" spans="1:20" ht="15" customHeight="1" x14ac:dyDescent="0.2">
      <c r="A2079" s="91"/>
      <c r="B2079" s="158"/>
      <c r="C2079" s="159" t="s">
        <v>1064</v>
      </c>
      <c r="D2079" s="143" t="s">
        <v>193</v>
      </c>
      <c r="E2079" s="142">
        <v>1</v>
      </c>
      <c r="F2079" s="144" t="str">
        <f>IF(AND(ISNA(VLOOKUP(D2079,A:A,1,FALSE())),ISNA(VLOOKUP(D2079,BaseType!A:A,1,FALSE())),D2079&lt;&gt;"Struct"),"N","Y")</f>
        <v>Y</v>
      </c>
      <c r="G2079" s="146" t="s">
        <v>1065</v>
      </c>
      <c r="H2079" s="155"/>
      <c r="I2079" s="155"/>
      <c r="J2079" s="155"/>
      <c r="K2079" s="155"/>
      <c r="L2079" s="155"/>
      <c r="M2079" s="155"/>
      <c r="N2079" s="54"/>
      <c r="O2079" s="54"/>
      <c r="P2079" s="54"/>
      <c r="Q2079" s="54"/>
      <c r="R2079" s="54"/>
      <c r="S2079" s="54"/>
      <c r="T2079" s="54"/>
    </row>
    <row r="2080" spans="1:20" ht="15" customHeight="1" x14ac:dyDescent="0.2">
      <c r="A2080" s="91"/>
      <c r="B2080" s="158"/>
      <c r="C2080" s="159" t="s">
        <v>1066</v>
      </c>
      <c r="D2080" s="143" t="s">
        <v>193</v>
      </c>
      <c r="E2080" s="142">
        <v>1</v>
      </c>
      <c r="F2080" s="144" t="str">
        <f>IF(AND(ISNA(VLOOKUP(D2080,A:A,1,FALSE())),ISNA(VLOOKUP(D2080,BaseType!A:A,1,FALSE())),D2080&lt;&gt;"Struct"),"N","Y")</f>
        <v>Y</v>
      </c>
      <c r="G2080" s="146"/>
      <c r="H2080" s="155"/>
      <c r="I2080" s="155"/>
      <c r="J2080" s="155"/>
      <c r="K2080" s="155"/>
      <c r="L2080" s="155"/>
      <c r="M2080" s="155"/>
      <c r="N2080" s="54"/>
      <c r="O2080" s="54"/>
      <c r="P2080" s="54"/>
      <c r="Q2080" s="54"/>
      <c r="R2080" s="54"/>
      <c r="S2080" s="54"/>
      <c r="T2080" s="54"/>
    </row>
    <row r="2081" spans="1:20" ht="15" customHeight="1" x14ac:dyDescent="0.2">
      <c r="A2081" s="91"/>
      <c r="B2081" s="158"/>
      <c r="C2081" s="159" t="s">
        <v>1067</v>
      </c>
      <c r="D2081" s="143" t="s">
        <v>193</v>
      </c>
      <c r="E2081" s="142">
        <v>1</v>
      </c>
      <c r="F2081" s="144" t="str">
        <f>IF(AND(ISNA(VLOOKUP(D2081,A:A,1,FALSE())),ISNA(VLOOKUP(D2081,BaseType!A:A,1,FALSE())),D2081&lt;&gt;"Struct"),"N","Y")</f>
        <v>Y</v>
      </c>
      <c r="G2081" s="146"/>
      <c r="H2081" s="155"/>
      <c r="I2081" s="155"/>
      <c r="J2081" s="155"/>
      <c r="K2081" s="155"/>
      <c r="L2081" s="155"/>
      <c r="M2081" s="155"/>
      <c r="N2081" s="54"/>
      <c r="O2081" s="54"/>
      <c r="P2081" s="54"/>
      <c r="Q2081" s="54"/>
      <c r="R2081" s="54"/>
      <c r="S2081" s="54"/>
      <c r="T2081" s="54"/>
    </row>
    <row r="2082" spans="1:20" ht="15" customHeight="1" x14ac:dyDescent="0.2">
      <c r="A2082" s="91"/>
      <c r="B2082" s="158"/>
      <c r="C2082" s="159" t="s">
        <v>2834</v>
      </c>
      <c r="D2082" s="78" t="s">
        <v>193</v>
      </c>
      <c r="E2082" s="46">
        <v>1</v>
      </c>
      <c r="F2082" s="144" t="str">
        <f>IF(AND(ISNA(VLOOKUP(D2082,A:A,1,FALSE())),ISNA(VLOOKUP(D2082,BaseType!A:A,1,FALSE())),D2082&lt;&gt;"Struct"),"N","Y")</f>
        <v>Y</v>
      </c>
      <c r="G2082" s="153"/>
      <c r="H2082" s="155"/>
      <c r="I2082" s="155"/>
      <c r="J2082" s="155"/>
      <c r="K2082" s="155"/>
      <c r="L2082" s="155"/>
      <c r="M2082" s="155"/>
      <c r="N2082" s="54"/>
      <c r="O2082" s="54"/>
      <c r="P2082" s="54"/>
      <c r="Q2082" s="54"/>
      <c r="R2082" s="54"/>
      <c r="S2082" s="54"/>
      <c r="T2082" s="54"/>
    </row>
    <row r="2083" spans="1:20" ht="15" customHeight="1" x14ac:dyDescent="0.2">
      <c r="A2083" s="91"/>
      <c r="B2083" s="158"/>
      <c r="C2083" s="159" t="s">
        <v>2835</v>
      </c>
      <c r="D2083" s="78" t="s">
        <v>193</v>
      </c>
      <c r="E2083" s="46">
        <v>1</v>
      </c>
      <c r="F2083" s="144" t="str">
        <f>IF(AND(ISNA(VLOOKUP(D2083,A:A,1,FALSE())),ISNA(VLOOKUP(D2083,BaseType!A:A,1,FALSE())),D2083&lt;&gt;"Struct"),"N","Y")</f>
        <v>Y</v>
      </c>
      <c r="G2083" s="153"/>
      <c r="H2083" s="155"/>
      <c r="I2083" s="155"/>
      <c r="J2083" s="155"/>
      <c r="K2083" s="155"/>
      <c r="L2083" s="155"/>
      <c r="M2083" s="155"/>
      <c r="N2083" s="54"/>
      <c r="O2083" s="54"/>
      <c r="P2083" s="54"/>
      <c r="Q2083" s="54"/>
      <c r="R2083" s="54"/>
      <c r="S2083" s="54"/>
      <c r="T2083" s="54"/>
    </row>
    <row r="2084" spans="1:20" ht="15" customHeight="1" x14ac:dyDescent="0.2">
      <c r="A2084" s="91"/>
      <c r="B2084" s="158"/>
      <c r="C2084" s="159" t="s">
        <v>2836</v>
      </c>
      <c r="D2084" s="78" t="s">
        <v>193</v>
      </c>
      <c r="E2084" s="46">
        <v>1</v>
      </c>
      <c r="F2084" s="144" t="str">
        <f>IF(AND(ISNA(VLOOKUP(D2084,A:A,1,FALSE())),ISNA(VLOOKUP(D2084,BaseType!A:A,1,FALSE())),D2084&lt;&gt;"Struct"),"N","Y")</f>
        <v>Y</v>
      </c>
      <c r="G2084" s="153"/>
      <c r="H2084" s="155"/>
      <c r="I2084" s="155"/>
      <c r="J2084" s="155"/>
      <c r="K2084" s="155"/>
      <c r="L2084" s="155"/>
      <c r="M2084" s="155"/>
      <c r="N2084" s="54"/>
      <c r="O2084" s="54"/>
      <c r="P2084" s="54"/>
      <c r="Q2084" s="54"/>
      <c r="R2084" s="54"/>
      <c r="S2084" s="54"/>
      <c r="T2084" s="54"/>
    </row>
    <row r="2085" spans="1:20" ht="15" customHeight="1" x14ac:dyDescent="0.2">
      <c r="A2085" s="91"/>
      <c r="B2085" s="158"/>
      <c r="C2085" s="204" t="s">
        <v>2837</v>
      </c>
      <c r="D2085" s="203" t="s">
        <v>193</v>
      </c>
      <c r="E2085" s="202">
        <v>2</v>
      </c>
      <c r="F2085" s="144" t="str">
        <f>IF(AND(ISNA(VLOOKUP(D2085,A:A,1,FALSE())),ISNA(VLOOKUP(D2085,BaseType!A:A,1,FALSE())),D2085&lt;&gt;"Struct"),"N","Y")</f>
        <v>Y</v>
      </c>
      <c r="G2085" s="153"/>
      <c r="H2085" s="155"/>
      <c r="I2085" s="155"/>
      <c r="J2085" s="155"/>
      <c r="K2085" s="155"/>
      <c r="L2085" s="155"/>
      <c r="M2085" s="155"/>
      <c r="N2085" s="54"/>
      <c r="O2085" s="54"/>
      <c r="P2085" s="54"/>
      <c r="Q2085" s="54"/>
      <c r="R2085" s="54"/>
      <c r="S2085" s="54"/>
      <c r="T2085" s="54"/>
    </row>
    <row r="2086" spans="1:20" ht="15" customHeight="1" x14ac:dyDescent="0.2">
      <c r="A2086" s="91"/>
      <c r="B2086" s="158"/>
      <c r="C2086" s="159" t="s">
        <v>2838</v>
      </c>
      <c r="D2086" s="78" t="s">
        <v>225</v>
      </c>
      <c r="E2086" s="46">
        <v>1</v>
      </c>
      <c r="F2086" s="144" t="str">
        <f>IF(AND(ISNA(VLOOKUP(D2086,A:A,1,FALSE())),ISNA(VLOOKUP(D2086,BaseType!A:A,1,FALSE())),D2086&lt;&gt;"Struct"),"N","Y")</f>
        <v>Y</v>
      </c>
      <c r="G2086" s="153"/>
      <c r="H2086" s="155"/>
      <c r="I2086" s="155"/>
      <c r="J2086" s="155"/>
      <c r="K2086" s="155"/>
      <c r="L2086" s="155"/>
      <c r="M2086" s="155"/>
      <c r="N2086" s="54"/>
      <c r="O2086" s="54"/>
      <c r="P2086" s="54"/>
      <c r="Q2086" s="54"/>
      <c r="R2086" s="54"/>
      <c r="S2086" s="54"/>
      <c r="T2086" s="54"/>
    </row>
    <row r="2087" spans="1:20" ht="15" customHeight="1" x14ac:dyDescent="0.2">
      <c r="A2087" s="91"/>
      <c r="B2087" s="158"/>
      <c r="C2087" s="159" t="s">
        <v>1068</v>
      </c>
      <c r="D2087" s="143" t="s">
        <v>225</v>
      </c>
      <c r="E2087" s="142">
        <v>1</v>
      </c>
      <c r="F2087" s="144" t="str">
        <f>IF(AND(ISNA(VLOOKUP(D2087,A:A,1,FALSE())),ISNA(VLOOKUP(D2087,BaseType!A:A,1,FALSE())),D2087&lt;&gt;"Struct"),"N","Y")</f>
        <v>Y</v>
      </c>
      <c r="G2087" s="146" t="s">
        <v>1069</v>
      </c>
      <c r="H2087" s="155"/>
      <c r="I2087" s="155"/>
      <c r="J2087" s="155"/>
      <c r="K2087" s="155"/>
      <c r="L2087" s="155"/>
      <c r="M2087" s="155"/>
      <c r="N2087" s="54"/>
      <c r="O2087" s="54"/>
      <c r="P2087" s="54"/>
      <c r="Q2087" s="54"/>
      <c r="R2087" s="54"/>
      <c r="S2087" s="54"/>
      <c r="T2087" s="54"/>
    </row>
    <row r="2088" spans="1:20" ht="15" customHeight="1" x14ac:dyDescent="0.2">
      <c r="A2088" s="91"/>
      <c r="B2088" s="158"/>
      <c r="C2088" s="159" t="s">
        <v>1070</v>
      </c>
      <c r="D2088" s="143" t="s">
        <v>225</v>
      </c>
      <c r="E2088" s="142">
        <v>1</v>
      </c>
      <c r="F2088" s="144" t="str">
        <f>IF(AND(ISNA(VLOOKUP(D2088,A:A,1,FALSE())),ISNA(VLOOKUP(D2088,BaseType!A:A,1,FALSE())),D2088&lt;&gt;"Struct"),"N","Y")</f>
        <v>Y</v>
      </c>
      <c r="G2088" s="146" t="s">
        <v>1071</v>
      </c>
      <c r="H2088" s="155"/>
      <c r="I2088" s="155"/>
      <c r="J2088" s="155"/>
      <c r="K2088" s="155"/>
      <c r="L2088" s="155"/>
      <c r="M2088" s="155"/>
      <c r="N2088" s="54"/>
      <c r="O2088" s="54"/>
      <c r="P2088" s="54"/>
      <c r="Q2088" s="54"/>
      <c r="R2088" s="54"/>
      <c r="S2088" s="54"/>
      <c r="T2088" s="54"/>
    </row>
    <row r="2089" spans="1:20" ht="15" customHeight="1" x14ac:dyDescent="0.2">
      <c r="A2089" s="91"/>
      <c r="B2089" s="158"/>
      <c r="C2089" s="159" t="s">
        <v>1072</v>
      </c>
      <c r="D2089" s="143" t="s">
        <v>225</v>
      </c>
      <c r="E2089" s="142">
        <v>1</v>
      </c>
      <c r="F2089" s="144" t="str">
        <f>IF(AND(ISNA(VLOOKUP(D2089,A:A,1,FALSE())),ISNA(VLOOKUP(D2089,BaseType!A:A,1,FALSE())),D2089&lt;&gt;"Struct"),"N","Y")</f>
        <v>Y</v>
      </c>
      <c r="G2089" s="146"/>
      <c r="H2089" s="155"/>
      <c r="I2089" s="155"/>
      <c r="J2089" s="155"/>
      <c r="K2089" s="155"/>
      <c r="L2089" s="155"/>
      <c r="M2089" s="155"/>
      <c r="N2089" s="54"/>
      <c r="O2089" s="54"/>
      <c r="P2089" s="54"/>
      <c r="Q2089" s="54"/>
      <c r="R2089" s="54"/>
      <c r="S2089" s="54"/>
      <c r="T2089" s="54"/>
    </row>
    <row r="2090" spans="1:20" ht="15" customHeight="1" x14ac:dyDescent="0.2">
      <c r="A2090" s="91"/>
      <c r="B2090" s="158"/>
      <c r="C2090" s="181" t="s">
        <v>2839</v>
      </c>
      <c r="D2090" s="203" t="s">
        <v>193</v>
      </c>
      <c r="E2090" s="202">
        <v>72</v>
      </c>
      <c r="F2090" s="144"/>
      <c r="G2090" s="153" t="s">
        <v>2840</v>
      </c>
      <c r="H2090" s="155"/>
      <c r="I2090" s="155"/>
      <c r="J2090" s="155"/>
      <c r="K2090" s="155"/>
      <c r="L2090" s="155"/>
      <c r="M2090" s="155"/>
      <c r="N2090" s="54"/>
      <c r="O2090" s="54"/>
      <c r="P2090" s="54"/>
      <c r="Q2090" s="54"/>
      <c r="R2090" s="54"/>
      <c r="S2090" s="54"/>
      <c r="T2090" s="54"/>
    </row>
    <row r="2091" spans="1:20" ht="15" customHeight="1" x14ac:dyDescent="0.2">
      <c r="A2091" s="91"/>
      <c r="B2091" s="158"/>
      <c r="C2091" s="193"/>
      <c r="D2091" s="91"/>
      <c r="E2091" s="46"/>
      <c r="F2091" s="144"/>
      <c r="G2091" s="153"/>
      <c r="H2091" s="155"/>
      <c r="I2091" s="155"/>
      <c r="J2091" s="155"/>
      <c r="K2091" s="155"/>
      <c r="L2091" s="155"/>
      <c r="M2091" s="155"/>
      <c r="N2091" s="54"/>
      <c r="O2091" s="54"/>
      <c r="P2091" s="54"/>
      <c r="Q2091" s="54"/>
      <c r="R2091" s="54"/>
      <c r="S2091" s="54"/>
      <c r="T2091" s="54"/>
    </row>
    <row r="2092" spans="1:20" ht="15" customHeight="1" x14ac:dyDescent="0.2">
      <c r="A2092" s="91"/>
      <c r="B2092" s="158"/>
      <c r="C2092" s="53"/>
      <c r="D2092" s="78"/>
      <c r="E2092" s="46"/>
      <c r="F2092" s="144"/>
      <c r="G2092" s="153"/>
      <c r="H2092" s="155"/>
      <c r="I2092" s="155"/>
      <c r="J2092" s="155"/>
      <c r="K2092" s="155"/>
      <c r="L2092" s="155"/>
      <c r="M2092" s="155"/>
      <c r="N2092" s="54"/>
      <c r="O2092" s="54"/>
      <c r="P2092" s="54"/>
      <c r="Q2092" s="54"/>
      <c r="R2092" s="54"/>
      <c r="S2092" s="54"/>
      <c r="T2092" s="54"/>
    </row>
    <row r="2093" spans="1:20" ht="15" customHeight="1" x14ac:dyDescent="0.2">
      <c r="A2093" s="91"/>
      <c r="B2093" s="158"/>
      <c r="C2093" s="53"/>
      <c r="D2093" s="78"/>
      <c r="E2093" s="46"/>
      <c r="F2093" s="144"/>
      <c r="G2093" s="153"/>
      <c r="H2093" s="155"/>
      <c r="I2093" s="155"/>
      <c r="J2093" s="155"/>
      <c r="K2093" s="155"/>
      <c r="L2093" s="155"/>
      <c r="M2093" s="155"/>
      <c r="N2093" s="54"/>
      <c r="O2093" s="54"/>
      <c r="P2093" s="54"/>
      <c r="Q2093" s="54"/>
      <c r="R2093" s="54"/>
      <c r="S2093" s="54"/>
      <c r="T2093" s="54"/>
    </row>
    <row r="2094" spans="1:20" ht="15" customHeight="1" x14ac:dyDescent="0.2">
      <c r="A2094" s="91"/>
      <c r="B2094" s="158"/>
      <c r="C2094" s="53"/>
      <c r="D2094" s="78"/>
      <c r="E2094" s="142"/>
      <c r="F2094" s="144"/>
      <c r="G2094" s="153"/>
      <c r="H2094" s="155"/>
      <c r="I2094" s="155"/>
      <c r="J2094" s="155"/>
      <c r="K2094" s="155"/>
      <c r="L2094" s="155"/>
      <c r="M2094" s="155"/>
      <c r="N2094" s="54"/>
      <c r="O2094" s="54"/>
      <c r="P2094" s="54"/>
      <c r="Q2094" s="54"/>
      <c r="R2094" s="54"/>
      <c r="S2094" s="54"/>
      <c r="T2094" s="54"/>
    </row>
    <row r="2095" spans="1:20" ht="15" customHeight="1" x14ac:dyDescent="0.2">
      <c r="A2095" s="91"/>
      <c r="B2095" s="158"/>
      <c r="C2095" s="53"/>
      <c r="D2095" s="78"/>
      <c r="E2095" s="142"/>
      <c r="F2095" s="144"/>
      <c r="G2095" s="153"/>
      <c r="H2095" s="155"/>
      <c r="I2095" s="155"/>
      <c r="J2095" s="155"/>
      <c r="K2095" s="155"/>
      <c r="L2095" s="155"/>
      <c r="M2095" s="155"/>
      <c r="N2095" s="54"/>
      <c r="O2095" s="54"/>
      <c r="P2095" s="54"/>
      <c r="Q2095" s="54"/>
      <c r="R2095" s="54"/>
      <c r="S2095" s="54"/>
      <c r="T2095" s="54"/>
    </row>
    <row r="2096" spans="1:20" ht="15" customHeight="1" x14ac:dyDescent="0.2">
      <c r="A2096" s="91"/>
      <c r="B2096" s="158"/>
      <c r="C2096" s="53"/>
      <c r="D2096" s="78"/>
      <c r="E2096" s="142"/>
      <c r="F2096" s="144"/>
      <c r="G2096" s="153"/>
      <c r="H2096" s="155"/>
      <c r="I2096" s="155"/>
      <c r="J2096" s="155"/>
      <c r="K2096" s="155"/>
      <c r="L2096" s="155"/>
      <c r="M2096" s="155"/>
      <c r="N2096" s="54"/>
      <c r="O2096" s="54"/>
      <c r="P2096" s="54"/>
      <c r="Q2096" s="54"/>
      <c r="R2096" s="54"/>
      <c r="S2096" s="54"/>
      <c r="T2096" s="54"/>
    </row>
    <row r="2097" spans="1:20" ht="15" customHeight="1" x14ac:dyDescent="0.2">
      <c r="A2097" s="91"/>
      <c r="B2097" s="158"/>
      <c r="C2097" s="53"/>
      <c r="D2097" s="78"/>
      <c r="E2097" s="142"/>
      <c r="F2097" s="144"/>
      <c r="G2097" s="153"/>
      <c r="H2097" s="155"/>
      <c r="I2097" s="155"/>
      <c r="J2097" s="155"/>
      <c r="K2097" s="155"/>
      <c r="L2097" s="155"/>
      <c r="M2097" s="155"/>
      <c r="N2097" s="54"/>
      <c r="O2097" s="54"/>
      <c r="P2097" s="54"/>
      <c r="Q2097" s="54"/>
      <c r="R2097" s="54"/>
      <c r="S2097" s="54"/>
      <c r="T2097" s="54"/>
    </row>
    <row r="2098" spans="1:20" ht="15" customHeight="1" x14ac:dyDescent="0.2">
      <c r="A2098" s="91"/>
      <c r="B2098" s="158"/>
      <c r="C2098" s="193"/>
      <c r="D2098" s="78"/>
      <c r="E2098" s="46"/>
      <c r="F2098" s="144"/>
      <c r="G2098" s="153"/>
      <c r="H2098" s="155"/>
      <c r="I2098" s="155"/>
      <c r="J2098" s="155"/>
      <c r="K2098" s="155"/>
      <c r="L2098" s="155"/>
      <c r="M2098" s="155"/>
      <c r="N2098" s="54"/>
      <c r="O2098" s="54"/>
      <c r="P2098" s="54"/>
      <c r="Q2098" s="54"/>
      <c r="R2098" s="54"/>
      <c r="S2098" s="54"/>
      <c r="T2098" s="54"/>
    </row>
    <row r="2099" spans="1:20" ht="15" customHeight="1" x14ac:dyDescent="0.2">
      <c r="A2099" s="91"/>
      <c r="B2099" s="158"/>
      <c r="C2099" s="148"/>
      <c r="D2099" s="91"/>
      <c r="E2099" s="46"/>
      <c r="F2099" s="144"/>
      <c r="G2099" s="153"/>
      <c r="H2099" s="155"/>
      <c r="I2099" s="155"/>
      <c r="J2099" s="155"/>
      <c r="K2099" s="155"/>
      <c r="L2099" s="155"/>
      <c r="M2099" s="155"/>
      <c r="N2099" s="54"/>
      <c r="O2099" s="54"/>
      <c r="P2099" s="54"/>
      <c r="Q2099" s="54"/>
      <c r="R2099" s="54"/>
      <c r="S2099" s="54"/>
      <c r="T2099" s="54"/>
    </row>
    <row r="2100" spans="1:20" ht="15" customHeight="1" x14ac:dyDescent="0.2">
      <c r="A2100" s="91"/>
      <c r="B2100" s="158"/>
      <c r="C2100" s="148"/>
      <c r="D2100" s="91"/>
      <c r="E2100" s="46"/>
      <c r="F2100" s="144"/>
      <c r="G2100" s="153"/>
      <c r="H2100" s="155"/>
      <c r="I2100" s="155"/>
      <c r="J2100" s="155"/>
      <c r="K2100" s="155"/>
      <c r="L2100" s="155"/>
      <c r="M2100" s="155"/>
      <c r="N2100" s="54"/>
      <c r="O2100" s="54"/>
      <c r="P2100" s="54"/>
      <c r="Q2100" s="54"/>
      <c r="R2100" s="54"/>
      <c r="S2100" s="54"/>
      <c r="T2100" s="54"/>
    </row>
    <row r="2101" spans="1:20" ht="15" customHeight="1" x14ac:dyDescent="0.2">
      <c r="A2101" s="91"/>
      <c r="B2101" s="158"/>
      <c r="C2101" s="148"/>
      <c r="D2101" s="91"/>
      <c r="E2101" s="46"/>
      <c r="F2101" s="144"/>
      <c r="G2101" s="153"/>
      <c r="H2101" s="155"/>
      <c r="I2101" s="155"/>
      <c r="J2101" s="155"/>
      <c r="K2101" s="155"/>
      <c r="L2101" s="155"/>
      <c r="M2101" s="155"/>
      <c r="N2101" s="54"/>
      <c r="O2101" s="54"/>
      <c r="P2101" s="54"/>
      <c r="Q2101" s="54"/>
      <c r="R2101" s="54"/>
      <c r="S2101" s="54"/>
      <c r="T2101" s="54"/>
    </row>
    <row r="2102" spans="1:20" ht="15" customHeight="1" x14ac:dyDescent="0.2">
      <c r="A2102" s="91"/>
      <c r="B2102" s="158"/>
      <c r="C2102" s="148"/>
      <c r="D2102" s="91"/>
      <c r="E2102" s="46"/>
      <c r="F2102" s="144"/>
      <c r="G2102" s="153"/>
      <c r="H2102" s="155"/>
      <c r="I2102" s="155"/>
      <c r="J2102" s="155"/>
      <c r="K2102" s="155"/>
      <c r="L2102" s="155"/>
      <c r="M2102" s="155"/>
      <c r="N2102" s="54"/>
      <c r="O2102" s="54"/>
      <c r="P2102" s="54"/>
      <c r="Q2102" s="54"/>
      <c r="R2102" s="54"/>
      <c r="S2102" s="54"/>
      <c r="T2102" s="54"/>
    </row>
    <row r="2103" spans="1:20" ht="15" customHeight="1" x14ac:dyDescent="0.2">
      <c r="A2103" s="91"/>
      <c r="B2103" s="158"/>
      <c r="C2103" s="148"/>
      <c r="D2103" s="91"/>
      <c r="E2103" s="46"/>
      <c r="F2103" s="144"/>
      <c r="G2103" s="153"/>
      <c r="H2103" s="155"/>
      <c r="I2103" s="155"/>
      <c r="J2103" s="155"/>
      <c r="K2103" s="155"/>
      <c r="L2103" s="155"/>
      <c r="M2103" s="155"/>
      <c r="N2103" s="54"/>
      <c r="O2103" s="54"/>
      <c r="P2103" s="54"/>
      <c r="Q2103" s="54"/>
      <c r="R2103" s="54"/>
      <c r="S2103" s="54"/>
      <c r="T2103" s="54"/>
    </row>
    <row r="2104" spans="1:20" ht="15" customHeight="1" x14ac:dyDescent="0.2">
      <c r="A2104" s="91"/>
      <c r="B2104" s="158"/>
      <c r="C2104" s="148"/>
      <c r="D2104" s="91"/>
      <c r="E2104" s="46"/>
      <c r="F2104" s="144"/>
      <c r="G2104" s="153"/>
      <c r="H2104" s="155"/>
      <c r="I2104" s="155"/>
      <c r="J2104" s="155"/>
      <c r="K2104" s="155"/>
      <c r="L2104" s="155"/>
      <c r="M2104" s="155"/>
      <c r="N2104" s="54"/>
      <c r="O2104" s="54"/>
      <c r="P2104" s="54"/>
      <c r="Q2104" s="54"/>
      <c r="R2104" s="54"/>
      <c r="S2104" s="54"/>
      <c r="T2104" s="54"/>
    </row>
    <row r="2105" spans="1:20" ht="15" customHeight="1" x14ac:dyDescent="0.2">
      <c r="A2105" s="91"/>
      <c r="B2105" s="158"/>
      <c r="C2105" s="148"/>
      <c r="D2105" s="91"/>
      <c r="E2105" s="46"/>
      <c r="F2105" s="144"/>
      <c r="G2105" s="153"/>
      <c r="H2105" s="155"/>
      <c r="I2105" s="155"/>
      <c r="J2105" s="155"/>
      <c r="K2105" s="155"/>
      <c r="L2105" s="155"/>
      <c r="M2105" s="155"/>
      <c r="N2105" s="54"/>
      <c r="O2105" s="54"/>
      <c r="P2105" s="54"/>
      <c r="Q2105" s="54"/>
      <c r="R2105" s="54"/>
      <c r="S2105" s="54"/>
      <c r="T2105" s="54"/>
    </row>
    <row r="2106" spans="1:20" ht="15" customHeight="1" x14ac:dyDescent="0.2">
      <c r="A2106" s="91"/>
      <c r="B2106" s="158"/>
      <c r="C2106" s="148"/>
      <c r="D2106" s="91"/>
      <c r="E2106" s="46"/>
      <c r="F2106" s="144"/>
      <c r="G2106" s="153"/>
      <c r="H2106" s="155"/>
      <c r="I2106" s="155"/>
      <c r="J2106" s="155"/>
      <c r="K2106" s="155"/>
      <c r="L2106" s="155"/>
      <c r="M2106" s="155"/>
      <c r="N2106" s="54"/>
      <c r="O2106" s="54"/>
      <c r="P2106" s="54"/>
      <c r="Q2106" s="54"/>
      <c r="R2106" s="54"/>
      <c r="S2106" s="54"/>
      <c r="T2106" s="54"/>
    </row>
    <row r="2107" spans="1:20" ht="15" customHeight="1" x14ac:dyDescent="0.2">
      <c r="A2107" s="91"/>
      <c r="B2107" s="158"/>
      <c r="C2107" s="148"/>
      <c r="D2107" s="91"/>
      <c r="E2107" s="46"/>
      <c r="F2107" s="144"/>
      <c r="G2107" s="153"/>
      <c r="H2107" s="155"/>
      <c r="I2107" s="155"/>
      <c r="J2107" s="155"/>
      <c r="K2107" s="155"/>
      <c r="L2107" s="155"/>
      <c r="M2107" s="155"/>
      <c r="N2107" s="54"/>
      <c r="O2107" s="54"/>
      <c r="P2107" s="54"/>
      <c r="Q2107" s="54"/>
      <c r="R2107" s="54"/>
      <c r="S2107" s="54"/>
      <c r="T2107" s="54"/>
    </row>
    <row r="2108" spans="1:20" ht="15" customHeight="1" x14ac:dyDescent="0.2">
      <c r="A2108" s="91"/>
      <c r="B2108" s="158"/>
      <c r="C2108" s="148"/>
      <c r="D2108" s="91"/>
      <c r="E2108" s="46"/>
      <c r="F2108" s="144"/>
      <c r="G2108" s="153"/>
      <c r="H2108" s="155"/>
      <c r="I2108" s="155"/>
      <c r="J2108" s="155"/>
      <c r="K2108" s="155"/>
      <c r="L2108" s="155"/>
      <c r="M2108" s="155"/>
      <c r="N2108" s="54"/>
      <c r="O2108" s="54"/>
      <c r="P2108" s="54"/>
      <c r="Q2108" s="54"/>
      <c r="R2108" s="54"/>
      <c r="S2108" s="54"/>
      <c r="T2108" s="54"/>
    </row>
    <row r="2109" spans="1:20" ht="15" customHeight="1" x14ac:dyDescent="0.2">
      <c r="A2109" s="91"/>
      <c r="B2109" s="158"/>
      <c r="C2109" s="148"/>
      <c r="D2109" s="91"/>
      <c r="E2109" s="46"/>
      <c r="F2109" s="144"/>
      <c r="G2109" s="153"/>
      <c r="H2109" s="155"/>
      <c r="I2109" s="155"/>
      <c r="J2109" s="155"/>
      <c r="K2109" s="155"/>
      <c r="L2109" s="155"/>
      <c r="M2109" s="155"/>
      <c r="N2109" s="54"/>
      <c r="O2109" s="54"/>
      <c r="P2109" s="54"/>
      <c r="Q2109" s="54"/>
      <c r="R2109" s="54"/>
      <c r="S2109" s="54"/>
      <c r="T2109" s="54"/>
    </row>
    <row r="2110" spans="1:20" ht="15" customHeight="1" x14ac:dyDescent="0.2">
      <c r="A2110" s="91"/>
      <c r="B2110" s="158"/>
      <c r="C2110" s="148"/>
      <c r="D2110" s="91"/>
      <c r="E2110" s="46"/>
      <c r="F2110" s="144"/>
      <c r="G2110" s="153"/>
      <c r="H2110" s="155"/>
      <c r="I2110" s="155"/>
      <c r="J2110" s="155"/>
      <c r="K2110" s="155"/>
      <c r="L2110" s="155"/>
      <c r="M2110" s="155"/>
      <c r="N2110" s="54"/>
      <c r="O2110" s="54"/>
      <c r="P2110" s="54"/>
      <c r="Q2110" s="54"/>
      <c r="R2110" s="54"/>
      <c r="S2110" s="54"/>
      <c r="T2110" s="54"/>
    </row>
    <row r="2111" spans="1:20" ht="15" customHeight="1" x14ac:dyDescent="0.2">
      <c r="A2111" s="91"/>
      <c r="B2111" s="158"/>
      <c r="C2111" s="148"/>
      <c r="D2111" s="91"/>
      <c r="E2111" s="46"/>
      <c r="F2111" s="144"/>
      <c r="G2111" s="153"/>
      <c r="H2111" s="155"/>
      <c r="I2111" s="155"/>
      <c r="J2111" s="155"/>
      <c r="K2111" s="155"/>
      <c r="L2111" s="155"/>
      <c r="M2111" s="155"/>
      <c r="N2111" s="54"/>
      <c r="O2111" s="54"/>
      <c r="P2111" s="54"/>
      <c r="Q2111" s="54"/>
      <c r="R2111" s="54"/>
      <c r="S2111" s="54"/>
      <c r="T2111" s="54"/>
    </row>
    <row r="2112" spans="1:20" ht="15" customHeight="1" x14ac:dyDescent="0.2">
      <c r="A2112" s="91"/>
      <c r="B2112" s="158"/>
      <c r="C2112" s="148"/>
      <c r="D2112" s="91"/>
      <c r="E2112" s="46"/>
      <c r="F2112" s="144"/>
      <c r="G2112" s="153"/>
      <c r="H2112" s="155"/>
      <c r="I2112" s="155"/>
      <c r="J2112" s="155"/>
      <c r="K2112" s="155"/>
      <c r="L2112" s="155"/>
      <c r="M2112" s="155"/>
      <c r="N2112" s="54"/>
      <c r="O2112" s="54"/>
      <c r="P2112" s="54"/>
      <c r="Q2112" s="54"/>
      <c r="R2112" s="54"/>
      <c r="S2112" s="54"/>
      <c r="T2112" s="54"/>
    </row>
    <row r="2113" spans="1:20" ht="15" customHeight="1" x14ac:dyDescent="0.2">
      <c r="A2113" s="91"/>
      <c r="B2113" s="158"/>
      <c r="C2113" s="148"/>
      <c r="D2113" s="91"/>
      <c r="E2113" s="46"/>
      <c r="F2113" s="144"/>
      <c r="G2113" s="153"/>
      <c r="H2113" s="155"/>
      <c r="I2113" s="155"/>
      <c r="J2113" s="155"/>
      <c r="K2113" s="155"/>
      <c r="L2113" s="155"/>
      <c r="M2113" s="155"/>
      <c r="N2113" s="54"/>
      <c r="O2113" s="54"/>
      <c r="P2113" s="54"/>
      <c r="Q2113" s="54"/>
      <c r="R2113" s="54"/>
      <c r="S2113" s="54"/>
      <c r="T2113" s="54"/>
    </row>
    <row r="2114" spans="1:20" ht="15" customHeight="1" x14ac:dyDescent="0.2">
      <c r="A2114" s="91"/>
      <c r="B2114" s="158"/>
      <c r="C2114" s="148"/>
      <c r="D2114" s="91"/>
      <c r="E2114" s="46"/>
      <c r="F2114" s="144"/>
      <c r="G2114" s="153"/>
      <c r="H2114" s="155"/>
      <c r="I2114" s="155"/>
      <c r="J2114" s="155"/>
      <c r="K2114" s="155"/>
      <c r="L2114" s="155"/>
      <c r="M2114" s="155"/>
      <c r="N2114" s="54"/>
      <c r="O2114" s="54"/>
      <c r="P2114" s="54"/>
      <c r="Q2114" s="54"/>
      <c r="R2114" s="54"/>
      <c r="S2114" s="54"/>
      <c r="T2114" s="54"/>
    </row>
    <row r="2115" spans="1:20" ht="15" customHeight="1" x14ac:dyDescent="0.2">
      <c r="A2115" s="91"/>
      <c r="B2115" s="158"/>
      <c r="C2115" s="148"/>
      <c r="D2115" s="91"/>
      <c r="E2115" s="46"/>
      <c r="F2115" s="144"/>
      <c r="G2115" s="153"/>
      <c r="H2115" s="155"/>
      <c r="I2115" s="155"/>
      <c r="J2115" s="155"/>
      <c r="K2115" s="155"/>
      <c r="L2115" s="155"/>
      <c r="M2115" s="155"/>
      <c r="N2115" s="54"/>
      <c r="O2115" s="54"/>
      <c r="P2115" s="54"/>
      <c r="Q2115" s="54"/>
      <c r="R2115" s="54"/>
      <c r="S2115" s="54"/>
      <c r="T2115" s="54"/>
    </row>
    <row r="2116" spans="1:20" ht="15" customHeight="1" x14ac:dyDescent="0.2">
      <c r="A2116" s="91"/>
      <c r="B2116" s="158"/>
      <c r="C2116" s="148"/>
      <c r="D2116" s="91"/>
      <c r="E2116" s="46"/>
      <c r="F2116" s="144"/>
      <c r="G2116" s="153"/>
      <c r="H2116" s="155"/>
      <c r="I2116" s="155"/>
      <c r="J2116" s="155"/>
      <c r="K2116" s="155"/>
      <c r="L2116" s="155"/>
      <c r="M2116" s="155"/>
      <c r="N2116" s="54"/>
      <c r="O2116" s="54"/>
      <c r="P2116" s="54"/>
      <c r="Q2116" s="54"/>
      <c r="R2116" s="54"/>
      <c r="S2116" s="54"/>
      <c r="T2116" s="54"/>
    </row>
    <row r="2117" spans="1:20" ht="15" customHeight="1" x14ac:dyDescent="0.2">
      <c r="A2117" s="91"/>
      <c r="B2117" s="158"/>
      <c r="C2117" s="148"/>
      <c r="D2117" s="91"/>
      <c r="E2117" s="46"/>
      <c r="F2117" s="144"/>
      <c r="G2117" s="153"/>
      <c r="H2117" s="155"/>
      <c r="I2117" s="155"/>
      <c r="J2117" s="155"/>
      <c r="K2117" s="155"/>
      <c r="L2117" s="155"/>
      <c r="M2117" s="155"/>
      <c r="N2117" s="54"/>
      <c r="O2117" s="54"/>
      <c r="P2117" s="54"/>
      <c r="Q2117" s="54"/>
      <c r="R2117" s="54"/>
      <c r="S2117" s="54"/>
      <c r="T2117" s="54"/>
    </row>
    <row r="2118" spans="1:20" ht="15" customHeight="1" x14ac:dyDescent="0.2">
      <c r="A2118" s="91"/>
      <c r="B2118" s="158"/>
      <c r="C2118" s="148"/>
      <c r="D2118" s="91"/>
      <c r="E2118" s="46"/>
      <c r="F2118" s="144"/>
      <c r="G2118" s="153"/>
      <c r="H2118" s="155"/>
      <c r="I2118" s="155"/>
      <c r="J2118" s="155"/>
      <c r="K2118" s="155"/>
      <c r="L2118" s="155"/>
      <c r="M2118" s="155"/>
      <c r="N2118" s="54"/>
      <c r="O2118" s="54"/>
      <c r="P2118" s="54"/>
      <c r="Q2118" s="54"/>
      <c r="R2118" s="54"/>
      <c r="S2118" s="54"/>
      <c r="T2118" s="54"/>
    </row>
    <row r="2119" spans="1:20" ht="15" customHeight="1" x14ac:dyDescent="0.2">
      <c r="A2119" s="91"/>
      <c r="B2119" s="158"/>
      <c r="C2119" s="148"/>
      <c r="D2119" s="91"/>
      <c r="E2119" s="46"/>
      <c r="F2119" s="144"/>
      <c r="G2119" s="153"/>
      <c r="H2119" s="155"/>
      <c r="I2119" s="155"/>
      <c r="J2119" s="155"/>
      <c r="K2119" s="155"/>
      <c r="L2119" s="155"/>
      <c r="M2119" s="155"/>
      <c r="N2119" s="54"/>
      <c r="O2119" s="54"/>
      <c r="P2119" s="54"/>
      <c r="Q2119" s="54"/>
      <c r="R2119" s="54"/>
      <c r="S2119" s="54"/>
      <c r="T2119" s="54"/>
    </row>
    <row r="2120" spans="1:20" ht="15" customHeight="1" x14ac:dyDescent="0.2">
      <c r="A2120" s="91"/>
      <c r="B2120" s="158"/>
      <c r="C2120" s="148"/>
      <c r="D2120" s="91"/>
      <c r="E2120" s="46"/>
      <c r="F2120" s="144"/>
      <c r="G2120" s="153"/>
      <c r="H2120" s="155"/>
      <c r="I2120" s="155"/>
      <c r="J2120" s="155"/>
      <c r="K2120" s="155"/>
      <c r="L2120" s="155"/>
      <c r="M2120" s="155"/>
      <c r="N2120" s="54"/>
      <c r="O2120" s="54"/>
      <c r="P2120" s="54"/>
      <c r="Q2120" s="54"/>
      <c r="R2120" s="54"/>
      <c r="S2120" s="54"/>
      <c r="T2120" s="54"/>
    </row>
    <row r="2121" spans="1:20" ht="13.5" x14ac:dyDescent="0.2">
      <c r="A2121" s="91"/>
      <c r="B2121" s="158"/>
      <c r="C2121" s="148"/>
      <c r="D2121" s="91"/>
      <c r="E2121" s="46"/>
      <c r="F2121" s="144"/>
      <c r="G2121" s="153"/>
      <c r="H2121" s="155"/>
      <c r="I2121" s="155"/>
      <c r="J2121" s="155"/>
      <c r="K2121" s="155"/>
      <c r="L2121" s="155"/>
      <c r="M2121" s="155"/>
      <c r="N2121" s="54"/>
      <c r="O2121" s="54"/>
      <c r="P2121" s="54"/>
      <c r="Q2121" s="54"/>
      <c r="R2121" s="54"/>
      <c r="S2121" s="54"/>
      <c r="T2121" s="54"/>
    </row>
    <row r="2122" spans="1:20" ht="13.5" x14ac:dyDescent="0.2">
      <c r="A2122" s="91"/>
      <c r="B2122" s="158"/>
      <c r="C2122" s="148"/>
      <c r="D2122" s="91"/>
      <c r="E2122" s="46"/>
      <c r="F2122" s="144"/>
      <c r="G2122" s="153"/>
      <c r="H2122" s="155"/>
      <c r="I2122" s="155"/>
      <c r="J2122" s="155"/>
      <c r="K2122" s="155"/>
      <c r="L2122" s="155"/>
      <c r="M2122" s="155"/>
      <c r="N2122" s="54"/>
      <c r="O2122" s="54"/>
      <c r="P2122" s="54"/>
      <c r="Q2122" s="54"/>
      <c r="R2122" s="54"/>
      <c r="S2122" s="54"/>
      <c r="T2122" s="54"/>
    </row>
    <row r="2123" spans="1:20" ht="13.5" x14ac:dyDescent="0.2">
      <c r="A2123" s="91"/>
      <c r="B2123" s="158"/>
      <c r="C2123" s="148"/>
      <c r="D2123" s="91"/>
      <c r="E2123" s="46"/>
      <c r="F2123" s="144"/>
      <c r="G2123" s="153"/>
      <c r="H2123" s="155"/>
      <c r="I2123" s="155"/>
      <c r="J2123" s="155"/>
      <c r="K2123" s="155"/>
      <c r="L2123" s="155"/>
      <c r="M2123" s="155"/>
      <c r="N2123" s="54"/>
      <c r="O2123" s="54"/>
      <c r="P2123" s="54"/>
      <c r="Q2123" s="54"/>
      <c r="R2123" s="54"/>
      <c r="S2123" s="54"/>
      <c r="T2123" s="54"/>
    </row>
    <row r="2124" spans="1:20" ht="13.5" x14ac:dyDescent="0.2">
      <c r="A2124" s="91"/>
      <c r="B2124" s="158"/>
      <c r="C2124" s="148"/>
      <c r="D2124" s="91"/>
      <c r="E2124" s="46"/>
      <c r="F2124" s="144"/>
      <c r="G2124" s="153"/>
      <c r="H2124" s="155"/>
      <c r="I2124" s="155"/>
      <c r="J2124" s="155"/>
      <c r="K2124" s="155"/>
      <c r="L2124" s="155"/>
      <c r="M2124" s="155"/>
      <c r="N2124" s="54"/>
      <c r="O2124" s="54"/>
      <c r="P2124" s="54"/>
      <c r="Q2124" s="54"/>
      <c r="R2124" s="54"/>
      <c r="S2124" s="54"/>
      <c r="T2124" s="54"/>
    </row>
    <row r="2125" spans="1:20" ht="13.5" x14ac:dyDescent="0.2">
      <c r="A2125" s="91"/>
      <c r="B2125" s="158"/>
      <c r="C2125" s="148"/>
      <c r="D2125" s="91"/>
      <c r="E2125" s="46"/>
      <c r="F2125" s="144"/>
      <c r="G2125" s="153"/>
      <c r="H2125" s="155"/>
      <c r="I2125" s="155"/>
      <c r="J2125" s="155"/>
      <c r="K2125" s="155"/>
      <c r="L2125" s="155"/>
      <c r="M2125" s="155"/>
      <c r="N2125" s="54"/>
      <c r="O2125" s="54"/>
      <c r="P2125" s="54"/>
      <c r="Q2125" s="54"/>
      <c r="R2125" s="54"/>
      <c r="S2125" s="54"/>
      <c r="T2125" s="54"/>
    </row>
    <row r="2126" spans="1:20" ht="13.5" x14ac:dyDescent="0.2">
      <c r="A2126" s="91"/>
      <c r="B2126" s="158"/>
      <c r="C2126" s="148"/>
      <c r="D2126" s="91"/>
      <c r="E2126" s="46"/>
      <c r="F2126" s="144"/>
      <c r="G2126" s="153"/>
      <c r="H2126" s="155"/>
      <c r="I2126" s="155"/>
      <c r="J2126" s="155"/>
      <c r="K2126" s="155"/>
      <c r="L2126" s="155"/>
      <c r="M2126" s="155"/>
      <c r="N2126" s="54"/>
      <c r="O2126" s="54"/>
      <c r="P2126" s="54"/>
      <c r="Q2126" s="54"/>
      <c r="R2126" s="54"/>
      <c r="S2126" s="54"/>
      <c r="T2126" s="54"/>
    </row>
    <row r="2127" spans="1:20" ht="13.5" x14ac:dyDescent="0.2">
      <c r="A2127" s="91"/>
      <c r="B2127" s="158"/>
      <c r="C2127" s="148"/>
      <c r="D2127" s="91"/>
      <c r="E2127" s="46"/>
      <c r="F2127" s="144"/>
      <c r="G2127" s="153"/>
      <c r="H2127" s="155"/>
      <c r="I2127" s="155"/>
      <c r="J2127" s="155"/>
      <c r="K2127" s="155"/>
      <c r="L2127" s="155"/>
      <c r="M2127" s="155"/>
      <c r="N2127" s="54"/>
      <c r="O2127" s="54"/>
      <c r="P2127" s="54"/>
      <c r="Q2127" s="54"/>
      <c r="R2127" s="54"/>
      <c r="S2127" s="54"/>
      <c r="T2127" s="54"/>
    </row>
    <row r="2128" spans="1:20" ht="13.5" x14ac:dyDescent="0.2">
      <c r="A2128" s="91"/>
      <c r="B2128" s="158"/>
      <c r="C2128" s="148"/>
      <c r="D2128" s="91"/>
      <c r="E2128" s="46"/>
      <c r="F2128" s="144"/>
      <c r="G2128" s="153"/>
      <c r="H2128" s="155"/>
      <c r="I2128" s="155"/>
      <c r="J2128" s="155"/>
      <c r="K2128" s="155"/>
      <c r="L2128" s="155"/>
      <c r="M2128" s="155"/>
      <c r="N2128" s="54"/>
      <c r="O2128" s="54"/>
      <c r="P2128" s="54"/>
      <c r="Q2128" s="54"/>
      <c r="R2128" s="54"/>
      <c r="S2128" s="54"/>
      <c r="T2128" s="54"/>
    </row>
    <row r="2129" spans="1:20" ht="13.5" x14ac:dyDescent="0.2">
      <c r="A2129" s="91"/>
      <c r="B2129" s="158"/>
      <c r="C2129" s="148"/>
      <c r="D2129" s="91"/>
      <c r="E2129" s="46"/>
      <c r="F2129" s="144"/>
      <c r="G2129" s="153"/>
      <c r="H2129" s="155"/>
      <c r="I2129" s="155"/>
      <c r="J2129" s="155"/>
      <c r="K2129" s="155"/>
      <c r="L2129" s="155"/>
      <c r="M2129" s="155"/>
      <c r="N2129" s="54"/>
      <c r="O2129" s="54"/>
      <c r="P2129" s="54"/>
      <c r="Q2129" s="54"/>
      <c r="R2129" s="54"/>
      <c r="S2129" s="54"/>
      <c r="T2129" s="54"/>
    </row>
    <row r="2130" spans="1:20" ht="13.5" x14ac:dyDescent="0.2">
      <c r="A2130" s="91"/>
      <c r="B2130" s="158"/>
      <c r="C2130" s="148"/>
      <c r="D2130" s="91"/>
      <c r="E2130" s="46"/>
      <c r="F2130" s="144"/>
      <c r="G2130" s="153"/>
      <c r="H2130" s="155"/>
      <c r="I2130" s="155"/>
      <c r="J2130" s="155"/>
      <c r="K2130" s="155"/>
      <c r="L2130" s="155"/>
      <c r="M2130" s="155"/>
      <c r="N2130" s="54"/>
      <c r="O2130" s="54"/>
      <c r="P2130" s="54"/>
      <c r="Q2130" s="54"/>
      <c r="R2130" s="54"/>
      <c r="S2130" s="54"/>
      <c r="T2130" s="54"/>
    </row>
    <row r="2131" spans="1:20" ht="13.5" x14ac:dyDescent="0.2">
      <c r="A2131" s="91"/>
      <c r="B2131" s="158"/>
      <c r="C2131" s="148"/>
      <c r="D2131" s="91"/>
      <c r="E2131" s="46"/>
      <c r="F2131" s="144"/>
      <c r="G2131" s="153"/>
      <c r="H2131" s="155"/>
      <c r="I2131" s="155"/>
      <c r="J2131" s="155"/>
      <c r="K2131" s="155"/>
      <c r="L2131" s="155"/>
      <c r="M2131" s="155"/>
      <c r="N2131" s="54"/>
      <c r="O2131" s="54"/>
      <c r="P2131" s="54"/>
      <c r="Q2131" s="54"/>
      <c r="R2131" s="54"/>
      <c r="S2131" s="54"/>
      <c r="T2131" s="54"/>
    </row>
    <row r="2132" spans="1:20" ht="13.5" x14ac:dyDescent="0.2">
      <c r="A2132" s="91"/>
      <c r="B2132" s="158"/>
      <c r="C2132" s="148"/>
      <c r="D2132" s="91"/>
      <c r="E2132" s="46"/>
      <c r="F2132" s="144"/>
      <c r="G2132" s="153"/>
      <c r="H2132" s="155"/>
      <c r="I2132" s="155"/>
      <c r="J2132" s="155"/>
      <c r="K2132" s="155"/>
      <c r="L2132" s="155"/>
      <c r="M2132" s="155"/>
      <c r="N2132" s="54"/>
      <c r="O2132" s="54"/>
      <c r="P2132" s="54"/>
      <c r="Q2132" s="54"/>
      <c r="R2132" s="54"/>
      <c r="S2132" s="54"/>
      <c r="T2132" s="54"/>
    </row>
    <row r="2133" spans="1:20" ht="13.5" x14ac:dyDescent="0.2">
      <c r="A2133" s="91"/>
      <c r="B2133" s="158"/>
      <c r="C2133" s="148"/>
      <c r="D2133" s="91"/>
      <c r="E2133" s="46"/>
      <c r="F2133" s="144"/>
      <c r="G2133" s="153"/>
      <c r="H2133" s="155"/>
      <c r="I2133" s="155"/>
      <c r="J2133" s="155"/>
      <c r="K2133" s="155"/>
      <c r="L2133" s="155"/>
      <c r="M2133" s="155"/>
      <c r="N2133" s="54"/>
      <c r="O2133" s="54"/>
      <c r="P2133" s="54"/>
      <c r="Q2133" s="54"/>
      <c r="R2133" s="54"/>
      <c r="S2133" s="54"/>
      <c r="T2133" s="54"/>
    </row>
    <row r="2134" spans="1:20" ht="13.5" x14ac:dyDescent="0.2">
      <c r="A2134" s="91"/>
      <c r="B2134" s="158"/>
      <c r="C2134" s="148"/>
      <c r="D2134" s="91"/>
      <c r="E2134" s="46"/>
      <c r="F2134" s="144"/>
      <c r="G2134" s="153"/>
      <c r="H2134" s="155"/>
      <c r="I2134" s="155"/>
      <c r="J2134" s="155"/>
      <c r="K2134" s="155"/>
      <c r="L2134" s="155"/>
      <c r="M2134" s="155"/>
      <c r="N2134" s="54"/>
      <c r="O2134" s="54"/>
      <c r="P2134" s="54"/>
      <c r="Q2134" s="54"/>
      <c r="R2134" s="54"/>
      <c r="S2134" s="54"/>
      <c r="T2134" s="54"/>
    </row>
    <row r="2135" spans="1:20" ht="13.5" x14ac:dyDescent="0.2">
      <c r="A2135" s="91"/>
      <c r="B2135" s="158"/>
      <c r="C2135" s="148"/>
      <c r="D2135" s="91"/>
      <c r="E2135" s="46"/>
      <c r="F2135" s="144"/>
      <c r="G2135" s="153"/>
      <c r="H2135" s="155"/>
      <c r="I2135" s="155"/>
      <c r="J2135" s="155"/>
      <c r="K2135" s="155"/>
      <c r="L2135" s="155"/>
      <c r="M2135" s="155"/>
      <c r="N2135" s="54"/>
      <c r="O2135" s="54"/>
      <c r="P2135" s="54"/>
      <c r="Q2135" s="54"/>
      <c r="R2135" s="54"/>
      <c r="S2135" s="54"/>
      <c r="T2135" s="54"/>
    </row>
    <row r="2136" spans="1:20" ht="13.5" x14ac:dyDescent="0.2">
      <c r="A2136" s="91"/>
      <c r="B2136" s="158"/>
      <c r="C2136" s="148"/>
      <c r="D2136" s="91"/>
      <c r="E2136" s="46"/>
      <c r="F2136" s="144"/>
      <c r="G2136" s="153"/>
      <c r="H2136" s="155"/>
      <c r="I2136" s="155"/>
      <c r="J2136" s="155"/>
      <c r="K2136" s="155"/>
      <c r="L2136" s="155"/>
      <c r="M2136" s="155"/>
      <c r="N2136" s="54"/>
      <c r="O2136" s="54"/>
      <c r="P2136" s="54"/>
      <c r="Q2136" s="54"/>
      <c r="R2136" s="54"/>
      <c r="S2136" s="54"/>
      <c r="T2136" s="54"/>
    </row>
    <row r="2137" spans="1:20" ht="13.5" x14ac:dyDescent="0.2">
      <c r="A2137" s="91"/>
      <c r="B2137" s="158"/>
      <c r="C2137" s="148"/>
      <c r="D2137" s="91"/>
      <c r="E2137" s="46"/>
      <c r="F2137" s="144"/>
      <c r="G2137" s="153"/>
      <c r="H2137" s="155"/>
      <c r="I2137" s="155"/>
      <c r="J2137" s="155"/>
      <c r="K2137" s="155"/>
      <c r="L2137" s="155"/>
      <c r="M2137" s="155"/>
      <c r="N2137" s="54"/>
      <c r="O2137" s="54"/>
      <c r="P2137" s="54"/>
      <c r="Q2137" s="54"/>
      <c r="R2137" s="54"/>
      <c r="S2137" s="54"/>
      <c r="T2137" s="54"/>
    </row>
    <row r="2138" spans="1:20" ht="13.5" x14ac:dyDescent="0.2">
      <c r="A2138" s="91"/>
      <c r="B2138" s="158"/>
      <c r="C2138" s="148"/>
      <c r="D2138" s="91"/>
      <c r="E2138" s="46"/>
      <c r="F2138" s="144"/>
      <c r="G2138" s="153"/>
      <c r="H2138" s="155"/>
      <c r="I2138" s="155"/>
      <c r="J2138" s="155"/>
      <c r="K2138" s="155"/>
      <c r="L2138" s="155"/>
      <c r="M2138" s="155"/>
      <c r="N2138" s="54"/>
      <c r="O2138" s="54"/>
      <c r="P2138" s="54"/>
      <c r="Q2138" s="54"/>
      <c r="R2138" s="54"/>
      <c r="S2138" s="54"/>
      <c r="T2138" s="54"/>
    </row>
    <row r="2139" spans="1:20" ht="13.5" x14ac:dyDescent="0.2">
      <c r="A2139" s="91"/>
      <c r="B2139" s="158"/>
      <c r="C2139" s="148"/>
      <c r="D2139" s="91"/>
      <c r="E2139" s="46"/>
      <c r="F2139" s="144"/>
      <c r="G2139" s="153"/>
      <c r="H2139" s="155"/>
      <c r="I2139" s="155"/>
      <c r="J2139" s="155"/>
      <c r="K2139" s="155"/>
      <c r="L2139" s="155"/>
      <c r="M2139" s="155"/>
      <c r="N2139" s="54"/>
      <c r="O2139" s="54"/>
      <c r="P2139" s="54"/>
      <c r="Q2139" s="54"/>
      <c r="R2139" s="54"/>
      <c r="S2139" s="54"/>
      <c r="T2139" s="54"/>
    </row>
    <row r="2140" spans="1:20" ht="13.5" x14ac:dyDescent="0.2">
      <c r="A2140" s="91"/>
      <c r="B2140" s="158"/>
      <c r="C2140" s="148"/>
      <c r="D2140" s="91"/>
      <c r="E2140" s="46"/>
      <c r="F2140" s="144"/>
      <c r="G2140" s="153"/>
      <c r="H2140" s="155"/>
      <c r="I2140" s="155"/>
      <c r="J2140" s="155"/>
      <c r="K2140" s="155"/>
      <c r="L2140" s="155"/>
      <c r="M2140" s="155"/>
      <c r="N2140" s="54"/>
      <c r="O2140" s="54"/>
      <c r="P2140" s="54"/>
      <c r="Q2140" s="54"/>
      <c r="R2140" s="54"/>
      <c r="S2140" s="54"/>
      <c r="T2140" s="54"/>
    </row>
    <row r="2141" spans="1:20" ht="13.5" x14ac:dyDescent="0.2">
      <c r="A2141" s="91"/>
      <c r="B2141" s="158"/>
      <c r="C2141" s="148"/>
      <c r="D2141" s="91"/>
      <c r="E2141" s="46"/>
      <c r="F2141" s="144"/>
      <c r="G2141" s="153"/>
      <c r="H2141" s="155"/>
      <c r="I2141" s="155"/>
      <c r="J2141" s="155"/>
      <c r="K2141" s="155"/>
      <c r="L2141" s="155"/>
      <c r="M2141" s="155"/>
      <c r="N2141" s="54"/>
      <c r="O2141" s="54"/>
      <c r="P2141" s="54"/>
      <c r="Q2141" s="54"/>
      <c r="R2141" s="54"/>
      <c r="S2141" s="54"/>
      <c r="T2141" s="54"/>
    </row>
    <row r="2142" spans="1:20" ht="13.5" x14ac:dyDescent="0.2">
      <c r="A2142" s="91"/>
      <c r="B2142" s="158"/>
      <c r="C2142" s="148"/>
      <c r="D2142" s="91"/>
      <c r="E2142" s="46"/>
      <c r="F2142" s="144"/>
      <c r="G2142" s="153"/>
      <c r="H2142" s="155"/>
      <c r="I2142" s="155"/>
      <c r="J2142" s="155"/>
      <c r="K2142" s="155"/>
      <c r="L2142" s="155"/>
      <c r="M2142" s="155"/>
      <c r="N2142" s="54"/>
      <c r="O2142" s="54"/>
      <c r="P2142" s="54"/>
      <c r="Q2142" s="54"/>
      <c r="R2142" s="54"/>
      <c r="S2142" s="54"/>
      <c r="T2142" s="54"/>
    </row>
    <row r="2143" spans="1:20" ht="13.5" x14ac:dyDescent="0.2">
      <c r="A2143" s="91"/>
      <c r="B2143" s="158"/>
      <c r="C2143" s="148"/>
      <c r="D2143" s="91"/>
      <c r="E2143" s="46"/>
      <c r="F2143" s="144"/>
      <c r="G2143" s="153"/>
      <c r="H2143" s="155"/>
      <c r="I2143" s="155"/>
      <c r="J2143" s="155"/>
      <c r="K2143" s="155"/>
      <c r="L2143" s="155"/>
      <c r="M2143" s="155"/>
      <c r="N2143" s="54"/>
      <c r="O2143" s="54"/>
      <c r="P2143" s="54"/>
      <c r="Q2143" s="54"/>
      <c r="R2143" s="54"/>
      <c r="S2143" s="54"/>
      <c r="T2143" s="54"/>
    </row>
    <row r="2144" spans="1:20" ht="13.5" x14ac:dyDescent="0.2">
      <c r="A2144" s="91"/>
      <c r="B2144" s="158"/>
      <c r="C2144" s="148"/>
      <c r="D2144" s="91"/>
      <c r="E2144" s="46"/>
      <c r="F2144" s="144"/>
      <c r="G2144" s="153"/>
      <c r="H2144" s="155"/>
      <c r="I2144" s="155"/>
      <c r="J2144" s="155"/>
      <c r="K2144" s="155"/>
      <c r="L2144" s="155"/>
      <c r="M2144" s="155"/>
      <c r="N2144" s="54"/>
      <c r="O2144" s="54"/>
      <c r="P2144" s="54"/>
      <c r="Q2144" s="54"/>
      <c r="R2144" s="54"/>
      <c r="S2144" s="54"/>
      <c r="T2144" s="54"/>
    </row>
    <row r="2145" spans="1:20" ht="13.5" x14ac:dyDescent="0.2">
      <c r="A2145" s="91"/>
      <c r="B2145" s="158"/>
      <c r="C2145" s="148"/>
      <c r="D2145" s="91"/>
      <c r="E2145" s="46"/>
      <c r="F2145" s="144"/>
      <c r="G2145" s="153"/>
      <c r="H2145" s="155"/>
      <c r="I2145" s="155"/>
      <c r="J2145" s="155"/>
      <c r="K2145" s="155"/>
      <c r="L2145" s="155"/>
      <c r="M2145" s="155"/>
      <c r="N2145" s="54"/>
      <c r="O2145" s="54"/>
      <c r="P2145" s="54"/>
      <c r="Q2145" s="54"/>
      <c r="R2145" s="54"/>
      <c r="S2145" s="54"/>
      <c r="T2145" s="54"/>
    </row>
    <row r="2146" spans="1:20" ht="13.5" x14ac:dyDescent="0.2">
      <c r="A2146" s="91"/>
      <c r="B2146" s="158"/>
      <c r="C2146" s="148"/>
      <c r="D2146" s="91"/>
      <c r="E2146" s="46"/>
      <c r="F2146" s="144"/>
      <c r="G2146" s="153"/>
      <c r="H2146" s="155"/>
      <c r="I2146" s="155"/>
      <c r="J2146" s="155"/>
      <c r="K2146" s="155"/>
      <c r="L2146" s="155"/>
      <c r="M2146" s="155"/>
      <c r="N2146" s="54"/>
      <c r="O2146" s="54"/>
      <c r="P2146" s="54"/>
      <c r="Q2146" s="54"/>
      <c r="R2146" s="54"/>
      <c r="S2146" s="54"/>
      <c r="T2146" s="54"/>
    </row>
    <row r="2147" spans="1:20" ht="13.5" x14ac:dyDescent="0.2">
      <c r="A2147" s="91"/>
      <c r="B2147" s="158"/>
      <c r="C2147" s="148"/>
      <c r="D2147" s="91"/>
      <c r="E2147" s="46"/>
      <c r="F2147" s="144"/>
      <c r="G2147" s="153"/>
      <c r="H2147" s="155"/>
      <c r="I2147" s="155"/>
      <c r="J2147" s="155"/>
      <c r="K2147" s="155"/>
      <c r="L2147" s="155"/>
      <c r="M2147" s="155"/>
      <c r="N2147" s="54"/>
      <c r="O2147" s="54"/>
      <c r="P2147" s="54"/>
      <c r="Q2147" s="54"/>
      <c r="R2147" s="54"/>
      <c r="S2147" s="54"/>
      <c r="T2147" s="54"/>
    </row>
    <row r="2148" spans="1:20" ht="13.5" x14ac:dyDescent="0.2">
      <c r="A2148" s="91"/>
      <c r="B2148" s="158"/>
      <c r="C2148" s="148"/>
      <c r="D2148" s="91"/>
      <c r="E2148" s="46"/>
      <c r="F2148" s="144"/>
      <c r="G2148" s="153"/>
      <c r="H2148" s="155"/>
      <c r="I2148" s="155"/>
      <c r="J2148" s="155"/>
      <c r="K2148" s="155"/>
      <c r="L2148" s="155"/>
      <c r="M2148" s="155"/>
      <c r="N2148" s="54"/>
      <c r="O2148" s="54"/>
      <c r="P2148" s="54"/>
      <c r="Q2148" s="54"/>
      <c r="R2148" s="54"/>
      <c r="S2148" s="54"/>
      <c r="T2148" s="54"/>
    </row>
    <row r="2149" spans="1:20" ht="13.5" x14ac:dyDescent="0.2">
      <c r="A2149" s="91"/>
      <c r="B2149" s="158"/>
      <c r="C2149" s="148"/>
      <c r="D2149" s="91"/>
      <c r="E2149" s="46"/>
      <c r="F2149" s="144"/>
      <c r="G2149" s="153"/>
      <c r="H2149" s="155"/>
      <c r="I2149" s="155"/>
      <c r="J2149" s="155"/>
      <c r="K2149" s="155"/>
      <c r="L2149" s="155"/>
      <c r="M2149" s="155"/>
      <c r="N2149" s="54"/>
      <c r="O2149" s="54"/>
      <c r="P2149" s="54"/>
      <c r="Q2149" s="54"/>
      <c r="R2149" s="54"/>
      <c r="S2149" s="54"/>
      <c r="T2149" s="54"/>
    </row>
    <row r="2150" spans="1:20" ht="13.5" x14ac:dyDescent="0.2">
      <c r="A2150" s="91"/>
      <c r="B2150" s="158"/>
      <c r="C2150" s="148"/>
      <c r="D2150" s="91"/>
      <c r="E2150" s="46"/>
      <c r="F2150" s="144"/>
      <c r="G2150" s="153"/>
      <c r="H2150" s="155"/>
      <c r="I2150" s="155"/>
      <c r="J2150" s="155"/>
      <c r="K2150" s="155"/>
      <c r="L2150" s="155"/>
      <c r="M2150" s="155"/>
      <c r="N2150" s="54"/>
      <c r="O2150" s="54"/>
      <c r="P2150" s="54"/>
      <c r="Q2150" s="54"/>
      <c r="R2150" s="54"/>
      <c r="S2150" s="54"/>
      <c r="T2150" s="54"/>
    </row>
    <row r="2151" spans="1:20" ht="13.5" x14ac:dyDescent="0.2">
      <c r="A2151" s="91"/>
      <c r="B2151" s="158"/>
      <c r="C2151" s="148"/>
      <c r="D2151" s="91"/>
      <c r="E2151" s="46"/>
      <c r="F2151" s="144"/>
      <c r="G2151" s="153"/>
      <c r="H2151" s="155"/>
      <c r="I2151" s="155"/>
      <c r="J2151" s="155"/>
      <c r="K2151" s="155"/>
      <c r="L2151" s="155"/>
      <c r="M2151" s="155"/>
      <c r="N2151" s="54"/>
      <c r="O2151" s="54"/>
      <c r="P2151" s="54"/>
      <c r="Q2151" s="54"/>
      <c r="R2151" s="54"/>
      <c r="S2151" s="54"/>
      <c r="T2151" s="54"/>
    </row>
    <row r="2152" spans="1:20" ht="13.5" x14ac:dyDescent="0.2">
      <c r="A2152" s="91"/>
      <c r="B2152" s="158"/>
      <c r="C2152" s="148"/>
      <c r="D2152" s="91"/>
      <c r="E2152" s="46"/>
      <c r="F2152" s="144"/>
      <c r="G2152" s="153"/>
      <c r="H2152" s="155"/>
      <c r="I2152" s="155"/>
      <c r="J2152" s="155"/>
      <c r="K2152" s="155"/>
      <c r="L2152" s="155"/>
      <c r="M2152" s="155"/>
      <c r="N2152" s="54"/>
      <c r="O2152" s="54"/>
      <c r="P2152" s="54"/>
      <c r="Q2152" s="54"/>
      <c r="R2152" s="54"/>
      <c r="S2152" s="54"/>
      <c r="T2152" s="54"/>
    </row>
    <row r="2153" spans="1:20" ht="13.5" x14ac:dyDescent="0.2">
      <c r="A2153" s="91"/>
      <c r="B2153" s="158"/>
      <c r="C2153" s="148"/>
      <c r="D2153" s="91"/>
      <c r="E2153" s="46"/>
      <c r="F2153" s="144"/>
      <c r="G2153" s="153"/>
      <c r="H2153" s="155"/>
      <c r="I2153" s="155"/>
      <c r="J2153" s="155"/>
      <c r="K2153" s="155"/>
      <c r="L2153" s="155"/>
      <c r="M2153" s="155"/>
      <c r="N2153" s="54"/>
      <c r="O2153" s="54"/>
      <c r="P2153" s="54"/>
      <c r="Q2153" s="54"/>
      <c r="R2153" s="54"/>
      <c r="S2153" s="54"/>
      <c r="T2153" s="54"/>
    </row>
    <row r="2154" spans="1:20" ht="13.5" x14ac:dyDescent="0.2">
      <c r="A2154" s="91"/>
      <c r="B2154" s="158"/>
      <c r="C2154" s="148"/>
      <c r="D2154" s="91"/>
      <c r="E2154" s="46"/>
      <c r="F2154" s="144"/>
      <c r="G2154" s="153"/>
      <c r="H2154" s="155"/>
      <c r="I2154" s="155"/>
      <c r="J2154" s="155"/>
      <c r="K2154" s="155"/>
      <c r="L2154" s="155"/>
      <c r="M2154" s="155"/>
      <c r="N2154" s="54"/>
      <c r="O2154" s="54"/>
      <c r="P2154" s="54"/>
      <c r="Q2154" s="54"/>
      <c r="R2154" s="54"/>
      <c r="S2154" s="54"/>
      <c r="T2154" s="54"/>
    </row>
    <row r="2155" spans="1:20" ht="13.5" x14ac:dyDescent="0.2">
      <c r="A2155" s="91"/>
      <c r="B2155" s="158"/>
      <c r="C2155" s="148"/>
      <c r="D2155" s="91"/>
      <c r="E2155" s="46"/>
      <c r="F2155" s="144"/>
      <c r="G2155" s="153"/>
      <c r="H2155" s="155"/>
      <c r="I2155" s="155"/>
      <c r="J2155" s="155"/>
      <c r="K2155" s="155"/>
      <c r="L2155" s="155"/>
      <c r="M2155" s="155"/>
      <c r="N2155" s="54"/>
      <c r="O2155" s="54"/>
      <c r="P2155" s="54"/>
      <c r="Q2155" s="54"/>
      <c r="R2155" s="54"/>
      <c r="S2155" s="54"/>
      <c r="T2155" s="54"/>
    </row>
    <row r="2156" spans="1:20" ht="13.5" x14ac:dyDescent="0.2">
      <c r="A2156" s="91"/>
      <c r="B2156" s="158"/>
      <c r="C2156" s="148"/>
      <c r="D2156" s="91"/>
      <c r="E2156" s="46"/>
      <c r="F2156" s="144"/>
      <c r="G2156" s="153"/>
      <c r="H2156" s="155"/>
      <c r="I2156" s="155"/>
      <c r="J2156" s="155"/>
      <c r="K2156" s="155"/>
      <c r="L2156" s="155"/>
      <c r="M2156" s="155"/>
      <c r="N2156" s="54"/>
      <c r="O2156" s="54"/>
      <c r="P2156" s="54"/>
      <c r="Q2156" s="54"/>
      <c r="R2156" s="54"/>
      <c r="S2156" s="54"/>
      <c r="T2156" s="54"/>
    </row>
    <row r="2157" spans="1:20" ht="13.5" x14ac:dyDescent="0.2">
      <c r="A2157" s="91"/>
      <c r="B2157" s="158"/>
      <c r="C2157" s="148"/>
      <c r="D2157" s="91"/>
      <c r="E2157" s="46"/>
      <c r="F2157" s="144"/>
      <c r="G2157" s="153"/>
      <c r="H2157" s="155"/>
      <c r="I2157" s="155"/>
      <c r="J2157" s="155"/>
      <c r="K2157" s="155"/>
      <c r="L2157" s="155"/>
      <c r="M2157" s="155"/>
      <c r="N2157" s="54"/>
      <c r="O2157" s="54"/>
      <c r="P2157" s="54"/>
      <c r="Q2157" s="54"/>
      <c r="R2157" s="54"/>
      <c r="S2157" s="54"/>
      <c r="T2157" s="54"/>
    </row>
    <row r="2158" spans="1:20" ht="13.5" x14ac:dyDescent="0.2">
      <c r="A2158" s="91"/>
      <c r="B2158" s="158"/>
      <c r="C2158" s="148"/>
      <c r="D2158" s="91"/>
      <c r="E2158" s="46"/>
      <c r="F2158" s="144"/>
      <c r="G2158" s="153"/>
      <c r="H2158" s="155"/>
      <c r="I2158" s="155"/>
      <c r="J2158" s="155"/>
      <c r="K2158" s="155"/>
      <c r="L2158" s="155"/>
      <c r="M2158" s="155"/>
      <c r="N2158" s="54"/>
      <c r="O2158" s="54"/>
      <c r="P2158" s="54"/>
      <c r="Q2158" s="54"/>
      <c r="R2158" s="54"/>
      <c r="S2158" s="54"/>
      <c r="T2158" s="54"/>
    </row>
    <row r="2159" spans="1:20" ht="13.5" x14ac:dyDescent="0.2">
      <c r="A2159" s="91"/>
      <c r="B2159" s="158"/>
      <c r="C2159" s="148"/>
      <c r="D2159" s="91"/>
      <c r="E2159" s="46"/>
      <c r="F2159" s="144"/>
      <c r="G2159" s="153"/>
      <c r="H2159" s="155"/>
      <c r="I2159" s="155"/>
      <c r="J2159" s="155"/>
      <c r="K2159" s="155"/>
      <c r="L2159" s="155"/>
      <c r="M2159" s="155"/>
      <c r="N2159" s="54"/>
      <c r="O2159" s="54"/>
      <c r="P2159" s="54"/>
      <c r="Q2159" s="54"/>
      <c r="R2159" s="54"/>
      <c r="S2159" s="54"/>
      <c r="T2159" s="54"/>
    </row>
    <row r="2160" spans="1:20" ht="13.5" x14ac:dyDescent="0.2">
      <c r="A2160" s="91"/>
      <c r="B2160" s="158"/>
      <c r="C2160" s="148"/>
      <c r="D2160" s="91"/>
      <c r="E2160" s="46"/>
      <c r="F2160" s="144"/>
      <c r="G2160" s="153"/>
      <c r="H2160" s="155"/>
      <c r="I2160" s="155"/>
      <c r="J2160" s="155"/>
      <c r="K2160" s="155"/>
      <c r="L2160" s="155"/>
      <c r="M2160" s="155"/>
      <c r="N2160" s="54"/>
      <c r="O2160" s="54"/>
      <c r="P2160" s="54"/>
      <c r="Q2160" s="54"/>
      <c r="R2160" s="54"/>
      <c r="S2160" s="54"/>
      <c r="T2160" s="54"/>
    </row>
    <row r="2161" spans="1:20" ht="13.5" x14ac:dyDescent="0.2">
      <c r="A2161" s="91"/>
      <c r="B2161" s="158"/>
      <c r="C2161" s="148"/>
      <c r="D2161" s="91"/>
      <c r="E2161" s="46"/>
      <c r="F2161" s="144"/>
      <c r="G2161" s="153"/>
      <c r="H2161" s="155"/>
      <c r="I2161" s="155"/>
      <c r="J2161" s="155"/>
      <c r="K2161" s="155"/>
      <c r="L2161" s="155"/>
      <c r="M2161" s="155"/>
      <c r="N2161" s="54"/>
      <c r="O2161" s="54"/>
      <c r="P2161" s="54"/>
      <c r="Q2161" s="54"/>
      <c r="R2161" s="54"/>
      <c r="S2161" s="54"/>
      <c r="T2161" s="54"/>
    </row>
    <row r="2162" spans="1:20" ht="13.5" x14ac:dyDescent="0.2">
      <c r="A2162" s="91"/>
      <c r="B2162" s="158"/>
      <c r="C2162" s="148"/>
      <c r="D2162" s="91"/>
      <c r="E2162" s="46"/>
      <c r="F2162" s="144"/>
      <c r="G2162" s="153"/>
      <c r="H2162" s="155"/>
      <c r="I2162" s="155"/>
      <c r="J2162" s="155"/>
      <c r="K2162" s="155"/>
      <c r="L2162" s="155"/>
      <c r="M2162" s="155"/>
      <c r="N2162" s="54"/>
      <c r="O2162" s="54"/>
      <c r="P2162" s="54"/>
      <c r="Q2162" s="54"/>
      <c r="R2162" s="54"/>
      <c r="S2162" s="54"/>
      <c r="T2162" s="54"/>
    </row>
    <row r="2163" spans="1:20" ht="13.5" x14ac:dyDescent="0.2">
      <c r="A2163" s="91"/>
      <c r="B2163" s="158"/>
      <c r="C2163" s="148"/>
      <c r="D2163" s="91"/>
      <c r="E2163" s="46"/>
      <c r="F2163" s="144"/>
      <c r="G2163" s="153"/>
      <c r="H2163" s="155"/>
      <c r="I2163" s="155"/>
      <c r="J2163" s="155"/>
      <c r="K2163" s="155"/>
      <c r="L2163" s="155"/>
      <c r="M2163" s="155"/>
      <c r="N2163" s="54"/>
      <c r="O2163" s="54"/>
      <c r="P2163" s="54"/>
      <c r="Q2163" s="54"/>
      <c r="R2163" s="54"/>
      <c r="S2163" s="54"/>
      <c r="T2163" s="54"/>
    </row>
    <row r="2164" spans="1:20" ht="13.5" x14ac:dyDescent="0.2">
      <c r="A2164" s="91"/>
      <c r="B2164" s="158"/>
      <c r="C2164" s="148"/>
      <c r="D2164" s="91"/>
      <c r="E2164" s="46"/>
      <c r="F2164" s="144"/>
      <c r="G2164" s="153"/>
      <c r="H2164" s="155"/>
      <c r="I2164" s="155"/>
      <c r="J2164" s="155"/>
      <c r="K2164" s="155"/>
      <c r="L2164" s="155"/>
      <c r="M2164" s="155"/>
      <c r="N2164" s="54"/>
      <c r="O2164" s="54"/>
      <c r="P2164" s="54"/>
      <c r="Q2164" s="54"/>
      <c r="R2164" s="54"/>
      <c r="S2164" s="54"/>
      <c r="T2164" s="54"/>
    </row>
    <row r="2165" spans="1:20" ht="13.5" x14ac:dyDescent="0.2">
      <c r="A2165" s="91"/>
      <c r="B2165" s="158"/>
      <c r="C2165" s="148"/>
      <c r="D2165" s="91"/>
      <c r="E2165" s="46"/>
      <c r="F2165" s="144"/>
      <c r="G2165" s="153"/>
      <c r="H2165" s="155"/>
      <c r="I2165" s="155"/>
      <c r="J2165" s="155"/>
      <c r="K2165" s="155"/>
      <c r="L2165" s="155"/>
      <c r="M2165" s="155"/>
      <c r="N2165" s="54"/>
      <c r="O2165" s="54"/>
      <c r="P2165" s="54"/>
      <c r="Q2165" s="54"/>
      <c r="R2165" s="54"/>
      <c r="S2165" s="54"/>
      <c r="T2165" s="54"/>
    </row>
    <row r="2166" spans="1:20" ht="13.5" x14ac:dyDescent="0.2">
      <c r="A2166" s="91"/>
      <c r="B2166" s="158"/>
      <c r="C2166" s="148"/>
      <c r="D2166" s="91"/>
      <c r="E2166" s="46"/>
      <c r="F2166" s="144"/>
      <c r="G2166" s="153"/>
      <c r="H2166" s="155"/>
      <c r="I2166" s="155"/>
      <c r="J2166" s="155"/>
      <c r="K2166" s="155"/>
      <c r="L2166" s="155"/>
      <c r="M2166" s="155"/>
      <c r="N2166" s="54"/>
      <c r="O2166" s="54"/>
      <c r="P2166" s="54"/>
      <c r="Q2166" s="54"/>
      <c r="R2166" s="54"/>
      <c r="S2166" s="54"/>
      <c r="T2166" s="54"/>
    </row>
    <row r="2167" spans="1:20" ht="13.5" x14ac:dyDescent="0.2">
      <c r="A2167" s="91"/>
      <c r="B2167" s="158"/>
      <c r="C2167" s="148"/>
      <c r="D2167" s="91"/>
      <c r="E2167" s="46"/>
      <c r="F2167" s="144"/>
      <c r="G2167" s="153"/>
      <c r="H2167" s="155"/>
      <c r="I2167" s="155"/>
      <c r="J2167" s="155"/>
      <c r="K2167" s="155"/>
      <c r="L2167" s="155"/>
      <c r="M2167" s="155"/>
      <c r="N2167" s="54"/>
      <c r="O2167" s="54"/>
      <c r="P2167" s="54"/>
      <c r="Q2167" s="54"/>
      <c r="R2167" s="54"/>
      <c r="S2167" s="54"/>
      <c r="T2167" s="54"/>
    </row>
    <row r="2168" spans="1:20" ht="13.5" x14ac:dyDescent="0.2">
      <c r="A2168" s="91"/>
      <c r="B2168" s="158"/>
      <c r="C2168" s="148"/>
      <c r="D2168" s="91"/>
      <c r="E2168" s="46"/>
      <c r="F2168" s="144"/>
      <c r="G2168" s="153"/>
      <c r="H2168" s="155"/>
      <c r="I2168" s="155"/>
      <c r="J2168" s="155"/>
      <c r="K2168" s="155"/>
      <c r="L2168" s="155"/>
      <c r="M2168" s="155"/>
      <c r="N2168" s="54"/>
      <c r="O2168" s="54"/>
      <c r="P2168" s="54"/>
      <c r="Q2168" s="54"/>
      <c r="R2168" s="54"/>
      <c r="S2168" s="54"/>
      <c r="T2168" s="54"/>
    </row>
    <row r="2169" spans="1:20" ht="13.5" x14ac:dyDescent="0.2">
      <c r="A2169" s="91"/>
      <c r="B2169" s="158"/>
      <c r="C2169" s="148"/>
      <c r="D2169" s="91"/>
      <c r="E2169" s="46"/>
      <c r="F2169" s="144"/>
      <c r="G2169" s="153"/>
      <c r="H2169" s="155"/>
      <c r="I2169" s="155"/>
      <c r="J2169" s="155"/>
      <c r="K2169" s="155"/>
      <c r="L2169" s="155"/>
      <c r="M2169" s="155"/>
      <c r="N2169" s="54"/>
      <c r="O2169" s="54"/>
      <c r="P2169" s="54"/>
      <c r="Q2169" s="54"/>
      <c r="R2169" s="54"/>
      <c r="S2169" s="54"/>
      <c r="T2169" s="54"/>
    </row>
    <row r="2170" spans="1:20" ht="13.5" x14ac:dyDescent="0.2">
      <c r="A2170" s="91"/>
      <c r="B2170" s="158"/>
      <c r="C2170" s="148"/>
      <c r="D2170" s="91"/>
      <c r="E2170" s="46"/>
      <c r="F2170" s="144"/>
      <c r="G2170" s="153"/>
      <c r="H2170" s="155"/>
      <c r="I2170" s="155"/>
      <c r="J2170" s="155"/>
      <c r="K2170" s="155"/>
      <c r="L2170" s="155"/>
      <c r="M2170" s="155"/>
      <c r="N2170" s="54"/>
      <c r="O2170" s="54"/>
      <c r="P2170" s="54"/>
      <c r="Q2170" s="54"/>
      <c r="R2170" s="54"/>
      <c r="S2170" s="54"/>
      <c r="T2170" s="54"/>
    </row>
    <row r="2171" spans="1:20" ht="13.5" x14ac:dyDescent="0.2">
      <c r="A2171" s="91"/>
      <c r="B2171" s="158"/>
      <c r="C2171" s="148"/>
      <c r="D2171" s="91"/>
      <c r="E2171" s="46"/>
      <c r="F2171" s="144"/>
      <c r="G2171" s="153"/>
      <c r="H2171" s="155"/>
      <c r="I2171" s="155"/>
      <c r="J2171" s="155"/>
      <c r="K2171" s="155"/>
      <c r="L2171" s="155"/>
      <c r="M2171" s="155"/>
      <c r="N2171" s="54"/>
      <c r="O2171" s="54"/>
      <c r="P2171" s="54"/>
      <c r="Q2171" s="54"/>
      <c r="R2171" s="54"/>
      <c r="S2171" s="54"/>
      <c r="T2171" s="54"/>
    </row>
    <row r="2172" spans="1:20" ht="13.5" x14ac:dyDescent="0.2">
      <c r="A2172" s="91"/>
      <c r="B2172" s="158"/>
      <c r="C2172" s="148"/>
      <c r="D2172" s="91"/>
      <c r="E2172" s="46"/>
      <c r="F2172" s="144"/>
      <c r="G2172" s="153"/>
      <c r="H2172" s="155"/>
      <c r="I2172" s="155"/>
      <c r="J2172" s="155"/>
      <c r="K2172" s="155"/>
      <c r="L2172" s="155"/>
      <c r="M2172" s="155"/>
      <c r="N2172" s="54"/>
      <c r="O2172" s="54"/>
      <c r="P2172" s="54"/>
      <c r="Q2172" s="54"/>
      <c r="R2172" s="54"/>
      <c r="S2172" s="54"/>
      <c r="T2172" s="54"/>
    </row>
    <row r="2173" spans="1:20" ht="13.5" x14ac:dyDescent="0.2">
      <c r="A2173" s="91"/>
      <c r="B2173" s="158"/>
      <c r="C2173" s="148"/>
      <c r="D2173" s="91"/>
      <c r="E2173" s="46"/>
      <c r="F2173" s="144"/>
      <c r="G2173" s="153"/>
      <c r="H2173" s="155"/>
      <c r="I2173" s="155"/>
      <c r="J2173" s="155"/>
      <c r="K2173" s="155"/>
      <c r="L2173" s="155"/>
      <c r="M2173" s="155"/>
      <c r="N2173" s="54"/>
      <c r="O2173" s="54"/>
      <c r="P2173" s="54"/>
      <c r="Q2173" s="54"/>
      <c r="R2173" s="54"/>
      <c r="S2173" s="54"/>
      <c r="T2173" s="54"/>
    </row>
    <row r="2174" spans="1:20" ht="13.5" x14ac:dyDescent="0.2">
      <c r="A2174" s="91"/>
      <c r="B2174" s="158"/>
      <c r="C2174" s="148"/>
      <c r="D2174" s="91"/>
      <c r="E2174" s="46"/>
      <c r="F2174" s="144"/>
      <c r="G2174" s="153"/>
      <c r="H2174" s="155"/>
      <c r="I2174" s="155"/>
      <c r="J2174" s="155"/>
      <c r="K2174" s="155"/>
      <c r="L2174" s="155"/>
      <c r="M2174" s="155"/>
      <c r="N2174" s="54"/>
      <c r="O2174" s="54"/>
      <c r="P2174" s="54"/>
      <c r="Q2174" s="54"/>
      <c r="R2174" s="54"/>
      <c r="S2174" s="54"/>
      <c r="T2174" s="54"/>
    </row>
    <row r="2175" spans="1:20" ht="13.5" x14ac:dyDescent="0.2">
      <c r="A2175" s="91"/>
      <c r="B2175" s="158"/>
      <c r="C2175" s="148"/>
      <c r="D2175" s="91"/>
      <c r="E2175" s="46"/>
      <c r="F2175" s="144"/>
      <c r="G2175" s="153"/>
      <c r="H2175" s="155"/>
      <c r="I2175" s="155"/>
      <c r="J2175" s="155"/>
      <c r="K2175" s="155"/>
      <c r="L2175" s="155"/>
      <c r="M2175" s="155"/>
      <c r="N2175" s="54"/>
      <c r="O2175" s="54"/>
      <c r="P2175" s="54"/>
      <c r="Q2175" s="54"/>
      <c r="R2175" s="54"/>
      <c r="S2175" s="54"/>
      <c r="T2175" s="54"/>
    </row>
    <row r="2176" spans="1:20" ht="13.5" x14ac:dyDescent="0.2">
      <c r="A2176" s="91"/>
      <c r="B2176" s="158"/>
      <c r="C2176" s="148"/>
      <c r="D2176" s="91"/>
      <c r="E2176" s="46"/>
      <c r="F2176" s="144"/>
      <c r="G2176" s="153"/>
      <c r="H2176" s="155"/>
      <c r="I2176" s="155"/>
      <c r="J2176" s="155"/>
      <c r="K2176" s="155"/>
      <c r="L2176" s="155"/>
      <c r="M2176" s="155"/>
      <c r="N2176" s="54"/>
      <c r="O2176" s="54"/>
      <c r="P2176" s="54"/>
      <c r="Q2176" s="54"/>
      <c r="R2176" s="54"/>
      <c r="S2176" s="54"/>
      <c r="T2176" s="54"/>
    </row>
    <row r="2177" spans="1:20" ht="13.5" x14ac:dyDescent="0.2">
      <c r="A2177" s="91"/>
      <c r="B2177" s="158"/>
      <c r="C2177" s="148"/>
      <c r="D2177" s="91"/>
      <c r="E2177" s="46"/>
      <c r="F2177" s="144"/>
      <c r="G2177" s="153"/>
      <c r="H2177" s="155"/>
      <c r="I2177" s="155"/>
      <c r="J2177" s="155"/>
      <c r="K2177" s="155"/>
      <c r="L2177" s="155"/>
      <c r="M2177" s="155"/>
      <c r="N2177" s="54"/>
      <c r="O2177" s="54"/>
      <c r="P2177" s="54"/>
      <c r="Q2177" s="54"/>
      <c r="R2177" s="54"/>
      <c r="S2177" s="54"/>
      <c r="T2177" s="54"/>
    </row>
    <row r="2178" spans="1:20" ht="13.5" x14ac:dyDescent="0.2">
      <c r="A2178" s="91"/>
      <c r="B2178" s="158"/>
      <c r="C2178" s="148"/>
      <c r="D2178" s="91"/>
      <c r="E2178" s="46"/>
      <c r="F2178" s="144"/>
      <c r="G2178" s="153"/>
      <c r="H2178" s="155"/>
      <c r="I2178" s="155"/>
      <c r="J2178" s="155"/>
      <c r="K2178" s="155"/>
      <c r="L2178" s="155"/>
      <c r="M2178" s="155"/>
      <c r="N2178" s="54"/>
      <c r="O2178" s="54"/>
      <c r="P2178" s="54"/>
      <c r="Q2178" s="54"/>
      <c r="R2178" s="54"/>
      <c r="S2178" s="54"/>
      <c r="T2178" s="54"/>
    </row>
    <row r="2179" spans="1:20" ht="13.5" x14ac:dyDescent="0.2">
      <c r="A2179" s="91"/>
      <c r="B2179" s="158"/>
      <c r="C2179" s="148"/>
      <c r="D2179" s="91"/>
      <c r="E2179" s="46"/>
      <c r="F2179" s="144"/>
      <c r="G2179" s="153"/>
      <c r="H2179" s="155"/>
      <c r="I2179" s="155"/>
      <c r="J2179" s="155"/>
      <c r="K2179" s="155"/>
      <c r="L2179" s="155"/>
      <c r="M2179" s="155"/>
      <c r="N2179" s="54"/>
      <c r="O2179" s="54"/>
      <c r="P2179" s="54"/>
      <c r="Q2179" s="54"/>
      <c r="R2179" s="54"/>
      <c r="S2179" s="54"/>
      <c r="T2179" s="54"/>
    </row>
    <row r="2180" spans="1:20" ht="13.5" x14ac:dyDescent="0.2">
      <c r="A2180" s="91"/>
      <c r="B2180" s="158"/>
      <c r="C2180" s="148"/>
      <c r="D2180" s="91"/>
      <c r="E2180" s="46"/>
      <c r="F2180" s="144"/>
      <c r="G2180" s="153"/>
      <c r="H2180" s="155"/>
      <c r="I2180" s="155"/>
      <c r="J2180" s="155"/>
      <c r="K2180" s="155"/>
      <c r="L2180" s="155"/>
      <c r="M2180" s="155"/>
      <c r="N2180" s="54"/>
      <c r="O2180" s="54"/>
      <c r="P2180" s="54"/>
      <c r="Q2180" s="54"/>
      <c r="R2180" s="54"/>
      <c r="S2180" s="54"/>
      <c r="T2180" s="54"/>
    </row>
    <row r="2181" spans="1:20" ht="13.5" x14ac:dyDescent="0.2">
      <c r="A2181" s="91"/>
      <c r="B2181" s="158"/>
      <c r="C2181" s="148"/>
      <c r="D2181" s="91"/>
      <c r="E2181" s="46"/>
      <c r="F2181" s="144"/>
      <c r="G2181" s="153"/>
      <c r="H2181" s="155"/>
      <c r="I2181" s="155"/>
      <c r="J2181" s="155"/>
      <c r="K2181" s="155"/>
      <c r="L2181" s="155"/>
      <c r="M2181" s="155"/>
      <c r="N2181" s="54"/>
      <c r="O2181" s="54"/>
      <c r="P2181" s="54"/>
      <c r="Q2181" s="54"/>
      <c r="R2181" s="54"/>
      <c r="S2181" s="54"/>
      <c r="T2181" s="54"/>
    </row>
    <row r="2182" spans="1:20" ht="13.5" x14ac:dyDescent="0.2">
      <c r="A2182" s="91"/>
      <c r="B2182" s="158"/>
      <c r="C2182" s="148"/>
      <c r="D2182" s="91"/>
      <c r="E2182" s="46"/>
      <c r="F2182" s="144"/>
      <c r="G2182" s="153"/>
      <c r="H2182" s="155"/>
      <c r="I2182" s="155"/>
      <c r="J2182" s="155"/>
      <c r="K2182" s="155"/>
      <c r="L2182" s="155"/>
      <c r="M2182" s="155"/>
      <c r="N2182" s="54"/>
      <c r="O2182" s="54"/>
      <c r="P2182" s="54"/>
      <c r="Q2182" s="54"/>
      <c r="R2182" s="54"/>
      <c r="S2182" s="54"/>
      <c r="T2182" s="54"/>
    </row>
    <row r="2183" spans="1:20" ht="13.5" x14ac:dyDescent="0.2">
      <c r="A2183" s="91"/>
      <c r="B2183" s="158"/>
      <c r="C2183" s="148"/>
      <c r="D2183" s="91"/>
      <c r="E2183" s="46"/>
      <c r="F2183" s="144"/>
      <c r="G2183" s="153"/>
      <c r="H2183" s="155"/>
      <c r="I2183" s="155"/>
      <c r="J2183" s="155"/>
      <c r="K2183" s="155"/>
      <c r="L2183" s="155"/>
      <c r="M2183" s="155"/>
      <c r="N2183" s="54"/>
      <c r="O2183" s="54"/>
      <c r="P2183" s="54"/>
      <c r="Q2183" s="54"/>
      <c r="R2183" s="54"/>
      <c r="S2183" s="54"/>
      <c r="T2183" s="54"/>
    </row>
    <row r="2184" spans="1:20" ht="13.5" x14ac:dyDescent="0.2">
      <c r="A2184" s="91"/>
      <c r="B2184" s="158"/>
      <c r="C2184" s="148"/>
      <c r="D2184" s="91"/>
      <c r="E2184" s="46"/>
      <c r="F2184" s="144"/>
      <c r="G2184" s="153"/>
      <c r="H2184" s="155"/>
      <c r="I2184" s="155"/>
      <c r="J2184" s="155"/>
      <c r="K2184" s="155"/>
      <c r="L2184" s="155"/>
      <c r="M2184" s="155"/>
      <c r="N2184" s="54"/>
      <c r="O2184" s="54"/>
      <c r="P2184" s="54"/>
      <c r="Q2184" s="54"/>
      <c r="R2184" s="54"/>
      <c r="S2184" s="54"/>
      <c r="T2184" s="54"/>
    </row>
    <row r="2185" spans="1:20" ht="13.5" x14ac:dyDescent="0.2">
      <c r="A2185" s="91"/>
      <c r="B2185" s="158"/>
      <c r="C2185" s="148"/>
      <c r="D2185" s="91"/>
      <c r="E2185" s="46"/>
      <c r="F2185" s="144"/>
      <c r="G2185" s="153"/>
      <c r="H2185" s="155"/>
      <c r="I2185" s="155"/>
      <c r="J2185" s="155"/>
      <c r="K2185" s="155"/>
      <c r="L2185" s="155"/>
      <c r="M2185" s="155"/>
      <c r="N2185" s="54"/>
      <c r="O2185" s="54"/>
      <c r="P2185" s="54"/>
      <c r="Q2185" s="54"/>
      <c r="R2185" s="54"/>
      <c r="S2185" s="54"/>
      <c r="T2185" s="54"/>
    </row>
    <row r="2186" spans="1:20" ht="13.5" x14ac:dyDescent="0.2">
      <c r="A2186" s="91"/>
      <c r="B2186" s="158"/>
      <c r="C2186" s="148"/>
      <c r="D2186" s="91"/>
      <c r="E2186" s="46"/>
      <c r="F2186" s="144"/>
      <c r="G2186" s="153"/>
      <c r="H2186" s="155"/>
      <c r="I2186" s="155"/>
      <c r="J2186" s="155"/>
      <c r="K2186" s="155"/>
      <c r="L2186" s="155"/>
      <c r="M2186" s="155"/>
      <c r="N2186" s="54"/>
      <c r="O2186" s="54"/>
      <c r="P2186" s="54"/>
      <c r="Q2186" s="54"/>
      <c r="R2186" s="54"/>
      <c r="S2186" s="54"/>
      <c r="T2186" s="54"/>
    </row>
    <row r="2187" spans="1:20" ht="13.5" x14ac:dyDescent="0.2">
      <c r="A2187" s="91"/>
      <c r="B2187" s="158"/>
      <c r="C2187" s="148"/>
      <c r="D2187" s="91"/>
      <c r="E2187" s="46"/>
      <c r="F2187" s="144"/>
      <c r="G2187" s="153"/>
      <c r="H2187" s="155"/>
      <c r="I2187" s="155"/>
      <c r="J2187" s="155"/>
      <c r="K2187" s="155"/>
      <c r="L2187" s="155"/>
      <c r="M2187" s="155"/>
      <c r="N2187" s="54"/>
      <c r="O2187" s="54"/>
      <c r="P2187" s="54"/>
      <c r="Q2187" s="54"/>
      <c r="R2187" s="54"/>
      <c r="S2187" s="54"/>
      <c r="T2187" s="54"/>
    </row>
    <row r="2188" spans="1:20" ht="13.5" x14ac:dyDescent="0.2">
      <c r="A2188" s="91"/>
      <c r="B2188" s="158"/>
      <c r="C2188" s="148"/>
      <c r="D2188" s="91"/>
      <c r="E2188" s="46"/>
      <c r="F2188" s="144"/>
      <c r="G2188" s="153"/>
      <c r="H2188" s="155"/>
      <c r="I2188" s="155"/>
      <c r="J2188" s="155"/>
      <c r="K2188" s="155"/>
      <c r="L2188" s="155"/>
      <c r="M2188" s="155"/>
      <c r="N2188" s="54"/>
      <c r="O2188" s="54"/>
      <c r="P2188" s="54"/>
      <c r="Q2188" s="54"/>
      <c r="R2188" s="54"/>
      <c r="S2188" s="54"/>
      <c r="T2188" s="54"/>
    </row>
    <row r="2189" spans="1:20" ht="13.5" x14ac:dyDescent="0.2">
      <c r="A2189" s="91"/>
      <c r="B2189" s="158"/>
      <c r="C2189" s="148"/>
      <c r="D2189" s="91"/>
      <c r="E2189" s="46"/>
      <c r="F2189" s="144"/>
      <c r="G2189" s="153"/>
      <c r="H2189" s="155"/>
      <c r="I2189" s="155"/>
      <c r="J2189" s="155"/>
      <c r="K2189" s="155"/>
      <c r="L2189" s="155"/>
      <c r="M2189" s="155"/>
      <c r="N2189" s="54"/>
      <c r="O2189" s="54"/>
      <c r="P2189" s="54"/>
      <c r="Q2189" s="54"/>
      <c r="R2189" s="54"/>
      <c r="S2189" s="54"/>
      <c r="T2189" s="54"/>
    </row>
    <row r="2190" spans="1:20" ht="13.5" x14ac:dyDescent="0.2">
      <c r="A2190" s="91"/>
      <c r="B2190" s="158"/>
      <c r="C2190" s="148"/>
      <c r="D2190" s="91"/>
      <c r="E2190" s="46"/>
      <c r="F2190" s="144"/>
      <c r="G2190" s="153"/>
      <c r="H2190" s="155"/>
      <c r="I2190" s="155"/>
      <c r="J2190" s="155"/>
      <c r="K2190" s="155"/>
      <c r="L2190" s="155"/>
      <c r="M2190" s="155"/>
      <c r="N2190" s="54"/>
      <c r="O2190" s="54"/>
      <c r="P2190" s="54"/>
      <c r="Q2190" s="54"/>
      <c r="R2190" s="54"/>
      <c r="S2190" s="54"/>
      <c r="T2190" s="54"/>
    </row>
    <row r="2191" spans="1:20" ht="13.5" x14ac:dyDescent="0.2">
      <c r="A2191" s="91"/>
      <c r="B2191" s="158"/>
      <c r="C2191" s="148"/>
      <c r="D2191" s="91"/>
      <c r="E2191" s="46"/>
      <c r="F2191" s="144"/>
      <c r="G2191" s="153"/>
      <c r="H2191" s="155"/>
      <c r="I2191" s="155"/>
      <c r="J2191" s="155"/>
      <c r="K2191" s="155"/>
      <c r="L2191" s="155"/>
      <c r="M2191" s="155"/>
      <c r="N2191" s="54"/>
      <c r="O2191" s="54"/>
      <c r="P2191" s="54"/>
      <c r="Q2191" s="54"/>
      <c r="R2191" s="54"/>
      <c r="S2191" s="54"/>
      <c r="T2191" s="54"/>
    </row>
    <row r="2192" spans="1:20" ht="13.5" x14ac:dyDescent="0.2">
      <c r="A2192" s="91"/>
      <c r="B2192" s="158"/>
      <c r="C2192" s="148"/>
      <c r="D2192" s="91"/>
      <c r="E2192" s="46"/>
      <c r="F2192" s="144"/>
      <c r="G2192" s="153"/>
      <c r="H2192" s="155"/>
      <c r="I2192" s="155"/>
      <c r="J2192" s="155"/>
      <c r="K2192" s="155"/>
      <c r="L2192" s="155"/>
      <c r="M2192" s="155"/>
      <c r="N2192" s="54"/>
      <c r="O2192" s="54"/>
      <c r="P2192" s="54"/>
      <c r="Q2192" s="54"/>
      <c r="R2192" s="54"/>
      <c r="S2192" s="54"/>
      <c r="T2192" s="54"/>
    </row>
    <row r="2193" spans="1:20" ht="13.5" x14ac:dyDescent="0.2">
      <c r="A2193" s="91"/>
      <c r="B2193" s="158"/>
      <c r="C2193" s="148"/>
      <c r="D2193" s="91"/>
      <c r="E2193" s="46"/>
      <c r="F2193" s="144"/>
      <c r="G2193" s="153"/>
      <c r="H2193" s="155"/>
      <c r="I2193" s="155"/>
      <c r="J2193" s="155"/>
      <c r="K2193" s="155"/>
      <c r="L2193" s="155"/>
      <c r="M2193" s="155"/>
      <c r="N2193" s="54"/>
      <c r="O2193" s="54"/>
      <c r="P2193" s="54"/>
      <c r="Q2193" s="54"/>
      <c r="R2193" s="54"/>
      <c r="S2193" s="54"/>
      <c r="T2193" s="54"/>
    </row>
    <row r="2194" spans="1:20" ht="13.5" x14ac:dyDescent="0.2">
      <c r="A2194" s="91"/>
      <c r="B2194" s="158"/>
      <c r="C2194" s="148"/>
      <c r="D2194" s="91"/>
      <c r="E2194" s="46"/>
      <c r="F2194" s="144"/>
      <c r="G2194" s="153"/>
      <c r="H2194" s="155"/>
      <c r="I2194" s="155"/>
      <c r="J2194" s="155"/>
      <c r="K2194" s="155"/>
      <c r="L2194" s="155"/>
      <c r="M2194" s="155"/>
      <c r="N2194" s="54"/>
      <c r="O2194" s="54"/>
      <c r="P2194" s="54"/>
      <c r="Q2194" s="54"/>
      <c r="R2194" s="54"/>
      <c r="S2194" s="54"/>
      <c r="T2194" s="54"/>
    </row>
    <row r="2195" spans="1:20" ht="13.5" x14ac:dyDescent="0.2">
      <c r="A2195" s="91"/>
      <c r="B2195" s="158"/>
      <c r="C2195" s="148"/>
      <c r="D2195" s="91"/>
      <c r="E2195" s="46"/>
      <c r="F2195" s="144"/>
      <c r="G2195" s="153"/>
      <c r="H2195" s="155"/>
      <c r="I2195" s="155"/>
      <c r="J2195" s="155"/>
      <c r="K2195" s="155"/>
      <c r="L2195" s="155"/>
      <c r="M2195" s="155"/>
      <c r="N2195" s="54"/>
      <c r="O2195" s="54"/>
      <c r="P2195" s="54"/>
      <c r="Q2195" s="54"/>
      <c r="R2195" s="54"/>
      <c r="S2195" s="54"/>
      <c r="T2195" s="54"/>
    </row>
    <row r="2196" spans="1:20" ht="13.5" x14ac:dyDescent="0.2">
      <c r="A2196" s="91"/>
      <c r="B2196" s="158"/>
      <c r="C2196" s="148"/>
      <c r="D2196" s="91"/>
      <c r="E2196" s="46"/>
      <c r="F2196" s="144"/>
      <c r="G2196" s="153"/>
      <c r="H2196" s="155"/>
      <c r="I2196" s="155"/>
      <c r="J2196" s="155"/>
      <c r="K2196" s="155"/>
      <c r="L2196" s="155"/>
      <c r="M2196" s="155"/>
      <c r="N2196" s="54"/>
      <c r="O2196" s="54"/>
      <c r="P2196" s="54"/>
      <c r="Q2196" s="54"/>
      <c r="R2196" s="54"/>
      <c r="S2196" s="54"/>
      <c r="T2196" s="54"/>
    </row>
    <row r="2197" spans="1:20" ht="13.5" x14ac:dyDescent="0.2">
      <c r="A2197" s="91"/>
      <c r="B2197" s="158"/>
      <c r="C2197" s="148"/>
      <c r="D2197" s="91"/>
      <c r="E2197" s="46"/>
      <c r="F2197" s="144"/>
      <c r="G2197" s="153"/>
      <c r="H2197" s="155"/>
      <c r="I2197" s="155"/>
      <c r="J2197" s="155"/>
      <c r="K2197" s="155"/>
      <c r="L2197" s="155"/>
      <c r="M2197" s="155"/>
      <c r="N2197" s="54"/>
      <c r="O2197" s="54"/>
      <c r="P2197" s="54"/>
      <c r="Q2197" s="54"/>
      <c r="R2197" s="54"/>
      <c r="S2197" s="54"/>
      <c r="T2197" s="54"/>
    </row>
    <row r="2198" spans="1:20" ht="13.5" x14ac:dyDescent="0.2">
      <c r="A2198" s="91"/>
      <c r="B2198" s="158"/>
      <c r="C2198" s="148"/>
      <c r="D2198" s="91"/>
      <c r="E2198" s="46"/>
      <c r="F2198" s="144"/>
      <c r="G2198" s="153"/>
      <c r="H2198" s="155"/>
      <c r="I2198" s="155"/>
      <c r="J2198" s="155"/>
      <c r="K2198" s="155"/>
      <c r="L2198" s="155"/>
      <c r="M2198" s="155"/>
      <c r="N2198" s="54"/>
      <c r="O2198" s="54"/>
      <c r="P2198" s="54"/>
      <c r="Q2198" s="54"/>
      <c r="R2198" s="54"/>
      <c r="S2198" s="54"/>
      <c r="T2198" s="54"/>
    </row>
    <row r="2199" spans="1:20" ht="13.5" x14ac:dyDescent="0.2">
      <c r="A2199" s="91"/>
      <c r="B2199" s="158"/>
      <c r="C2199" s="148"/>
      <c r="D2199" s="91"/>
      <c r="E2199" s="46"/>
      <c r="F2199" s="144"/>
      <c r="G2199" s="153"/>
      <c r="H2199" s="155"/>
      <c r="I2199" s="155"/>
      <c r="J2199" s="155"/>
      <c r="K2199" s="155"/>
      <c r="L2199" s="155"/>
      <c r="M2199" s="155"/>
      <c r="N2199" s="54"/>
      <c r="O2199" s="54"/>
      <c r="P2199" s="54"/>
      <c r="Q2199" s="54"/>
      <c r="R2199" s="54"/>
      <c r="S2199" s="54"/>
      <c r="T2199" s="54"/>
    </row>
    <row r="2200" spans="1:20" ht="13.5" x14ac:dyDescent="0.2">
      <c r="A2200" s="91"/>
      <c r="B2200" s="158"/>
      <c r="C2200" s="148"/>
      <c r="D2200" s="91"/>
      <c r="E2200" s="46"/>
      <c r="F2200" s="144"/>
      <c r="G2200" s="153"/>
      <c r="H2200" s="155"/>
      <c r="I2200" s="155"/>
      <c r="J2200" s="155"/>
      <c r="K2200" s="155"/>
      <c r="L2200" s="155"/>
      <c r="M2200" s="155"/>
      <c r="N2200" s="54"/>
      <c r="O2200" s="54"/>
      <c r="P2200" s="54"/>
      <c r="Q2200" s="54"/>
      <c r="R2200" s="54"/>
      <c r="S2200" s="54"/>
      <c r="T2200" s="54"/>
    </row>
    <row r="2201" spans="1:20" ht="13.5" x14ac:dyDescent="0.2">
      <c r="A2201" s="91"/>
      <c r="B2201" s="158"/>
      <c r="C2201" s="148"/>
      <c r="D2201" s="91"/>
      <c r="E2201" s="46"/>
      <c r="F2201" s="144"/>
      <c r="G2201" s="153"/>
      <c r="H2201" s="155"/>
      <c r="I2201" s="155"/>
      <c r="J2201" s="155"/>
      <c r="K2201" s="155"/>
      <c r="L2201" s="155"/>
      <c r="M2201" s="155"/>
      <c r="N2201" s="54"/>
      <c r="O2201" s="54"/>
      <c r="P2201" s="54"/>
      <c r="Q2201" s="54"/>
      <c r="R2201" s="54"/>
      <c r="S2201" s="54"/>
      <c r="T2201" s="54"/>
    </row>
    <row r="2202" spans="1:20" ht="13.5" x14ac:dyDescent="0.2">
      <c r="A2202" s="91"/>
      <c r="B2202" s="158"/>
      <c r="C2202" s="148"/>
      <c r="D2202" s="91"/>
      <c r="E2202" s="46"/>
      <c r="F2202" s="144"/>
      <c r="G2202" s="153"/>
      <c r="H2202" s="155"/>
      <c r="I2202" s="155"/>
      <c r="J2202" s="155"/>
      <c r="K2202" s="155"/>
      <c r="L2202" s="155"/>
      <c r="M2202" s="155"/>
      <c r="N2202" s="54"/>
      <c r="O2202" s="54"/>
      <c r="P2202" s="54"/>
      <c r="Q2202" s="54"/>
      <c r="R2202" s="54"/>
      <c r="S2202" s="54"/>
      <c r="T2202" s="54"/>
    </row>
    <row r="2203" spans="1:20" ht="13.5" x14ac:dyDescent="0.2">
      <c r="A2203" s="91"/>
      <c r="B2203" s="158"/>
      <c r="C2203" s="148"/>
      <c r="D2203" s="91"/>
      <c r="E2203" s="46"/>
      <c r="F2203" s="144"/>
      <c r="G2203" s="153"/>
      <c r="H2203" s="155"/>
      <c r="I2203" s="155"/>
      <c r="J2203" s="155"/>
      <c r="K2203" s="155"/>
      <c r="L2203" s="155"/>
      <c r="M2203" s="155"/>
      <c r="N2203" s="54"/>
      <c r="O2203" s="54"/>
      <c r="P2203" s="54"/>
      <c r="Q2203" s="54"/>
      <c r="R2203" s="54"/>
      <c r="S2203" s="54"/>
      <c r="T2203" s="54"/>
    </row>
    <row r="2204" spans="1:20" ht="13.5" x14ac:dyDescent="0.2">
      <c r="A2204" s="91"/>
      <c r="B2204" s="158"/>
      <c r="C2204" s="148"/>
      <c r="D2204" s="91"/>
      <c r="E2204" s="46"/>
      <c r="F2204" s="144"/>
      <c r="G2204" s="153"/>
      <c r="H2204" s="155"/>
      <c r="I2204" s="155"/>
      <c r="J2204" s="155"/>
      <c r="K2204" s="155"/>
      <c r="L2204" s="155"/>
      <c r="M2204" s="155"/>
      <c r="N2204" s="54"/>
      <c r="O2204" s="54"/>
      <c r="P2204" s="54"/>
      <c r="Q2204" s="54"/>
      <c r="R2204" s="54"/>
      <c r="S2204" s="54"/>
      <c r="T2204" s="54"/>
    </row>
    <row r="2205" spans="1:20" ht="13.5" x14ac:dyDescent="0.2">
      <c r="A2205" s="91"/>
      <c r="B2205" s="158"/>
      <c r="C2205" s="148"/>
      <c r="D2205" s="91"/>
      <c r="E2205" s="46"/>
      <c r="F2205" s="144"/>
      <c r="G2205" s="153"/>
      <c r="H2205" s="155"/>
      <c r="I2205" s="155"/>
      <c r="J2205" s="155"/>
      <c r="K2205" s="155"/>
      <c r="L2205" s="155"/>
      <c r="M2205" s="155"/>
      <c r="N2205" s="54"/>
      <c r="O2205" s="54"/>
      <c r="P2205" s="54"/>
      <c r="Q2205" s="54"/>
      <c r="R2205" s="54"/>
      <c r="S2205" s="54"/>
      <c r="T2205" s="54"/>
    </row>
    <row r="2206" spans="1:20" ht="13.5" x14ac:dyDescent="0.2">
      <c r="A2206" s="91"/>
      <c r="B2206" s="158"/>
      <c r="C2206" s="148"/>
      <c r="D2206" s="91"/>
      <c r="E2206" s="46"/>
      <c r="F2206" s="144"/>
      <c r="G2206" s="153"/>
      <c r="H2206" s="155"/>
      <c r="I2206" s="155"/>
      <c r="J2206" s="155"/>
      <c r="K2206" s="155"/>
      <c r="L2206" s="155"/>
      <c r="M2206" s="155"/>
      <c r="N2206" s="54"/>
      <c r="O2206" s="54"/>
      <c r="P2206" s="54"/>
      <c r="Q2206" s="54"/>
      <c r="R2206" s="54"/>
      <c r="S2206" s="54"/>
      <c r="T2206" s="54"/>
    </row>
    <row r="2207" spans="1:20" ht="13.5" x14ac:dyDescent="0.2">
      <c r="A2207" s="91"/>
      <c r="B2207" s="158"/>
      <c r="C2207" s="148"/>
      <c r="D2207" s="91"/>
      <c r="E2207" s="46"/>
      <c r="F2207" s="144"/>
      <c r="G2207" s="153"/>
      <c r="H2207" s="155"/>
      <c r="I2207" s="155"/>
      <c r="J2207" s="155"/>
      <c r="K2207" s="155"/>
      <c r="L2207" s="155"/>
      <c r="M2207" s="155"/>
      <c r="N2207" s="54"/>
      <c r="O2207" s="54"/>
      <c r="P2207" s="54"/>
      <c r="Q2207" s="54"/>
      <c r="R2207" s="54"/>
      <c r="S2207" s="54"/>
      <c r="T2207" s="54"/>
    </row>
    <row r="2208" spans="1:20" ht="13.5" x14ac:dyDescent="0.2">
      <c r="A2208" s="91"/>
      <c r="B2208" s="158"/>
      <c r="C2208" s="148"/>
      <c r="D2208" s="91"/>
      <c r="E2208" s="46"/>
      <c r="F2208" s="144"/>
      <c r="G2208" s="153"/>
      <c r="H2208" s="155"/>
      <c r="I2208" s="155"/>
      <c r="J2208" s="155"/>
      <c r="K2208" s="155"/>
      <c r="L2208" s="155"/>
      <c r="M2208" s="155"/>
      <c r="N2208" s="54"/>
      <c r="O2208" s="54"/>
      <c r="P2208" s="54"/>
      <c r="Q2208" s="54"/>
      <c r="R2208" s="54"/>
      <c r="S2208" s="54"/>
      <c r="T2208" s="54"/>
    </row>
    <row r="2209" spans="1:20" ht="13.5" x14ac:dyDescent="0.2">
      <c r="A2209" s="91"/>
      <c r="B2209" s="158"/>
      <c r="C2209" s="148"/>
      <c r="D2209" s="91"/>
      <c r="E2209" s="46"/>
      <c r="F2209" s="144"/>
      <c r="G2209" s="153"/>
      <c r="H2209" s="155"/>
      <c r="I2209" s="155"/>
      <c r="J2209" s="155"/>
      <c r="K2209" s="155"/>
      <c r="L2209" s="155"/>
      <c r="M2209" s="155"/>
      <c r="N2209" s="54"/>
      <c r="O2209" s="54"/>
      <c r="P2209" s="54"/>
      <c r="Q2209" s="54"/>
      <c r="R2209" s="54"/>
      <c r="S2209" s="54"/>
      <c r="T2209" s="54"/>
    </row>
    <row r="2210" spans="1:20" ht="13.5" x14ac:dyDescent="0.2">
      <c r="A2210" s="91"/>
      <c r="B2210" s="158"/>
      <c r="C2210" s="148"/>
      <c r="D2210" s="91"/>
      <c r="E2210" s="46"/>
      <c r="F2210" s="144"/>
      <c r="G2210" s="153"/>
      <c r="H2210" s="155"/>
      <c r="I2210" s="155"/>
      <c r="J2210" s="155"/>
      <c r="K2210" s="155"/>
      <c r="L2210" s="155"/>
      <c r="M2210" s="155"/>
      <c r="N2210" s="54"/>
      <c r="O2210" s="54"/>
      <c r="P2210" s="54"/>
      <c r="Q2210" s="54"/>
      <c r="R2210" s="54"/>
      <c r="S2210" s="54"/>
      <c r="T2210" s="54"/>
    </row>
    <row r="2211" spans="1:20" ht="13.5" x14ac:dyDescent="0.2">
      <c r="A2211" s="91"/>
      <c r="B2211" s="158"/>
      <c r="C2211" s="148"/>
      <c r="D2211" s="91"/>
      <c r="E2211" s="46"/>
      <c r="F2211" s="144"/>
      <c r="G2211" s="153"/>
      <c r="H2211" s="155"/>
      <c r="I2211" s="155"/>
      <c r="J2211" s="155"/>
      <c r="K2211" s="155"/>
      <c r="L2211" s="155"/>
      <c r="M2211" s="155"/>
      <c r="N2211" s="54"/>
      <c r="O2211" s="54"/>
      <c r="P2211" s="54"/>
      <c r="Q2211" s="54"/>
      <c r="R2211" s="54"/>
      <c r="S2211" s="54"/>
      <c r="T2211" s="54"/>
    </row>
    <row r="2212" spans="1:20" ht="13.5" x14ac:dyDescent="0.2">
      <c r="A2212" s="91"/>
      <c r="B2212" s="158"/>
      <c r="C2212" s="148"/>
      <c r="D2212" s="91"/>
      <c r="E2212" s="46"/>
      <c r="F2212" s="144"/>
      <c r="G2212" s="153"/>
      <c r="H2212" s="155"/>
      <c r="I2212" s="155"/>
      <c r="J2212" s="155"/>
      <c r="K2212" s="155"/>
      <c r="L2212" s="155"/>
      <c r="M2212" s="155"/>
      <c r="N2212" s="54"/>
      <c r="O2212" s="54"/>
      <c r="P2212" s="54"/>
      <c r="Q2212" s="54"/>
      <c r="R2212" s="54"/>
      <c r="S2212" s="54"/>
      <c r="T2212" s="54"/>
    </row>
    <row r="2213" spans="1:20" ht="13.5" x14ac:dyDescent="0.2">
      <c r="A2213" s="91"/>
      <c r="B2213" s="158"/>
      <c r="C2213" s="148"/>
      <c r="D2213" s="91"/>
      <c r="E2213" s="46"/>
      <c r="F2213" s="144"/>
      <c r="G2213" s="153"/>
      <c r="H2213" s="155"/>
      <c r="I2213" s="155"/>
      <c r="J2213" s="155"/>
      <c r="K2213" s="155"/>
      <c r="L2213" s="155"/>
      <c r="M2213" s="155"/>
      <c r="N2213" s="54"/>
      <c r="O2213" s="54"/>
      <c r="P2213" s="54"/>
      <c r="Q2213" s="54"/>
      <c r="R2213" s="54"/>
      <c r="S2213" s="54"/>
      <c r="T2213" s="54"/>
    </row>
    <row r="2214" spans="1:20" ht="13.5" x14ac:dyDescent="0.2">
      <c r="A2214" s="91"/>
      <c r="B2214" s="158"/>
      <c r="C2214" s="148"/>
      <c r="D2214" s="91"/>
      <c r="E2214" s="46"/>
      <c r="F2214" s="144"/>
      <c r="G2214" s="153"/>
      <c r="H2214" s="155"/>
      <c r="I2214" s="155"/>
      <c r="J2214" s="155"/>
      <c r="K2214" s="155"/>
      <c r="L2214" s="155"/>
      <c r="M2214" s="155"/>
      <c r="N2214" s="54"/>
      <c r="O2214" s="54"/>
      <c r="P2214" s="54"/>
      <c r="Q2214" s="54"/>
      <c r="R2214" s="54"/>
      <c r="S2214" s="54"/>
      <c r="T2214" s="54"/>
    </row>
    <row r="2215" spans="1:20" ht="13.5" x14ac:dyDescent="0.2">
      <c r="A2215" s="91"/>
      <c r="B2215" s="158"/>
      <c r="C2215" s="148"/>
      <c r="D2215" s="91"/>
      <c r="E2215" s="46"/>
      <c r="F2215" s="144"/>
      <c r="G2215" s="153"/>
      <c r="H2215" s="155"/>
      <c r="I2215" s="155"/>
      <c r="J2215" s="155"/>
      <c r="K2215" s="155"/>
      <c r="L2215" s="155"/>
      <c r="M2215" s="155"/>
      <c r="N2215" s="54"/>
      <c r="O2215" s="54"/>
      <c r="P2215" s="54"/>
      <c r="Q2215" s="54"/>
      <c r="R2215" s="54"/>
      <c r="S2215" s="54"/>
      <c r="T2215" s="54"/>
    </row>
    <row r="2216" spans="1:20" ht="13.5" x14ac:dyDescent="0.2">
      <c r="A2216" s="91"/>
      <c r="B2216" s="158"/>
      <c r="C2216" s="148"/>
      <c r="D2216" s="91"/>
      <c r="E2216" s="46"/>
      <c r="F2216" s="144"/>
      <c r="G2216" s="153"/>
      <c r="H2216" s="155"/>
      <c r="I2216" s="155"/>
      <c r="J2216" s="155"/>
      <c r="K2216" s="155"/>
      <c r="L2216" s="155"/>
      <c r="M2216" s="155"/>
      <c r="N2216" s="54"/>
      <c r="O2216" s="54"/>
      <c r="P2216" s="54"/>
      <c r="Q2216" s="54"/>
      <c r="R2216" s="54"/>
      <c r="S2216" s="54"/>
      <c r="T2216" s="54"/>
    </row>
    <row r="2217" spans="1:20" ht="13.5" x14ac:dyDescent="0.2">
      <c r="A2217" s="91"/>
      <c r="B2217" s="158"/>
      <c r="C2217" s="148"/>
      <c r="D2217" s="91"/>
      <c r="E2217" s="46"/>
      <c r="F2217" s="144"/>
      <c r="G2217" s="153"/>
      <c r="H2217" s="155"/>
      <c r="I2217" s="155"/>
      <c r="J2217" s="155"/>
      <c r="K2217" s="155"/>
      <c r="L2217" s="155"/>
      <c r="M2217" s="155"/>
      <c r="N2217" s="54"/>
      <c r="O2217" s="54"/>
      <c r="P2217" s="54"/>
      <c r="Q2217" s="54"/>
      <c r="R2217" s="54"/>
      <c r="S2217" s="54"/>
      <c r="T2217" s="54"/>
    </row>
    <row r="2218" spans="1:20" ht="13.5" x14ac:dyDescent="0.2">
      <c r="A2218" s="91"/>
      <c r="B2218" s="158"/>
      <c r="C2218" s="148"/>
      <c r="D2218" s="91"/>
      <c r="E2218" s="46"/>
      <c r="F2218" s="144"/>
      <c r="G2218" s="153"/>
      <c r="H2218" s="155"/>
      <c r="I2218" s="155"/>
      <c r="J2218" s="155"/>
      <c r="K2218" s="155"/>
      <c r="L2218" s="155"/>
      <c r="M2218" s="155"/>
      <c r="N2218" s="54"/>
      <c r="O2218" s="54"/>
      <c r="P2218" s="54"/>
      <c r="Q2218" s="54"/>
      <c r="R2218" s="54"/>
      <c r="S2218" s="54"/>
      <c r="T2218" s="54"/>
    </row>
    <row r="2219" spans="1:20" ht="13.5" x14ac:dyDescent="0.2">
      <c r="A2219" s="91"/>
      <c r="B2219" s="158"/>
      <c r="C2219" s="148"/>
      <c r="D2219" s="91"/>
      <c r="E2219" s="46"/>
      <c r="F2219" s="144"/>
      <c r="G2219" s="153"/>
      <c r="H2219" s="155"/>
      <c r="I2219" s="155"/>
      <c r="J2219" s="155"/>
      <c r="K2219" s="155"/>
      <c r="L2219" s="155"/>
      <c r="M2219" s="155"/>
      <c r="N2219" s="54"/>
      <c r="O2219" s="54"/>
      <c r="P2219" s="54"/>
      <c r="Q2219" s="54"/>
      <c r="R2219" s="54"/>
      <c r="S2219" s="54"/>
      <c r="T2219" s="54"/>
    </row>
    <row r="2220" spans="1:20" ht="13.5" x14ac:dyDescent="0.2">
      <c r="A2220" s="91"/>
      <c r="B2220" s="158"/>
      <c r="C2220" s="148"/>
      <c r="D2220" s="91"/>
      <c r="E2220" s="46"/>
      <c r="F2220" s="144"/>
      <c r="G2220" s="153"/>
      <c r="H2220" s="155"/>
      <c r="I2220" s="155"/>
      <c r="J2220" s="155"/>
      <c r="K2220" s="155"/>
      <c r="L2220" s="155"/>
      <c r="M2220" s="155"/>
      <c r="N2220" s="54"/>
      <c r="O2220" s="54"/>
      <c r="P2220" s="54"/>
      <c r="Q2220" s="54"/>
      <c r="R2220" s="54"/>
      <c r="S2220" s="54"/>
      <c r="T2220" s="54"/>
    </row>
    <row r="2221" spans="1:20" ht="13.5" x14ac:dyDescent="0.2">
      <c r="A2221" s="91"/>
      <c r="B2221" s="158"/>
      <c r="C2221" s="148"/>
      <c r="D2221" s="91"/>
      <c r="E2221" s="46"/>
      <c r="F2221" s="144"/>
      <c r="G2221" s="153"/>
      <c r="H2221" s="155"/>
      <c r="I2221" s="155"/>
      <c r="J2221" s="155"/>
      <c r="K2221" s="155"/>
      <c r="L2221" s="155"/>
      <c r="M2221" s="155"/>
      <c r="N2221" s="54"/>
      <c r="O2221" s="54"/>
      <c r="P2221" s="54"/>
      <c r="Q2221" s="54"/>
      <c r="R2221" s="54"/>
      <c r="S2221" s="54"/>
      <c r="T2221" s="54"/>
    </row>
    <row r="2222" spans="1:20" ht="13.5" x14ac:dyDescent="0.2">
      <c r="A2222" s="91"/>
      <c r="B2222" s="158"/>
      <c r="C2222" s="148"/>
      <c r="D2222" s="91"/>
      <c r="E2222" s="46"/>
      <c r="F2222" s="144"/>
      <c r="G2222" s="153"/>
      <c r="H2222" s="155"/>
      <c r="I2222" s="155"/>
      <c r="J2222" s="155"/>
      <c r="K2222" s="155"/>
      <c r="L2222" s="155"/>
      <c r="M2222" s="155"/>
      <c r="N2222" s="54"/>
      <c r="O2222" s="54"/>
      <c r="P2222" s="54"/>
      <c r="Q2222" s="54"/>
      <c r="R2222" s="54"/>
      <c r="S2222" s="54"/>
      <c r="T2222" s="54"/>
    </row>
    <row r="2223" spans="1:20" ht="13.5" x14ac:dyDescent="0.2">
      <c r="A2223" s="91"/>
      <c r="B2223" s="158"/>
      <c r="C2223" s="148"/>
      <c r="D2223" s="91"/>
      <c r="E2223" s="46"/>
      <c r="F2223" s="144"/>
      <c r="G2223" s="153"/>
      <c r="H2223" s="155"/>
      <c r="I2223" s="155"/>
      <c r="J2223" s="155"/>
      <c r="K2223" s="155"/>
      <c r="L2223" s="155"/>
      <c r="M2223" s="155"/>
      <c r="N2223" s="54"/>
      <c r="O2223" s="54"/>
      <c r="P2223" s="54"/>
      <c r="Q2223" s="54"/>
      <c r="R2223" s="54"/>
      <c r="S2223" s="54"/>
      <c r="T2223" s="54"/>
    </row>
    <row r="2224" spans="1:20" ht="13.5" x14ac:dyDescent="0.2">
      <c r="A2224" s="91"/>
      <c r="B2224" s="158"/>
      <c r="C2224" s="148"/>
      <c r="D2224" s="91"/>
      <c r="E2224" s="46"/>
      <c r="F2224" s="144"/>
      <c r="G2224" s="153"/>
      <c r="H2224" s="155"/>
      <c r="I2224" s="155"/>
      <c r="J2224" s="155"/>
      <c r="K2224" s="155"/>
      <c r="L2224" s="155"/>
      <c r="M2224" s="155"/>
      <c r="N2224" s="54"/>
      <c r="O2224" s="54"/>
      <c r="P2224" s="54"/>
      <c r="Q2224" s="54"/>
      <c r="R2224" s="54"/>
      <c r="S2224" s="54"/>
      <c r="T2224" s="54"/>
    </row>
    <row r="2225" spans="1:20" ht="13.5" x14ac:dyDescent="0.2">
      <c r="A2225" s="91"/>
      <c r="B2225" s="158"/>
      <c r="C2225" s="148"/>
      <c r="D2225" s="91"/>
      <c r="E2225" s="46"/>
      <c r="F2225" s="144"/>
      <c r="G2225" s="153"/>
      <c r="H2225" s="155"/>
      <c r="I2225" s="155"/>
      <c r="J2225" s="155"/>
      <c r="K2225" s="155"/>
      <c r="L2225" s="155"/>
      <c r="M2225" s="155"/>
      <c r="N2225" s="54"/>
      <c r="O2225" s="54"/>
      <c r="P2225" s="54"/>
      <c r="Q2225" s="54"/>
      <c r="R2225" s="54"/>
      <c r="S2225" s="54"/>
      <c r="T2225" s="54"/>
    </row>
    <row r="2226" spans="1:20" ht="13.5" x14ac:dyDescent="0.2">
      <c r="A2226" s="91"/>
      <c r="B2226" s="158"/>
      <c r="C2226" s="148"/>
      <c r="D2226" s="91"/>
      <c r="E2226" s="46"/>
      <c r="F2226" s="144"/>
      <c r="G2226" s="153"/>
      <c r="H2226" s="155"/>
      <c r="I2226" s="155"/>
      <c r="J2226" s="155"/>
      <c r="K2226" s="155"/>
      <c r="L2226" s="155"/>
      <c r="M2226" s="155"/>
      <c r="N2226" s="54"/>
      <c r="O2226" s="54"/>
      <c r="P2226" s="54"/>
      <c r="Q2226" s="54"/>
      <c r="R2226" s="54"/>
      <c r="S2226" s="54"/>
      <c r="T2226" s="54"/>
    </row>
  </sheetData>
  <phoneticPr fontId="21" type="noConversion"/>
  <conditionalFormatting sqref="B471:B992 B1:B1815 B1835:B2226">
    <cfRule type="cellIs" dxfId="45" priority="2" stopIfTrue="1" operator="equal">
      <formula>"N"</formula>
    </cfRule>
  </conditionalFormatting>
  <conditionalFormatting sqref="B471:B992 B1:B1815 B1835:B2226">
    <cfRule type="cellIs" dxfId="44" priority="3" stopIfTrue="1" operator="equal">
      <formula>"Y"</formula>
    </cfRule>
  </conditionalFormatting>
  <conditionalFormatting sqref="D645:E979 D1:E1048576">
    <cfRule type="cellIs" dxfId="43" priority="4" stopIfTrue="1" operator="equal">
      <formula>"Struct"</formula>
    </cfRule>
  </conditionalFormatting>
  <conditionalFormatting sqref="F1:G1048576">
    <cfRule type="cellIs" dxfId="42" priority="5" stopIfTrue="1" operator="equal">
      <formula>"Y"</formula>
    </cfRule>
  </conditionalFormatting>
  <conditionalFormatting sqref="F1:G1048576">
    <cfRule type="cellIs" dxfId="41" priority="6" stopIfTrue="1" operator="equal">
      <formula>"N"</formula>
    </cfRule>
  </conditionalFormatting>
  <conditionalFormatting sqref="A979">
    <cfRule type="duplicateValues" dxfId="40" priority="7" stopIfTrue="1"/>
  </conditionalFormatting>
  <conditionalFormatting sqref="A979">
    <cfRule type="duplicateValues" dxfId="39" priority="8" stopIfTrue="1"/>
  </conditionalFormatting>
  <conditionalFormatting sqref="D980:D981">
    <cfRule type="duplicateValues" dxfId="38" priority="9" stopIfTrue="1"/>
  </conditionalFormatting>
  <conditionalFormatting sqref="D980:D981">
    <cfRule type="duplicateValues" dxfId="37" priority="10" stopIfTrue="1"/>
  </conditionalFormatting>
  <conditionalFormatting sqref="D990">
    <cfRule type="duplicateValues" dxfId="36" priority="11" stopIfTrue="1"/>
  </conditionalFormatting>
  <conditionalFormatting sqref="D990">
    <cfRule type="duplicateValues" dxfId="35" priority="12" stopIfTrue="1"/>
  </conditionalFormatting>
  <conditionalFormatting sqref="A991:A992">
    <cfRule type="duplicateValues" dxfId="34" priority="13" stopIfTrue="1"/>
  </conditionalFormatting>
  <conditionalFormatting sqref="A991:A992">
    <cfRule type="duplicateValues" dxfId="33" priority="14" stopIfTrue="1"/>
  </conditionalFormatting>
  <conditionalFormatting sqref="A1111">
    <cfRule type="duplicateValues" dxfId="32" priority="15" stopIfTrue="1"/>
  </conditionalFormatting>
  <conditionalFormatting sqref="A1111">
    <cfRule type="duplicateValues" dxfId="31" priority="16" stopIfTrue="1"/>
  </conditionalFormatting>
  <conditionalFormatting sqref="A444:A454">
    <cfRule type="duplicateValues" dxfId="30" priority="17" stopIfTrue="1"/>
  </conditionalFormatting>
  <conditionalFormatting sqref="A444:A454">
    <cfRule type="duplicateValues" dxfId="29" priority="18" stopIfTrue="1"/>
  </conditionalFormatting>
  <conditionalFormatting sqref="B1:B470">
    <cfRule type="cellIs" dxfId="28" priority="19" stopIfTrue="1" operator="equal">
      <formula>"N"</formula>
    </cfRule>
  </conditionalFormatting>
  <conditionalFormatting sqref="B1:B470">
    <cfRule type="cellIs" dxfId="27" priority="20" stopIfTrue="1" operator="equal">
      <formula>"Y"</formula>
    </cfRule>
  </conditionalFormatting>
  <conditionalFormatting sqref="A646:A831 A31:A443 A1 A471:A644 A2:A30 A455:A456 A980:A990 A832:A978 A1119:A1218">
    <cfRule type="duplicateValues" dxfId="26" priority="21" stopIfTrue="1"/>
  </conditionalFormatting>
  <conditionalFormatting sqref="A646:A831 A31:A443 A1 A471:A644 A2:A30 A455:A456 A980:A990 A832:A978 A1119:A1218">
    <cfRule type="duplicateValues" dxfId="25" priority="22" stopIfTrue="1"/>
  </conditionalFormatting>
  <conditionalFormatting sqref="D1:E644 D991:D992">
    <cfRule type="cellIs" dxfId="24" priority="23" stopIfTrue="1" operator="equal">
      <formula>"Struct"</formula>
    </cfRule>
  </conditionalFormatting>
  <conditionalFormatting sqref="E980:E981 D982:E989">
    <cfRule type="cellIs" dxfId="21" priority="26" stopIfTrue="1" operator="equal">
      <formula>"Struct"</formula>
    </cfRule>
  </conditionalFormatting>
  <conditionalFormatting sqref="D993:E1147">
    <cfRule type="cellIs" dxfId="19" priority="28" stopIfTrue="1" operator="equal">
      <formula>"Struct"</formula>
    </cfRule>
  </conditionalFormatting>
  <conditionalFormatting sqref="A993:A1110 A1112:A1118">
    <cfRule type="duplicateValues" dxfId="18" priority="29" stopIfTrue="1"/>
  </conditionalFormatting>
  <conditionalFormatting sqref="A993:A1110 A1112:A1118">
    <cfRule type="duplicateValues" dxfId="17" priority="30" stopIfTrue="1"/>
  </conditionalFormatting>
  <hyperlinks>
    <hyperlink ref="G1320" r:id="rId1" display="3.1 SPI_Route需求文档"/>
    <hyperlink ref="G1099" r:id="rId2" display="3.1 SPI_Route需求文档"/>
    <hyperlink ref="G1341" r:id="rId3" location="Lea3dkjrVoWCzNxdCu4cNAshnSf" display="Pilot3.1 SystemMonitor Detail Design File"/>
    <hyperlink ref="G1180" r:id="rId4" display="3.1 SPI_Route需求文档"/>
    <hyperlink ref="G1321" r:id="rId5" display="3.1 SPI_Route需求文档"/>
    <hyperlink ref="G1181" r:id="rId6" display="3.1 SPI_Route需求文档"/>
  </hyperlinks>
  <pageMargins left="0.7" right="0.7" top="0.75" bottom="0.75" header="0.3" footer="0.3"/>
  <drawing r:id="rId7"/>
  <picture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59"/>
  <sheetViews>
    <sheetView workbookViewId="0">
      <pane ySplit="1" topLeftCell="A2" activePane="bottomLeft" state="frozen"/>
      <selection pane="bottomLeft"/>
    </sheetView>
  </sheetViews>
  <sheetFormatPr defaultColWidth="14" defaultRowHeight="12.75" x14ac:dyDescent="0.2"/>
  <cols>
    <col min="1" max="1" width="25" customWidth="1"/>
    <col min="2" max="2" width="12" customWidth="1"/>
    <col min="3" max="3" width="14" customWidth="1"/>
    <col min="4" max="4" width="41" customWidth="1"/>
    <col min="5" max="5" width="35" customWidth="1"/>
    <col min="6" max="6" width="18" customWidth="1"/>
    <col min="7" max="7" width="10" customWidth="1"/>
    <col min="8" max="8" width="20" customWidth="1"/>
    <col min="9" max="9" width="13" customWidth="1"/>
    <col min="10" max="10" width="17" customWidth="1"/>
    <col min="11" max="11" width="7" customWidth="1"/>
    <col min="12" max="12" width="5" customWidth="1"/>
    <col min="13" max="13" width="18" customWidth="1"/>
    <col min="14" max="14" width="37" customWidth="1"/>
    <col min="15" max="15" width="27" customWidth="1"/>
    <col min="16" max="21" width="11" customWidth="1"/>
  </cols>
  <sheetData>
    <row r="1" spans="1:21" ht="30" customHeight="1" x14ac:dyDescent="0.2">
      <c r="A1" s="232" t="s">
        <v>146</v>
      </c>
      <c r="B1" s="232" t="s">
        <v>147</v>
      </c>
      <c r="C1" s="232" t="s">
        <v>148</v>
      </c>
      <c r="D1" s="138" t="s">
        <v>149</v>
      </c>
      <c r="E1" s="134" t="s">
        <v>150</v>
      </c>
      <c r="F1" s="232" t="s">
        <v>151</v>
      </c>
      <c r="G1" s="233" t="s">
        <v>152</v>
      </c>
      <c r="H1" s="230" t="s">
        <v>153</v>
      </c>
      <c r="I1" s="230" t="s">
        <v>154</v>
      </c>
      <c r="J1" s="230" t="s">
        <v>155</v>
      </c>
      <c r="K1" s="231" t="s">
        <v>156</v>
      </c>
      <c r="L1" s="231" t="s">
        <v>157</v>
      </c>
      <c r="M1" s="231" t="s">
        <v>158</v>
      </c>
      <c r="N1" s="231" t="s">
        <v>159</v>
      </c>
      <c r="O1" s="231" t="s">
        <v>160</v>
      </c>
      <c r="P1" s="54"/>
      <c r="Q1" s="54"/>
      <c r="R1" s="54"/>
      <c r="S1" s="54"/>
      <c r="T1" s="54"/>
      <c r="U1" s="54"/>
    </row>
    <row r="2" spans="1:21" ht="15" customHeight="1" x14ac:dyDescent="0.2">
      <c r="A2" s="124" t="s">
        <v>188</v>
      </c>
      <c r="B2" s="49" t="s">
        <v>161</v>
      </c>
      <c r="C2" s="49" t="s">
        <v>162</v>
      </c>
      <c r="D2" s="110" t="s">
        <v>2841</v>
      </c>
      <c r="E2" s="234" t="s">
        <v>2842</v>
      </c>
      <c r="F2" s="44" t="str">
        <f>IF(AND(ISNA(VLOOKUP(E2,DataType_T1GC!A:A,1,FALSE())),ISNA(VLOOKUP(E2,BaseType!A:A,1,FALSE()))),"N","Y")</f>
        <v>Y</v>
      </c>
      <c r="G2" s="64"/>
      <c r="H2" s="56" t="s">
        <v>165</v>
      </c>
      <c r="I2" s="57" t="s">
        <v>166</v>
      </c>
      <c r="J2" s="57"/>
      <c r="K2" s="65"/>
      <c r="L2" s="65"/>
      <c r="M2" s="8" t="s">
        <v>166</v>
      </c>
      <c r="N2" s="65"/>
      <c r="O2" s="65"/>
      <c r="P2" s="42"/>
      <c r="Q2" s="42"/>
      <c r="R2" s="42"/>
      <c r="S2" s="42"/>
      <c r="T2" s="42"/>
      <c r="U2" s="42"/>
    </row>
    <row r="3" spans="1:21" ht="15" customHeight="1" x14ac:dyDescent="0.2">
      <c r="A3" s="124" t="s">
        <v>188</v>
      </c>
      <c r="B3" s="49" t="s">
        <v>161</v>
      </c>
      <c r="C3" s="49" t="s">
        <v>162</v>
      </c>
      <c r="D3" s="110" t="s">
        <v>2843</v>
      </c>
      <c r="E3" s="234" t="s">
        <v>2844</v>
      </c>
      <c r="F3" s="44" t="str">
        <f>IF(AND(ISNA(VLOOKUP(E3,DataType_T1GC!A:A,1,FALSE())),ISNA(VLOOKUP(E3,BaseType!A:A,1,FALSE()))),"N","Y")</f>
        <v>Y</v>
      </c>
      <c r="G3" s="64"/>
      <c r="H3" s="56" t="s">
        <v>165</v>
      </c>
      <c r="I3" s="57" t="s">
        <v>166</v>
      </c>
      <c r="J3" s="57"/>
      <c r="K3" s="65"/>
      <c r="L3" s="65"/>
      <c r="M3" s="8" t="s">
        <v>166</v>
      </c>
      <c r="N3" s="65"/>
      <c r="O3" s="65"/>
      <c r="P3" s="42"/>
      <c r="Q3" s="42"/>
      <c r="R3" s="42"/>
      <c r="S3" s="42"/>
      <c r="T3" s="42"/>
      <c r="U3" s="42"/>
    </row>
    <row r="4" spans="1:21" ht="15" customHeight="1" x14ac:dyDescent="0.2">
      <c r="A4" s="124" t="s">
        <v>188</v>
      </c>
      <c r="B4" s="49" t="s">
        <v>161</v>
      </c>
      <c r="C4" s="49" t="s">
        <v>162</v>
      </c>
      <c r="D4" s="110" t="s">
        <v>2845</v>
      </c>
      <c r="E4" s="234" t="s">
        <v>2846</v>
      </c>
      <c r="F4" s="44" t="str">
        <f>IF(AND(ISNA(VLOOKUP(E4,DataType_T1GC!A:A,1,FALSE())),ISNA(VLOOKUP(E4,BaseType!A:A,1,FALSE()))),"N","Y")</f>
        <v>Y</v>
      </c>
      <c r="G4" s="64"/>
      <c r="H4" s="56" t="s">
        <v>165</v>
      </c>
      <c r="I4" s="57" t="s">
        <v>166</v>
      </c>
      <c r="J4" s="57"/>
      <c r="K4" s="65"/>
      <c r="L4" s="65"/>
      <c r="M4" s="8" t="s">
        <v>166</v>
      </c>
      <c r="N4" s="65"/>
      <c r="O4" s="65"/>
      <c r="P4" s="42"/>
      <c r="Q4" s="42"/>
      <c r="R4" s="42"/>
      <c r="S4" s="42"/>
      <c r="T4" s="42"/>
      <c r="U4" s="42"/>
    </row>
    <row r="5" spans="1:21" ht="15" customHeight="1" x14ac:dyDescent="0.2">
      <c r="A5" s="83" t="s">
        <v>188</v>
      </c>
      <c r="B5" s="86" t="s">
        <v>189</v>
      </c>
      <c r="C5" s="49" t="s">
        <v>162</v>
      </c>
      <c r="D5" s="53" t="s">
        <v>2847</v>
      </c>
      <c r="E5" s="229" t="s">
        <v>2848</v>
      </c>
      <c r="F5" s="44" t="str">
        <f>IF(AND(ISNA(VLOOKUP(E5,DataType_T1GC!A:A,1,FALSE())),ISNA(VLOOKUP(E5,BaseType!A:A,1,FALSE()))),"N","Y")</f>
        <v>Y</v>
      </c>
      <c r="G5" s="89"/>
      <c r="H5" s="56" t="s">
        <v>165</v>
      </c>
      <c r="I5" s="57" t="s">
        <v>166</v>
      </c>
      <c r="J5" s="100"/>
      <c r="K5" s="63"/>
      <c r="L5" s="63"/>
      <c r="M5" s="8" t="s">
        <v>166</v>
      </c>
      <c r="N5" s="63"/>
      <c r="O5" s="63"/>
      <c r="P5" s="63"/>
      <c r="Q5" s="63"/>
      <c r="R5" s="63"/>
      <c r="S5" s="63"/>
      <c r="T5" s="63"/>
      <c r="U5" s="63"/>
    </row>
    <row r="6" spans="1:21" ht="15" customHeight="1" x14ac:dyDescent="0.2">
      <c r="A6" s="83" t="s">
        <v>188</v>
      </c>
      <c r="B6" s="86" t="s">
        <v>189</v>
      </c>
      <c r="C6" s="49" t="s">
        <v>162</v>
      </c>
      <c r="D6" s="53" t="s">
        <v>2849</v>
      </c>
      <c r="E6" s="229" t="s">
        <v>2850</v>
      </c>
      <c r="F6" s="44" t="str">
        <f>IF(AND(ISNA(VLOOKUP(E6,DataType_T1GC!A:A,1,FALSE())),ISNA(VLOOKUP(E6,BaseType!A:A,1,FALSE()))),"N","Y")</f>
        <v>Y</v>
      </c>
      <c r="G6" s="89"/>
      <c r="H6" s="56" t="s">
        <v>165</v>
      </c>
      <c r="I6" s="57" t="s">
        <v>166</v>
      </c>
      <c r="J6" s="100"/>
      <c r="K6" s="63"/>
      <c r="L6" s="63"/>
      <c r="M6" s="8" t="s">
        <v>166</v>
      </c>
      <c r="N6" s="63"/>
      <c r="O6" s="63"/>
      <c r="P6" s="63"/>
      <c r="Q6" s="63"/>
      <c r="R6" s="63"/>
      <c r="S6" s="63"/>
      <c r="T6" s="63"/>
      <c r="U6" s="63"/>
    </row>
    <row r="7" spans="1:21" ht="15" customHeight="1" x14ac:dyDescent="0.2">
      <c r="A7" s="83" t="s">
        <v>188</v>
      </c>
      <c r="B7" s="86" t="s">
        <v>189</v>
      </c>
      <c r="C7" s="49" t="s">
        <v>162</v>
      </c>
      <c r="D7" s="53" t="s">
        <v>2851</v>
      </c>
      <c r="E7" s="229" t="s">
        <v>2852</v>
      </c>
      <c r="F7" s="44" t="str">
        <f>IF(AND(ISNA(VLOOKUP(E7,DataType_T1GC!A:A,1,FALSE())),ISNA(VLOOKUP(E7,BaseType!A:A,1,FALSE()))),"N","Y")</f>
        <v>Y</v>
      </c>
      <c r="G7" s="89"/>
      <c r="H7" s="56" t="s">
        <v>165</v>
      </c>
      <c r="I7" s="57" t="s">
        <v>166</v>
      </c>
      <c r="J7" s="100"/>
      <c r="K7" s="63"/>
      <c r="L7" s="63"/>
      <c r="M7" s="8" t="s">
        <v>166</v>
      </c>
      <c r="N7" s="63"/>
      <c r="O7" s="63"/>
      <c r="P7" s="63"/>
      <c r="Q7" s="63"/>
      <c r="R7" s="63"/>
      <c r="S7" s="63"/>
      <c r="T7" s="63"/>
      <c r="U7" s="63"/>
    </row>
    <row r="8" spans="1:21" ht="15" customHeight="1" x14ac:dyDescent="0.2">
      <c r="A8" s="83" t="s">
        <v>188</v>
      </c>
      <c r="B8" s="86" t="s">
        <v>189</v>
      </c>
      <c r="C8" s="49" t="s">
        <v>162</v>
      </c>
      <c r="D8" s="53" t="s">
        <v>2853</v>
      </c>
      <c r="E8" s="229" t="s">
        <v>2854</v>
      </c>
      <c r="F8" s="44" t="str">
        <f>IF(AND(ISNA(VLOOKUP(E8,DataType_T1GC!A:A,1,FALSE())),ISNA(VLOOKUP(E8,BaseType!A:A,1,FALSE()))),"N","Y")</f>
        <v>Y</v>
      </c>
      <c r="G8" s="89"/>
      <c r="H8" s="56" t="s">
        <v>165</v>
      </c>
      <c r="I8" s="57" t="s">
        <v>166</v>
      </c>
      <c r="J8" s="100"/>
      <c r="K8" s="63"/>
      <c r="L8" s="63"/>
      <c r="M8" s="8" t="s">
        <v>166</v>
      </c>
      <c r="N8" s="63"/>
      <c r="O8" s="63"/>
      <c r="P8" s="63"/>
      <c r="Q8" s="63"/>
      <c r="R8" s="63"/>
      <c r="S8" s="63"/>
      <c r="T8" s="63"/>
      <c r="U8" s="63"/>
    </row>
    <row r="9" spans="1:21" ht="15" customHeight="1" x14ac:dyDescent="0.2">
      <c r="A9" s="83" t="s">
        <v>188</v>
      </c>
      <c r="B9" s="86" t="s">
        <v>189</v>
      </c>
      <c r="C9" s="49" t="s">
        <v>162</v>
      </c>
      <c r="D9" s="53" t="s">
        <v>2855</v>
      </c>
      <c r="E9" s="229" t="s">
        <v>2856</v>
      </c>
      <c r="F9" s="44" t="str">
        <f>IF(AND(ISNA(VLOOKUP(E9,DataType_T1GC!A:A,1,FALSE())),ISNA(VLOOKUP(E9,BaseType!A:A,1,FALSE()))),"N","Y")</f>
        <v>Y</v>
      </c>
      <c r="G9" s="89"/>
      <c r="H9" s="56" t="s">
        <v>165</v>
      </c>
      <c r="I9" s="57" t="s">
        <v>166</v>
      </c>
      <c r="J9" s="100"/>
      <c r="K9" s="63"/>
      <c r="L9" s="63"/>
      <c r="M9" s="8" t="s">
        <v>166</v>
      </c>
      <c r="N9" s="63"/>
      <c r="O9" s="63"/>
      <c r="P9" s="63"/>
      <c r="Q9" s="63"/>
      <c r="R9" s="63"/>
      <c r="S9" s="63"/>
      <c r="T9" s="63"/>
      <c r="U9" s="63"/>
    </row>
    <row r="10" spans="1:21" ht="15" customHeight="1" x14ac:dyDescent="0.2">
      <c r="A10" s="83" t="s">
        <v>188</v>
      </c>
      <c r="B10" s="86" t="s">
        <v>189</v>
      </c>
      <c r="C10" s="49" t="s">
        <v>162</v>
      </c>
      <c r="D10" s="53" t="s">
        <v>2857</v>
      </c>
      <c r="E10" s="229" t="s">
        <v>2858</v>
      </c>
      <c r="F10" s="44" t="str">
        <f>IF(AND(ISNA(VLOOKUP(E10,DataType_T1GC!A:A,1,FALSE())),ISNA(VLOOKUP(E10,BaseType!A:A,1,FALSE()))),"N","Y")</f>
        <v>Y</v>
      </c>
      <c r="G10" s="89"/>
      <c r="H10" s="56" t="s">
        <v>165</v>
      </c>
      <c r="I10" s="57" t="s">
        <v>166</v>
      </c>
      <c r="J10" s="100"/>
      <c r="K10" s="63"/>
      <c r="L10" s="63"/>
      <c r="M10" s="8" t="s">
        <v>166</v>
      </c>
      <c r="N10" s="63"/>
      <c r="O10" s="63"/>
      <c r="P10" s="63"/>
      <c r="Q10" s="63"/>
      <c r="R10" s="63"/>
      <c r="S10" s="63"/>
      <c r="T10" s="63"/>
      <c r="U10" s="63"/>
    </row>
    <row r="11" spans="1:21" ht="15" customHeight="1" x14ac:dyDescent="0.2">
      <c r="A11" s="83" t="s">
        <v>188</v>
      </c>
      <c r="B11" s="86" t="s">
        <v>189</v>
      </c>
      <c r="C11" s="49" t="s">
        <v>162</v>
      </c>
      <c r="D11" s="53" t="s">
        <v>2859</v>
      </c>
      <c r="E11" s="53" t="s">
        <v>2860</v>
      </c>
      <c r="F11" s="44" t="str">
        <f>IF(AND(ISNA(VLOOKUP(E11,DataType_T1GC!A:A,1,FALSE())),ISNA(VLOOKUP(E11,BaseType!A:A,1,FALSE()))),"N","Y")</f>
        <v>Y</v>
      </c>
      <c r="G11" s="89"/>
      <c r="H11" s="56" t="s">
        <v>165</v>
      </c>
      <c r="I11" s="57" t="s">
        <v>166</v>
      </c>
      <c r="J11" s="100"/>
      <c r="K11" s="63"/>
      <c r="L11" s="63"/>
      <c r="M11" s="8" t="s">
        <v>166</v>
      </c>
      <c r="N11" s="63"/>
      <c r="O11" s="63"/>
      <c r="P11" s="63"/>
      <c r="Q11" s="63"/>
      <c r="R11" s="63"/>
      <c r="S11" s="63"/>
      <c r="T11" s="63"/>
      <c r="U11" s="63"/>
    </row>
    <row r="12" spans="1:21" ht="15" customHeight="1" x14ac:dyDescent="0.2">
      <c r="A12" s="83" t="s">
        <v>188</v>
      </c>
      <c r="B12" s="86" t="s">
        <v>189</v>
      </c>
      <c r="C12" s="49" t="s">
        <v>162</v>
      </c>
      <c r="D12" s="87" t="s">
        <v>2861</v>
      </c>
      <c r="E12" s="87" t="s">
        <v>2862</v>
      </c>
      <c r="F12" s="44" t="str">
        <f>IF(AND(ISNA(VLOOKUP(E12,DataType_T1GC!A:A,1,FALSE())),ISNA(VLOOKUP(E12,BaseType!A:A,1,FALSE()))),"N","Y")</f>
        <v>Y</v>
      </c>
      <c r="G12" s="89"/>
      <c r="H12" s="56" t="s">
        <v>165</v>
      </c>
      <c r="I12" s="57" t="s">
        <v>166</v>
      </c>
      <c r="J12" s="100"/>
      <c r="K12" s="63"/>
      <c r="L12" s="63"/>
      <c r="M12" s="8" t="s">
        <v>166</v>
      </c>
      <c r="N12" s="63"/>
      <c r="O12" s="63"/>
      <c r="P12" s="63"/>
      <c r="Q12" s="63"/>
      <c r="R12" s="63"/>
      <c r="S12" s="63"/>
      <c r="T12" s="63"/>
      <c r="U12" s="63"/>
    </row>
    <row r="13" spans="1:21" ht="15" customHeight="1" x14ac:dyDescent="0.2">
      <c r="A13" s="83" t="s">
        <v>188</v>
      </c>
      <c r="B13" s="86" t="s">
        <v>189</v>
      </c>
      <c r="C13" s="49" t="s">
        <v>162</v>
      </c>
      <c r="D13" s="53" t="s">
        <v>2863</v>
      </c>
      <c r="E13" s="53" t="s">
        <v>2864</v>
      </c>
      <c r="F13" s="44" t="str">
        <f>IF(AND(ISNA(VLOOKUP(E13,DataType_T1GC!A:A,1,FALSE())),ISNA(VLOOKUP(E13,BaseType!A:A,1,FALSE()))),"N","Y")</f>
        <v>Y</v>
      </c>
      <c r="G13" s="89"/>
      <c r="H13" s="56" t="s">
        <v>165</v>
      </c>
      <c r="I13" s="57" t="s">
        <v>166</v>
      </c>
      <c r="J13" s="100"/>
      <c r="K13" s="63"/>
      <c r="L13" s="63"/>
      <c r="M13" s="8" t="s">
        <v>166</v>
      </c>
      <c r="N13" s="63"/>
      <c r="O13" s="63"/>
      <c r="P13" s="63"/>
      <c r="Q13" s="63"/>
      <c r="R13" s="63"/>
      <c r="S13" s="63"/>
      <c r="T13" s="63"/>
      <c r="U13" s="63"/>
    </row>
    <row r="14" spans="1:21" ht="15" customHeight="1" x14ac:dyDescent="0.2">
      <c r="A14" s="83" t="s">
        <v>188</v>
      </c>
      <c r="B14" s="86" t="s">
        <v>189</v>
      </c>
      <c r="C14" s="49" t="s">
        <v>162</v>
      </c>
      <c r="D14" s="53" t="s">
        <v>2865</v>
      </c>
      <c r="E14" s="53" t="s">
        <v>2864</v>
      </c>
      <c r="F14" s="44" t="str">
        <f>IF(AND(ISNA(VLOOKUP(E14,DataType_T1GC!A:A,1,FALSE())),ISNA(VLOOKUP(E14,BaseType!A:A,1,FALSE()))),"N","Y")</f>
        <v>Y</v>
      </c>
      <c r="G14" s="89"/>
      <c r="H14" s="56" t="s">
        <v>165</v>
      </c>
      <c r="I14" s="57" t="s">
        <v>166</v>
      </c>
      <c r="J14" s="100"/>
      <c r="K14" s="63"/>
      <c r="L14" s="63"/>
      <c r="M14" s="8" t="s">
        <v>166</v>
      </c>
      <c r="N14" s="63"/>
      <c r="O14" s="63"/>
      <c r="P14" s="63"/>
      <c r="Q14" s="63"/>
      <c r="R14" s="63"/>
      <c r="S14" s="63"/>
      <c r="T14" s="63"/>
      <c r="U14" s="63"/>
    </row>
    <row r="15" spans="1:21" ht="15" customHeight="1" x14ac:dyDescent="0.2">
      <c r="A15" s="83" t="s">
        <v>188</v>
      </c>
      <c r="B15" s="86" t="s">
        <v>189</v>
      </c>
      <c r="C15" s="49" t="s">
        <v>162</v>
      </c>
      <c r="D15" s="53" t="s">
        <v>2866</v>
      </c>
      <c r="E15" s="53" t="s">
        <v>2867</v>
      </c>
      <c r="F15" s="44" t="str">
        <f>IF(AND(ISNA(VLOOKUP(E15,DataType_T1GC!A:A,1,FALSE())),ISNA(VLOOKUP(E15,BaseType!A:A,1,FALSE()))),"N","Y")</f>
        <v>Y</v>
      </c>
      <c r="G15" s="89"/>
      <c r="H15" s="56" t="s">
        <v>165</v>
      </c>
      <c r="I15" s="57" t="s">
        <v>166</v>
      </c>
      <c r="J15" s="100"/>
      <c r="K15" s="63"/>
      <c r="L15" s="63"/>
      <c r="M15" s="8" t="s">
        <v>166</v>
      </c>
      <c r="N15" s="63"/>
      <c r="O15" s="63"/>
      <c r="P15" s="63"/>
      <c r="Q15" s="63"/>
      <c r="R15" s="63"/>
      <c r="S15" s="63"/>
      <c r="T15" s="63"/>
      <c r="U15" s="63"/>
    </row>
    <row r="16" spans="1:21" ht="15" customHeight="1" x14ac:dyDescent="0.2">
      <c r="A16" s="120" t="s">
        <v>387</v>
      </c>
      <c r="B16" s="86" t="s">
        <v>189</v>
      </c>
      <c r="C16" s="49" t="s">
        <v>162</v>
      </c>
      <c r="D16" s="53" t="s">
        <v>2868</v>
      </c>
      <c r="E16" s="229" t="s">
        <v>2869</v>
      </c>
      <c r="F16" s="44" t="str">
        <f>IF(AND(ISNA(VLOOKUP(E16,DataType_T1GC!A:A,1,FALSE())),ISNA(VLOOKUP(E16,BaseType!A:A,1,FALSE()))),"N","Y")</f>
        <v>Y</v>
      </c>
      <c r="G16" s="89"/>
      <c r="H16" s="56" t="s">
        <v>165</v>
      </c>
      <c r="I16" s="99" t="s">
        <v>166</v>
      </c>
      <c r="J16" s="100"/>
      <c r="K16" s="63"/>
      <c r="L16" s="63"/>
      <c r="M16" s="8" t="s">
        <v>388</v>
      </c>
      <c r="N16" s="63"/>
      <c r="O16" s="63"/>
      <c r="P16" s="63"/>
      <c r="Q16" s="63"/>
      <c r="R16" s="63"/>
      <c r="S16" s="63"/>
      <c r="T16" s="63"/>
      <c r="U16" s="63"/>
    </row>
    <row r="17" spans="1:21" ht="15" customHeight="1" x14ac:dyDescent="0.2">
      <c r="A17" s="120" t="s">
        <v>387</v>
      </c>
      <c r="B17" s="86" t="s">
        <v>189</v>
      </c>
      <c r="C17" s="49" t="s">
        <v>162</v>
      </c>
      <c r="D17" s="68" t="s">
        <v>2863</v>
      </c>
      <c r="E17" s="229" t="s">
        <v>2864</v>
      </c>
      <c r="F17" s="44" t="str">
        <f>IF(AND(ISNA(VLOOKUP(E17,DataType_T1GC!A:A,1,FALSE())),ISNA(VLOOKUP(E17,BaseType!A:A,1,FALSE()))),"N","Y")</f>
        <v>Y</v>
      </c>
      <c r="G17" s="89"/>
      <c r="H17" s="56" t="s">
        <v>165</v>
      </c>
      <c r="I17" s="99" t="s">
        <v>166</v>
      </c>
      <c r="J17" s="100"/>
      <c r="K17" s="63"/>
      <c r="L17" s="63"/>
      <c r="M17" s="8" t="s">
        <v>388</v>
      </c>
      <c r="N17" s="63"/>
      <c r="O17" s="63"/>
      <c r="P17" s="63"/>
      <c r="Q17" s="63"/>
      <c r="R17" s="63"/>
      <c r="S17" s="63"/>
      <c r="T17" s="63"/>
      <c r="U17" s="63"/>
    </row>
    <row r="18" spans="1:21" ht="15" customHeight="1" x14ac:dyDescent="0.2">
      <c r="A18" s="120" t="s">
        <v>387</v>
      </c>
      <c r="B18" s="86" t="s">
        <v>189</v>
      </c>
      <c r="C18" s="49" t="s">
        <v>162</v>
      </c>
      <c r="D18" s="68" t="s">
        <v>2870</v>
      </c>
      <c r="E18" s="229" t="s">
        <v>2864</v>
      </c>
      <c r="F18" s="44" t="str">
        <f>IF(AND(ISNA(VLOOKUP(E18,DataType_T1GC!A:A,1,FALSE())),ISNA(VLOOKUP(E18,BaseType!A:A,1,FALSE()))),"N","Y")</f>
        <v>Y</v>
      </c>
      <c r="G18" s="89"/>
      <c r="H18" s="56" t="s">
        <v>165</v>
      </c>
      <c r="I18" s="99" t="s">
        <v>166</v>
      </c>
      <c r="J18" s="100"/>
      <c r="K18" s="63"/>
      <c r="L18" s="63"/>
      <c r="M18" s="8" t="s">
        <v>388</v>
      </c>
      <c r="N18" s="63"/>
      <c r="O18" s="63"/>
      <c r="P18" s="63"/>
      <c r="Q18" s="63"/>
      <c r="R18" s="63"/>
      <c r="S18" s="63"/>
      <c r="T18" s="63"/>
      <c r="U18" s="63"/>
    </row>
    <row r="19" spans="1:21" ht="15" customHeight="1" x14ac:dyDescent="0.2">
      <c r="A19" s="120" t="s">
        <v>387</v>
      </c>
      <c r="B19" s="86" t="s">
        <v>189</v>
      </c>
      <c r="C19" s="49" t="s">
        <v>162</v>
      </c>
      <c r="D19" s="68" t="s">
        <v>2865</v>
      </c>
      <c r="E19" s="229" t="s">
        <v>2864</v>
      </c>
      <c r="F19" s="44" t="str">
        <f>IF(AND(ISNA(VLOOKUP(E19,DataType_T1GC!A:A,1,FALSE())),ISNA(VLOOKUP(E19,BaseType!A:A,1,FALSE()))),"N","Y")</f>
        <v>Y</v>
      </c>
      <c r="G19" s="89"/>
      <c r="H19" s="56" t="s">
        <v>165</v>
      </c>
      <c r="I19" s="99" t="s">
        <v>166</v>
      </c>
      <c r="J19" s="100"/>
      <c r="K19" s="63"/>
      <c r="L19" s="63"/>
      <c r="M19" s="8" t="s">
        <v>388</v>
      </c>
      <c r="N19" s="63"/>
      <c r="O19" s="63"/>
      <c r="P19" s="63"/>
      <c r="Q19" s="63"/>
      <c r="R19" s="63"/>
      <c r="S19" s="63"/>
      <c r="T19" s="63"/>
      <c r="U19" s="63"/>
    </row>
    <row r="20" spans="1:21" ht="15" customHeight="1" x14ac:dyDescent="0.2">
      <c r="A20" s="120" t="s">
        <v>387</v>
      </c>
      <c r="B20" s="86" t="s">
        <v>189</v>
      </c>
      <c r="C20" s="49" t="s">
        <v>162</v>
      </c>
      <c r="D20" s="68" t="s">
        <v>2871</v>
      </c>
      <c r="E20" s="229" t="s">
        <v>2864</v>
      </c>
      <c r="F20" s="44" t="str">
        <f>IF(AND(ISNA(VLOOKUP(E20,DataType_T1GC!A:A,1,FALSE())),ISNA(VLOOKUP(E20,BaseType!A:A,1,FALSE()))),"N","Y")</f>
        <v>Y</v>
      </c>
      <c r="G20" s="89"/>
      <c r="H20" s="56" t="s">
        <v>165</v>
      </c>
      <c r="I20" s="99" t="s">
        <v>166</v>
      </c>
      <c r="J20" s="100"/>
      <c r="K20" s="63"/>
      <c r="L20" s="63"/>
      <c r="M20" s="8" t="s">
        <v>388</v>
      </c>
      <c r="N20" s="63"/>
      <c r="O20" s="63"/>
      <c r="P20" s="63"/>
      <c r="Q20" s="63"/>
      <c r="R20" s="63"/>
      <c r="S20" s="63"/>
      <c r="T20" s="63"/>
      <c r="U20" s="63"/>
    </row>
    <row r="21" spans="1:21" ht="15" customHeight="1" x14ac:dyDescent="0.2">
      <c r="A21" s="83"/>
      <c r="B21" s="86"/>
      <c r="C21" s="86"/>
      <c r="D21" s="53"/>
      <c r="E21" s="85"/>
      <c r="F21" s="4"/>
      <c r="G21" s="89"/>
      <c r="H21" s="56"/>
      <c r="I21" s="56"/>
      <c r="J21" s="56"/>
      <c r="K21" s="63"/>
      <c r="L21" s="63"/>
      <c r="M21" s="63"/>
      <c r="N21" s="63"/>
      <c r="O21" s="63"/>
      <c r="P21" s="63"/>
      <c r="Q21" s="63"/>
      <c r="R21" s="63"/>
      <c r="S21" s="63"/>
      <c r="T21" s="63"/>
      <c r="U21" s="63"/>
    </row>
    <row r="22" spans="1:21" ht="15" customHeight="1" x14ac:dyDescent="0.2">
      <c r="A22" s="83"/>
      <c r="B22" s="86"/>
      <c r="C22" s="86"/>
      <c r="D22" s="53"/>
      <c r="E22" s="85"/>
      <c r="F22" s="4"/>
      <c r="G22" s="89"/>
      <c r="H22" s="56"/>
      <c r="I22" s="56"/>
      <c r="J22" s="56"/>
      <c r="K22" s="63"/>
      <c r="L22" s="63"/>
      <c r="M22" s="63"/>
      <c r="N22" s="63"/>
      <c r="O22" s="63"/>
      <c r="P22" s="63"/>
      <c r="Q22" s="63"/>
      <c r="R22" s="63"/>
      <c r="S22" s="63"/>
      <c r="T22" s="63"/>
      <c r="U22" s="63"/>
    </row>
    <row r="23" spans="1:21" ht="15" customHeight="1" x14ac:dyDescent="0.2">
      <c r="A23" s="83"/>
      <c r="B23" s="86"/>
      <c r="C23" s="86"/>
      <c r="D23" s="53"/>
      <c r="E23" s="85"/>
      <c r="F23" s="4"/>
      <c r="G23" s="89"/>
      <c r="H23" s="56"/>
      <c r="I23" s="56"/>
      <c r="J23" s="56"/>
      <c r="K23" s="63"/>
      <c r="L23" s="63"/>
      <c r="M23" s="63"/>
      <c r="N23" s="63"/>
      <c r="O23" s="63"/>
      <c r="P23" s="63"/>
      <c r="Q23" s="63"/>
      <c r="R23" s="63"/>
      <c r="S23" s="63"/>
      <c r="T23" s="63"/>
      <c r="U23" s="63"/>
    </row>
    <row r="24" spans="1:21" ht="15" customHeight="1" x14ac:dyDescent="0.2">
      <c r="A24" s="83"/>
      <c r="B24" s="86"/>
      <c r="C24" s="86"/>
      <c r="D24" s="53"/>
      <c r="E24" s="85"/>
      <c r="F24" s="4"/>
      <c r="G24" s="89"/>
      <c r="H24" s="56"/>
      <c r="I24" s="56"/>
      <c r="J24" s="56"/>
      <c r="K24" s="63"/>
      <c r="L24" s="63"/>
      <c r="M24" s="63"/>
      <c r="N24" s="63"/>
      <c r="O24" s="63"/>
      <c r="P24" s="63"/>
      <c r="Q24" s="63"/>
      <c r="R24" s="63"/>
      <c r="S24" s="63"/>
      <c r="T24" s="63"/>
      <c r="U24" s="63"/>
    </row>
    <row r="25" spans="1:21" ht="15" customHeight="1" x14ac:dyDescent="0.2">
      <c r="A25" s="83"/>
      <c r="B25" s="86"/>
      <c r="C25" s="86"/>
      <c r="D25" s="53"/>
      <c r="E25" s="85"/>
      <c r="F25" s="4"/>
      <c r="G25" s="89"/>
      <c r="H25" s="56"/>
      <c r="I25" s="56"/>
      <c r="J25" s="56"/>
      <c r="K25" s="63"/>
      <c r="L25" s="63"/>
      <c r="M25" s="63"/>
      <c r="N25" s="63"/>
      <c r="O25" s="63"/>
      <c r="P25" s="63"/>
      <c r="Q25" s="63"/>
      <c r="R25" s="63"/>
      <c r="S25" s="63"/>
      <c r="T25" s="63"/>
      <c r="U25" s="63"/>
    </row>
    <row r="26" spans="1:21" ht="15" customHeight="1" x14ac:dyDescent="0.2">
      <c r="A26" s="83"/>
      <c r="B26" s="86"/>
      <c r="C26" s="86"/>
      <c r="D26" s="53"/>
      <c r="E26" s="85"/>
      <c r="F26" s="4"/>
      <c r="G26" s="89"/>
      <c r="H26" s="56"/>
      <c r="I26" s="56"/>
      <c r="J26" s="56"/>
      <c r="K26" s="63"/>
      <c r="L26" s="63"/>
      <c r="M26" s="63"/>
      <c r="N26" s="63"/>
      <c r="O26" s="63"/>
      <c r="P26" s="63"/>
      <c r="Q26" s="63"/>
      <c r="R26" s="63"/>
      <c r="S26" s="63"/>
      <c r="T26" s="63"/>
      <c r="U26" s="63"/>
    </row>
    <row r="27" spans="1:21" ht="15" customHeight="1" x14ac:dyDescent="0.2">
      <c r="A27" s="83"/>
      <c r="B27" s="86"/>
      <c r="C27" s="86"/>
      <c r="D27" s="53"/>
      <c r="E27" s="85"/>
      <c r="F27" s="4"/>
      <c r="G27" s="89"/>
      <c r="H27" s="56"/>
      <c r="I27" s="56"/>
      <c r="J27" s="56"/>
      <c r="K27" s="63"/>
      <c r="L27" s="63"/>
      <c r="M27" s="63"/>
      <c r="N27" s="63"/>
      <c r="O27" s="63"/>
      <c r="P27" s="63"/>
      <c r="Q27" s="63"/>
      <c r="R27" s="63"/>
      <c r="S27" s="63"/>
      <c r="T27" s="63"/>
      <c r="U27" s="63"/>
    </row>
    <row r="28" spans="1:21" ht="15" customHeight="1" x14ac:dyDescent="0.2">
      <c r="A28" s="83"/>
      <c r="B28" s="86"/>
      <c r="C28" s="86"/>
      <c r="D28" s="53"/>
      <c r="E28" s="85"/>
      <c r="F28" s="4"/>
      <c r="G28" s="89"/>
      <c r="H28" s="56"/>
      <c r="I28" s="56"/>
      <c r="J28" s="56"/>
      <c r="K28" s="63"/>
      <c r="L28" s="63"/>
      <c r="M28" s="63"/>
      <c r="N28" s="63"/>
      <c r="O28" s="63"/>
      <c r="P28" s="63"/>
      <c r="Q28" s="63"/>
      <c r="R28" s="63"/>
      <c r="S28" s="63"/>
      <c r="T28" s="63"/>
      <c r="U28" s="63"/>
    </row>
    <row r="29" spans="1:21" ht="15" customHeight="1" x14ac:dyDescent="0.2">
      <c r="A29" s="83"/>
      <c r="B29" s="86"/>
      <c r="C29" s="86"/>
      <c r="D29" s="53"/>
      <c r="E29" s="85"/>
      <c r="F29" s="4"/>
      <c r="G29" s="89"/>
      <c r="H29" s="56"/>
      <c r="I29" s="56"/>
      <c r="J29" s="56"/>
      <c r="K29" s="63"/>
      <c r="L29" s="63"/>
      <c r="M29" s="63"/>
      <c r="N29" s="63"/>
      <c r="O29" s="63"/>
      <c r="P29" s="63"/>
      <c r="Q29" s="63"/>
      <c r="R29" s="63"/>
      <c r="S29" s="63"/>
      <c r="T29" s="63"/>
      <c r="U29" s="63"/>
    </row>
    <row r="30" spans="1:21" ht="15" customHeight="1" x14ac:dyDescent="0.2">
      <c r="A30" s="83"/>
      <c r="B30" s="86"/>
      <c r="C30" s="86"/>
      <c r="D30" s="53"/>
      <c r="E30" s="85"/>
      <c r="F30" s="4"/>
      <c r="G30" s="89"/>
      <c r="H30" s="56"/>
      <c r="I30" s="56"/>
      <c r="J30" s="56"/>
      <c r="K30" s="63"/>
      <c r="L30" s="63"/>
      <c r="M30" s="63"/>
      <c r="N30" s="63"/>
      <c r="O30" s="63"/>
      <c r="P30" s="63"/>
      <c r="Q30" s="63"/>
      <c r="R30" s="63"/>
      <c r="S30" s="63"/>
      <c r="T30" s="63"/>
      <c r="U30" s="63"/>
    </row>
    <row r="31" spans="1:21" ht="15" customHeight="1" x14ac:dyDescent="0.2">
      <c r="A31" s="83"/>
      <c r="B31" s="86"/>
      <c r="C31" s="86"/>
      <c r="D31" s="53"/>
      <c r="E31" s="85"/>
      <c r="F31" s="4"/>
      <c r="G31" s="89"/>
      <c r="H31" s="56"/>
      <c r="I31" s="56"/>
      <c r="J31" s="56"/>
      <c r="K31" s="63"/>
      <c r="L31" s="63"/>
      <c r="M31" s="63"/>
      <c r="N31" s="63"/>
      <c r="O31" s="63"/>
      <c r="P31" s="63"/>
      <c r="Q31" s="63"/>
      <c r="R31" s="63"/>
      <c r="S31" s="63"/>
      <c r="T31" s="63"/>
      <c r="U31" s="63"/>
    </row>
    <row r="32" spans="1:21" ht="15" customHeight="1" x14ac:dyDescent="0.2">
      <c r="A32" s="83"/>
      <c r="B32" s="86"/>
      <c r="C32" s="86"/>
      <c r="D32" s="53"/>
      <c r="E32" s="85"/>
      <c r="F32" s="4"/>
      <c r="G32" s="89"/>
      <c r="H32" s="56"/>
      <c r="I32" s="56"/>
      <c r="J32" s="56"/>
      <c r="K32" s="63"/>
      <c r="L32" s="63"/>
      <c r="M32" s="63"/>
      <c r="N32" s="63"/>
      <c r="O32" s="63"/>
      <c r="P32" s="63"/>
      <c r="Q32" s="63"/>
      <c r="R32" s="63"/>
      <c r="S32" s="63"/>
      <c r="T32" s="63"/>
      <c r="U32" s="63"/>
    </row>
    <row r="33" spans="1:21" ht="15" customHeight="1" x14ac:dyDescent="0.2">
      <c r="A33" s="83"/>
      <c r="B33" s="86"/>
      <c r="C33" s="86"/>
      <c r="D33" s="53"/>
      <c r="E33" s="85"/>
      <c r="F33" s="4"/>
      <c r="G33" s="89"/>
      <c r="H33" s="56"/>
      <c r="I33" s="56"/>
      <c r="J33" s="56"/>
      <c r="K33" s="63"/>
      <c r="L33" s="63"/>
      <c r="M33" s="63"/>
      <c r="N33" s="63"/>
      <c r="O33" s="63"/>
      <c r="P33" s="63"/>
      <c r="Q33" s="63"/>
      <c r="R33" s="63"/>
      <c r="S33" s="63"/>
      <c r="T33" s="63"/>
      <c r="U33" s="63"/>
    </row>
    <row r="34" spans="1:21" ht="15" customHeight="1" x14ac:dyDescent="0.2">
      <c r="A34" s="83"/>
      <c r="B34" s="86"/>
      <c r="C34" s="86"/>
      <c r="D34" s="53"/>
      <c r="E34" s="85"/>
      <c r="F34" s="4"/>
      <c r="G34" s="89"/>
      <c r="H34" s="56"/>
      <c r="I34" s="56"/>
      <c r="J34" s="56"/>
      <c r="K34" s="63"/>
      <c r="L34" s="63"/>
      <c r="M34" s="63"/>
      <c r="N34" s="63"/>
      <c r="O34" s="63"/>
      <c r="P34" s="63"/>
      <c r="Q34" s="63"/>
      <c r="R34" s="63"/>
      <c r="S34" s="63"/>
      <c r="T34" s="63"/>
      <c r="U34" s="63"/>
    </row>
    <row r="35" spans="1:21" ht="15" customHeight="1" x14ac:dyDescent="0.2">
      <c r="A35" s="83"/>
      <c r="B35" s="86"/>
      <c r="C35" s="86"/>
      <c r="D35" s="53"/>
      <c r="E35" s="85"/>
      <c r="F35" s="4"/>
      <c r="G35" s="89"/>
      <c r="H35" s="56"/>
      <c r="I35" s="56"/>
      <c r="J35" s="56"/>
      <c r="K35" s="63"/>
      <c r="L35" s="63"/>
      <c r="M35" s="63"/>
      <c r="N35" s="63"/>
      <c r="O35" s="63"/>
      <c r="P35" s="63"/>
      <c r="Q35" s="63"/>
      <c r="R35" s="63"/>
      <c r="S35" s="63"/>
      <c r="T35" s="63"/>
      <c r="U35" s="63"/>
    </row>
    <row r="36" spans="1:21" ht="15" customHeight="1" x14ac:dyDescent="0.2">
      <c r="A36" s="83"/>
      <c r="B36" s="86"/>
      <c r="C36" s="86"/>
      <c r="D36" s="53"/>
      <c r="E36" s="85"/>
      <c r="F36" s="4"/>
      <c r="G36" s="89"/>
      <c r="H36" s="56"/>
      <c r="I36" s="56"/>
      <c r="J36" s="56"/>
      <c r="K36" s="63"/>
      <c r="L36" s="63"/>
      <c r="M36" s="63"/>
      <c r="N36" s="63"/>
      <c r="O36" s="63"/>
      <c r="P36" s="63"/>
      <c r="Q36" s="63"/>
      <c r="R36" s="63"/>
      <c r="S36" s="63"/>
      <c r="T36" s="63"/>
      <c r="U36" s="63"/>
    </row>
    <row r="37" spans="1:21" ht="15" customHeight="1" x14ac:dyDescent="0.2">
      <c r="A37" s="83"/>
      <c r="B37" s="86"/>
      <c r="C37" s="86"/>
      <c r="D37" s="53"/>
      <c r="E37" s="85"/>
      <c r="F37" s="4"/>
      <c r="G37" s="89"/>
      <c r="H37" s="56"/>
      <c r="I37" s="56"/>
      <c r="J37" s="56"/>
      <c r="K37" s="63"/>
      <c r="L37" s="63"/>
      <c r="M37" s="63"/>
      <c r="N37" s="63"/>
      <c r="O37" s="63"/>
      <c r="P37" s="63"/>
      <c r="Q37" s="63"/>
      <c r="R37" s="63"/>
      <c r="S37" s="63"/>
      <c r="T37" s="63"/>
      <c r="U37" s="63"/>
    </row>
    <row r="38" spans="1:21" ht="15" customHeight="1" x14ac:dyDescent="0.2">
      <c r="A38" s="83"/>
      <c r="B38" s="86"/>
      <c r="C38" s="86"/>
      <c r="D38" s="53"/>
      <c r="E38" s="85"/>
      <c r="F38" s="4"/>
      <c r="G38" s="89"/>
      <c r="H38" s="56"/>
      <c r="I38" s="56"/>
      <c r="J38" s="56"/>
      <c r="K38" s="63"/>
      <c r="L38" s="63"/>
      <c r="M38" s="63"/>
      <c r="N38" s="63"/>
      <c r="O38" s="63"/>
      <c r="P38" s="63"/>
      <c r="Q38" s="63"/>
      <c r="R38" s="63"/>
      <c r="S38" s="63"/>
      <c r="T38" s="63"/>
      <c r="U38" s="63"/>
    </row>
    <row r="39" spans="1:21" ht="15" customHeight="1" x14ac:dyDescent="0.2">
      <c r="A39" s="83"/>
      <c r="B39" s="86"/>
      <c r="C39" s="86"/>
      <c r="D39" s="53"/>
      <c r="E39" s="85"/>
      <c r="F39" s="4"/>
      <c r="G39" s="89"/>
      <c r="H39" s="56"/>
      <c r="I39" s="56"/>
      <c r="J39" s="56"/>
      <c r="K39" s="63"/>
      <c r="L39" s="63"/>
      <c r="M39" s="63"/>
      <c r="N39" s="63"/>
      <c r="O39" s="63"/>
      <c r="P39" s="63"/>
      <c r="Q39" s="63"/>
      <c r="R39" s="63"/>
      <c r="S39" s="63"/>
      <c r="T39" s="63"/>
      <c r="U39" s="63"/>
    </row>
    <row r="40" spans="1:21" ht="15" customHeight="1" x14ac:dyDescent="0.2">
      <c r="A40" s="83"/>
      <c r="B40" s="86"/>
      <c r="C40" s="86"/>
      <c r="D40" s="53"/>
      <c r="E40" s="85"/>
      <c r="F40" s="4"/>
      <c r="G40" s="89"/>
      <c r="H40" s="56"/>
      <c r="I40" s="56"/>
      <c r="J40" s="56"/>
      <c r="K40" s="63"/>
      <c r="L40" s="63"/>
      <c r="M40" s="63"/>
      <c r="N40" s="63"/>
      <c r="O40" s="63"/>
      <c r="P40" s="63"/>
      <c r="Q40" s="63"/>
      <c r="R40" s="63"/>
      <c r="S40" s="63"/>
      <c r="T40" s="63"/>
      <c r="U40" s="63"/>
    </row>
    <row r="41" spans="1:21" ht="15" customHeight="1" x14ac:dyDescent="0.2">
      <c r="A41" s="83"/>
      <c r="B41" s="86"/>
      <c r="C41" s="86"/>
      <c r="D41" s="53"/>
      <c r="E41" s="85"/>
      <c r="F41" s="4"/>
      <c r="G41" s="89"/>
      <c r="H41" s="56"/>
      <c r="I41" s="56"/>
      <c r="J41" s="56"/>
      <c r="K41" s="63"/>
      <c r="L41" s="63"/>
      <c r="M41" s="63"/>
      <c r="N41" s="63"/>
      <c r="O41" s="63"/>
      <c r="P41" s="63"/>
      <c r="Q41" s="63"/>
      <c r="R41" s="63"/>
      <c r="S41" s="63"/>
      <c r="T41" s="63"/>
      <c r="U41" s="63"/>
    </row>
    <row r="42" spans="1:21" ht="15" customHeight="1" x14ac:dyDescent="0.2">
      <c r="A42" s="83"/>
      <c r="B42" s="86"/>
      <c r="C42" s="86"/>
      <c r="D42" s="53"/>
      <c r="E42" s="85"/>
      <c r="F42" s="4"/>
      <c r="G42" s="89"/>
      <c r="H42" s="56"/>
      <c r="I42" s="56"/>
      <c r="J42" s="56"/>
      <c r="K42" s="63"/>
      <c r="L42" s="63"/>
      <c r="M42" s="63"/>
      <c r="N42" s="63"/>
      <c r="O42" s="63"/>
      <c r="P42" s="63"/>
      <c r="Q42" s="63"/>
      <c r="R42" s="63"/>
      <c r="S42" s="63"/>
      <c r="T42" s="63"/>
      <c r="U42" s="63"/>
    </row>
    <row r="43" spans="1:21" ht="15" customHeight="1" x14ac:dyDescent="0.2">
      <c r="A43" s="83"/>
      <c r="B43" s="86"/>
      <c r="C43" s="86"/>
      <c r="D43" s="53"/>
      <c r="E43" s="85"/>
      <c r="F43" s="4"/>
      <c r="G43" s="89"/>
      <c r="H43" s="56"/>
      <c r="I43" s="56"/>
      <c r="J43" s="56"/>
      <c r="K43" s="63"/>
      <c r="L43" s="63"/>
      <c r="M43" s="63"/>
      <c r="N43" s="63"/>
      <c r="O43" s="63"/>
      <c r="P43" s="63"/>
      <c r="Q43" s="63"/>
      <c r="R43" s="63"/>
      <c r="S43" s="63"/>
      <c r="T43" s="63"/>
      <c r="U43" s="63"/>
    </row>
    <row r="44" spans="1:21" ht="15" customHeight="1" x14ac:dyDescent="0.2">
      <c r="A44" s="83"/>
      <c r="B44" s="86"/>
      <c r="C44" s="86"/>
      <c r="D44" s="53"/>
      <c r="E44" s="85"/>
      <c r="F44" s="4"/>
      <c r="G44" s="89"/>
      <c r="H44" s="56"/>
      <c r="I44" s="56"/>
      <c r="J44" s="56"/>
      <c r="K44" s="63"/>
      <c r="L44" s="63"/>
      <c r="M44" s="63"/>
      <c r="N44" s="63"/>
      <c r="O44" s="63"/>
      <c r="P44" s="63"/>
      <c r="Q44" s="63"/>
      <c r="R44" s="63"/>
      <c r="S44" s="63"/>
      <c r="T44" s="63"/>
      <c r="U44" s="63"/>
    </row>
    <row r="45" spans="1:21" ht="15" customHeight="1" x14ac:dyDescent="0.2">
      <c r="A45" s="83"/>
      <c r="B45" s="86"/>
      <c r="C45" s="86"/>
      <c r="D45" s="53"/>
      <c r="E45" s="85"/>
      <c r="F45" s="4"/>
      <c r="G45" s="89"/>
      <c r="H45" s="56"/>
      <c r="I45" s="56"/>
      <c r="J45" s="56"/>
      <c r="K45" s="63"/>
      <c r="L45" s="63"/>
      <c r="M45" s="63"/>
      <c r="N45" s="63"/>
      <c r="O45" s="63"/>
      <c r="P45" s="63"/>
      <c r="Q45" s="63"/>
      <c r="R45" s="63"/>
      <c r="S45" s="63"/>
      <c r="T45" s="63"/>
      <c r="U45" s="63"/>
    </row>
    <row r="46" spans="1:21" ht="15" customHeight="1" x14ac:dyDescent="0.2">
      <c r="A46" s="83"/>
      <c r="B46" s="86"/>
      <c r="C46" s="86"/>
      <c r="D46" s="53"/>
      <c r="E46" s="85"/>
      <c r="F46" s="4"/>
      <c r="G46" s="89"/>
      <c r="H46" s="56"/>
      <c r="I46" s="56"/>
      <c r="J46" s="56"/>
      <c r="K46" s="63"/>
      <c r="L46" s="63"/>
      <c r="M46" s="63"/>
      <c r="N46" s="63"/>
      <c r="O46" s="63"/>
      <c r="P46" s="63"/>
      <c r="Q46" s="63"/>
      <c r="R46" s="63"/>
      <c r="S46" s="63"/>
      <c r="T46" s="63"/>
      <c r="U46" s="63"/>
    </row>
    <row r="47" spans="1:21" ht="15" customHeight="1" x14ac:dyDescent="0.2">
      <c r="A47" s="83"/>
      <c r="B47" s="86"/>
      <c r="C47" s="86"/>
      <c r="D47" s="53"/>
      <c r="E47" s="85"/>
      <c r="F47" s="4"/>
      <c r="G47" s="89"/>
      <c r="H47" s="56"/>
      <c r="I47" s="56"/>
      <c r="J47" s="56"/>
      <c r="K47" s="63"/>
      <c r="L47" s="63"/>
      <c r="M47" s="63"/>
      <c r="N47" s="63"/>
      <c r="O47" s="63"/>
      <c r="P47" s="63"/>
      <c r="Q47" s="63"/>
      <c r="R47" s="63"/>
      <c r="S47" s="63"/>
      <c r="T47" s="63"/>
      <c r="U47" s="63"/>
    </row>
    <row r="48" spans="1:21" ht="15" customHeight="1" x14ac:dyDescent="0.2">
      <c r="A48" s="83"/>
      <c r="B48" s="86"/>
      <c r="C48" s="86"/>
      <c r="D48" s="53"/>
      <c r="E48" s="85"/>
      <c r="F48" s="4"/>
      <c r="G48" s="89"/>
      <c r="H48" s="56"/>
      <c r="I48" s="56"/>
      <c r="J48" s="56"/>
      <c r="K48" s="63"/>
      <c r="L48" s="63"/>
      <c r="M48" s="63"/>
      <c r="N48" s="63"/>
      <c r="O48" s="63"/>
      <c r="P48" s="63"/>
      <c r="Q48" s="63"/>
      <c r="R48" s="63"/>
      <c r="S48" s="63"/>
      <c r="T48" s="63"/>
      <c r="U48" s="63"/>
    </row>
    <row r="49" spans="1:21" ht="15" customHeight="1" x14ac:dyDescent="0.2">
      <c r="A49" s="83"/>
      <c r="B49" s="86"/>
      <c r="C49" s="86"/>
      <c r="D49" s="53"/>
      <c r="E49" s="85"/>
      <c r="F49" s="4"/>
      <c r="G49" s="89"/>
      <c r="H49" s="56"/>
      <c r="I49" s="56"/>
      <c r="J49" s="56"/>
      <c r="K49" s="63"/>
      <c r="L49" s="63"/>
      <c r="M49" s="63"/>
      <c r="N49" s="63"/>
      <c r="O49" s="63"/>
      <c r="P49" s="63"/>
      <c r="Q49" s="63"/>
      <c r="R49" s="63"/>
      <c r="S49" s="63"/>
      <c r="T49" s="63"/>
      <c r="U49" s="63"/>
    </row>
    <row r="50" spans="1:21" ht="15" customHeight="1" x14ac:dyDescent="0.2">
      <c r="A50" s="83"/>
      <c r="B50" s="86"/>
      <c r="C50" s="86"/>
      <c r="D50" s="53"/>
      <c r="E50" s="85"/>
      <c r="F50" s="4"/>
      <c r="G50" s="89"/>
      <c r="H50" s="56"/>
      <c r="I50" s="56"/>
      <c r="J50" s="56"/>
      <c r="K50" s="63"/>
      <c r="L50" s="63"/>
      <c r="M50" s="63"/>
      <c r="N50" s="63"/>
      <c r="O50" s="63"/>
      <c r="P50" s="63"/>
      <c r="Q50" s="63"/>
      <c r="R50" s="63"/>
      <c r="S50" s="63"/>
      <c r="T50" s="63"/>
      <c r="U50" s="63"/>
    </row>
    <row r="51" spans="1:21" ht="15" customHeight="1" x14ac:dyDescent="0.2">
      <c r="A51" s="83"/>
      <c r="B51" s="86"/>
      <c r="C51" s="86"/>
      <c r="D51" s="53"/>
      <c r="E51" s="85"/>
      <c r="F51" s="4"/>
      <c r="G51" s="89"/>
      <c r="H51" s="56"/>
      <c r="I51" s="56"/>
      <c r="J51" s="56"/>
      <c r="K51" s="63"/>
      <c r="L51" s="63"/>
      <c r="M51" s="63"/>
      <c r="N51" s="63"/>
      <c r="O51" s="63"/>
      <c r="P51" s="63"/>
      <c r="Q51" s="63"/>
      <c r="R51" s="63"/>
      <c r="S51" s="63"/>
      <c r="T51" s="63"/>
      <c r="U51" s="63"/>
    </row>
    <row r="52" spans="1:21" ht="15" customHeight="1" x14ac:dyDescent="0.2">
      <c r="A52" s="83"/>
      <c r="B52" s="86"/>
      <c r="C52" s="86"/>
      <c r="D52" s="53"/>
      <c r="E52" s="85"/>
      <c r="F52" s="4"/>
      <c r="G52" s="89"/>
      <c r="H52" s="56"/>
      <c r="I52" s="56"/>
      <c r="J52" s="56"/>
      <c r="K52" s="63"/>
      <c r="L52" s="63"/>
      <c r="M52" s="63"/>
      <c r="N52" s="63"/>
      <c r="O52" s="63"/>
      <c r="P52" s="63"/>
      <c r="Q52" s="63"/>
      <c r="R52" s="63"/>
      <c r="S52" s="63"/>
      <c r="T52" s="63"/>
      <c r="U52" s="63"/>
    </row>
    <row r="53" spans="1:21" ht="15" customHeight="1" x14ac:dyDescent="0.2">
      <c r="A53" s="83"/>
      <c r="B53" s="86"/>
      <c r="C53" s="86"/>
      <c r="D53" s="53"/>
      <c r="E53" s="85"/>
      <c r="F53" s="4"/>
      <c r="G53" s="89"/>
      <c r="H53" s="56"/>
      <c r="I53" s="56"/>
      <c r="J53" s="56"/>
      <c r="K53" s="63"/>
      <c r="L53" s="63"/>
      <c r="M53" s="63"/>
      <c r="N53" s="63"/>
      <c r="O53" s="63"/>
      <c r="P53" s="63"/>
      <c r="Q53" s="63"/>
      <c r="R53" s="63"/>
      <c r="S53" s="63"/>
      <c r="T53" s="63"/>
      <c r="U53" s="63"/>
    </row>
    <row r="54" spans="1:21" ht="15" customHeight="1" x14ac:dyDescent="0.2">
      <c r="A54" s="83"/>
      <c r="B54" s="86"/>
      <c r="C54" s="86"/>
      <c r="D54" s="53"/>
      <c r="E54" s="85"/>
      <c r="F54" s="4"/>
      <c r="G54" s="89"/>
      <c r="H54" s="56"/>
      <c r="I54" s="56"/>
      <c r="J54" s="56"/>
      <c r="K54" s="63"/>
      <c r="L54" s="63"/>
      <c r="M54" s="63"/>
      <c r="N54" s="63"/>
      <c r="O54" s="63"/>
      <c r="P54" s="63"/>
      <c r="Q54" s="63"/>
      <c r="R54" s="63"/>
      <c r="S54" s="63"/>
      <c r="T54" s="63"/>
      <c r="U54" s="63"/>
    </row>
    <row r="55" spans="1:21" ht="15" customHeight="1" x14ac:dyDescent="0.2">
      <c r="A55" s="83"/>
      <c r="B55" s="86"/>
      <c r="C55" s="86"/>
      <c r="D55" s="53"/>
      <c r="E55" s="85"/>
      <c r="F55" s="4"/>
      <c r="G55" s="89"/>
      <c r="H55" s="56"/>
      <c r="I55" s="56"/>
      <c r="J55" s="56"/>
      <c r="K55" s="63"/>
      <c r="L55" s="63"/>
      <c r="M55" s="63"/>
      <c r="N55" s="63"/>
      <c r="O55" s="63"/>
      <c r="P55" s="63"/>
      <c r="Q55" s="63"/>
      <c r="R55" s="63"/>
      <c r="S55" s="63"/>
      <c r="T55" s="63"/>
      <c r="U55" s="63"/>
    </row>
    <row r="56" spans="1:21" ht="15" customHeight="1" x14ac:dyDescent="0.2">
      <c r="A56" s="83"/>
      <c r="B56" s="86"/>
      <c r="C56" s="86"/>
      <c r="D56" s="53"/>
      <c r="E56" s="85"/>
      <c r="F56" s="4"/>
      <c r="G56" s="89"/>
      <c r="H56" s="56"/>
      <c r="I56" s="56"/>
      <c r="J56" s="56"/>
      <c r="K56" s="63"/>
      <c r="L56" s="63"/>
      <c r="M56" s="63"/>
      <c r="N56" s="63"/>
      <c r="O56" s="63"/>
      <c r="P56" s="63"/>
      <c r="Q56" s="63"/>
      <c r="R56" s="63"/>
      <c r="S56" s="63"/>
      <c r="T56" s="63"/>
      <c r="U56" s="63"/>
    </row>
    <row r="57" spans="1:21" ht="15" customHeight="1" x14ac:dyDescent="0.2">
      <c r="A57" s="83"/>
      <c r="B57" s="86"/>
      <c r="C57" s="86"/>
      <c r="D57" s="53"/>
      <c r="E57" s="85"/>
      <c r="F57" s="4"/>
      <c r="G57" s="89"/>
      <c r="H57" s="56"/>
      <c r="I57" s="56"/>
      <c r="J57" s="56"/>
      <c r="K57" s="63"/>
      <c r="L57" s="63"/>
      <c r="M57" s="63"/>
      <c r="N57" s="63"/>
      <c r="O57" s="63"/>
      <c r="P57" s="63"/>
      <c r="Q57" s="63"/>
      <c r="R57" s="63"/>
      <c r="S57" s="63"/>
      <c r="T57" s="63"/>
      <c r="U57" s="63"/>
    </row>
    <row r="58" spans="1:21" ht="15" customHeight="1" x14ac:dyDescent="0.2">
      <c r="A58" s="83"/>
      <c r="B58" s="86"/>
      <c r="C58" s="86"/>
      <c r="D58" s="53"/>
      <c r="E58" s="85"/>
      <c r="F58" s="4"/>
      <c r="G58" s="89"/>
      <c r="H58" s="56"/>
      <c r="I58" s="56"/>
      <c r="J58" s="56"/>
      <c r="K58" s="63"/>
      <c r="L58" s="63"/>
      <c r="M58" s="63"/>
      <c r="N58" s="63"/>
      <c r="O58" s="63"/>
      <c r="P58" s="63"/>
      <c r="Q58" s="63"/>
      <c r="R58" s="63"/>
      <c r="S58" s="63"/>
      <c r="T58" s="63"/>
      <c r="U58" s="63"/>
    </row>
    <row r="59" spans="1:21" ht="15" customHeight="1" x14ac:dyDescent="0.2">
      <c r="A59" s="83"/>
      <c r="B59" s="86"/>
      <c r="C59" s="86"/>
      <c r="D59" s="53"/>
      <c r="E59" s="85"/>
      <c r="F59" s="4"/>
      <c r="G59" s="89"/>
      <c r="H59" s="56"/>
      <c r="I59" s="56"/>
      <c r="J59" s="56"/>
      <c r="K59" s="63"/>
      <c r="L59" s="63"/>
      <c r="M59" s="63"/>
      <c r="N59" s="63"/>
      <c r="O59" s="63"/>
      <c r="P59" s="63"/>
      <c r="Q59" s="63"/>
      <c r="R59" s="63"/>
      <c r="S59" s="63"/>
      <c r="T59" s="63"/>
      <c r="U59" s="63"/>
    </row>
  </sheetData>
  <phoneticPr fontId="21" type="noConversion"/>
  <conditionalFormatting sqref="F1:F1048576">
    <cfRule type="cellIs" dxfId="16" priority="2" stopIfTrue="1" operator="equal">
      <formula>"N"</formula>
    </cfRule>
  </conditionalFormatting>
  <conditionalFormatting sqref="F1:F1048576">
    <cfRule type="cellIs" dxfId="15" priority="3" stopIfTrue="1" operator="equal">
      <formula>"Y"</formula>
    </cfRule>
  </conditionalFormatting>
  <conditionalFormatting sqref="B1:C1048576">
    <cfRule type="cellIs" dxfId="14" priority="4" stopIfTrue="1" operator="equal">
      <formula>"Outport"</formula>
    </cfRule>
  </conditionalFormatting>
  <conditionalFormatting sqref="B1:C1048576">
    <cfRule type="cellIs" dxfId="13" priority="5" stopIfTrue="1" operator="equal">
      <formula>"Inport"</formula>
    </cfRule>
  </conditionalFormatting>
  <dataValidations count="5">
    <dataValidation type="list" allowBlank="1" showErrorMessage="1" sqref="B1:B59">
      <formula1>"Inport,Outport"</formula1>
    </dataValidation>
    <dataValidation type="list" allowBlank="1" showErrorMessage="1" sqref="H2:H59">
      <formula1>"Explict,Implict"</formula1>
    </dataValidation>
    <dataValidation type="list" allowBlank="1" showErrorMessage="1" sqref="K2:K59">
      <formula1>"Network,Actuator,Sensor,NVM,TiMgr,Internal,Diag,Communication,ModCtrl"</formula1>
    </dataValidation>
    <dataValidation type="list" allowBlank="1" showErrorMessage="1" sqref="I2:I20 M2:M20">
      <formula1>"Y,N"</formula1>
    </dataValidation>
    <dataValidation type="list" allowBlank="1" showErrorMessage="1" sqref="C2:C20">
      <formula1>"S/R,C/S"</formula1>
    </dataValidation>
  </dataValidations>
  <pageMargins left="0.7" right="0.7" top="0.75" bottom="0.75" header="0.3" footer="0.3"/>
  <pageSetup paperSize="9" orientation="portrait"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341"/>
  <sheetViews>
    <sheetView workbookViewId="0">
      <pane ySplit="1" topLeftCell="A2" activePane="bottomLeft" state="frozen"/>
      <selection pane="bottomLeft"/>
    </sheetView>
  </sheetViews>
  <sheetFormatPr defaultColWidth="14" defaultRowHeight="12.75" x14ac:dyDescent="0.2"/>
  <cols>
    <col min="1" max="1" width="52" customWidth="1"/>
    <col min="2" max="2" width="11" customWidth="1"/>
    <col min="3" max="3" width="43" customWidth="1"/>
    <col min="4" max="4" width="29" customWidth="1"/>
    <col min="5" max="5" width="15" customWidth="1"/>
    <col min="6" max="6" width="19" customWidth="1"/>
    <col min="7" max="7" width="91" customWidth="1"/>
    <col min="8" max="13" width="12" customWidth="1"/>
    <col min="14" max="20" width="9" customWidth="1"/>
  </cols>
  <sheetData>
    <row r="1" spans="1:20" ht="15" customHeight="1" x14ac:dyDescent="0.2">
      <c r="A1" s="245" t="s">
        <v>472</v>
      </c>
      <c r="B1" s="243" t="s">
        <v>473</v>
      </c>
      <c r="C1" s="243" t="s">
        <v>474</v>
      </c>
      <c r="D1" s="243" t="s">
        <v>475</v>
      </c>
      <c r="E1" s="247" t="s">
        <v>476</v>
      </c>
      <c r="F1" s="243" t="s">
        <v>477</v>
      </c>
      <c r="G1" s="246" t="s">
        <v>152</v>
      </c>
      <c r="H1" s="244" t="s">
        <v>478</v>
      </c>
      <c r="I1" s="244" t="s">
        <v>479</v>
      </c>
      <c r="J1" s="244" t="s">
        <v>480</v>
      </c>
      <c r="K1" s="244" t="s">
        <v>481</v>
      </c>
      <c r="L1" s="143" t="s">
        <v>482</v>
      </c>
      <c r="M1" s="143" t="s">
        <v>483</v>
      </c>
      <c r="N1" s="140"/>
      <c r="O1" s="140"/>
      <c r="P1" s="140"/>
      <c r="Q1" s="140"/>
      <c r="R1" s="140"/>
      <c r="S1" s="140"/>
      <c r="T1" s="140"/>
    </row>
    <row r="2" spans="1:20" ht="15" customHeight="1" x14ac:dyDescent="0.2">
      <c r="A2" s="229" t="s">
        <v>2842</v>
      </c>
      <c r="B2" s="235" t="str">
        <f>IF(ISBLANK(A2),"",IF(AND(ISNA(VLOOKUP(A2,Interface_T1GC!E:E,1,FALSE())),ISNA(VLOOKUP(A2,D:D,1,FALSE()))),"N","Y"))</f>
        <v>Y</v>
      </c>
      <c r="C2" s="157"/>
      <c r="D2" s="235" t="s">
        <v>484</v>
      </c>
      <c r="E2" s="157"/>
      <c r="F2" s="235" t="str">
        <f>IF(AND(ISNA(VLOOKUP(D2,A:A,1,FALSE())),ISNA(VLOOKUP(D2,BaseType!A:A,1,FALSE())),D2&lt;&gt;"Struct"),"N","Y")</f>
        <v>Y</v>
      </c>
      <c r="G2" s="183"/>
      <c r="H2" s="157"/>
      <c r="I2" s="157"/>
      <c r="J2" s="157"/>
      <c r="K2" s="157"/>
      <c r="L2" s="235"/>
      <c r="M2" s="235"/>
      <c r="N2" s="236"/>
      <c r="O2" s="236"/>
      <c r="P2" s="236"/>
      <c r="Q2" s="236"/>
      <c r="R2" s="236"/>
      <c r="S2" s="236"/>
      <c r="T2" s="236"/>
    </row>
    <row r="3" spans="1:20" ht="15" customHeight="1" x14ac:dyDescent="0.2">
      <c r="A3" s="229"/>
      <c r="B3" s="235" t="str">
        <f>IF(ISBLANK(A3),"",IF(AND(ISNA(VLOOKUP(A3,Interface_T1GC!E:E,1,FALSE())),ISNA(VLOOKUP(A3,D:D,1,FALSE()))),"N","Y"))</f>
        <v/>
      </c>
      <c r="C3" s="235" t="s">
        <v>2872</v>
      </c>
      <c r="D3" s="235" t="s">
        <v>2873</v>
      </c>
      <c r="E3" s="235">
        <v>1</v>
      </c>
      <c r="F3" s="235" t="str">
        <f>IF(AND(ISNA(VLOOKUP(D3,A:A,1,FALSE())),ISNA(VLOOKUP(D3,BaseType!A:A,1,FALSE())),D3&lt;&gt;"Struct"),"N","Y")</f>
        <v>Y</v>
      </c>
      <c r="G3" s="183" t="s">
        <v>2874</v>
      </c>
      <c r="H3" s="157"/>
      <c r="I3" s="157"/>
      <c r="J3" s="157"/>
      <c r="K3" s="157"/>
      <c r="L3" s="235"/>
      <c r="M3" s="235"/>
      <c r="N3" s="236"/>
      <c r="O3" s="236"/>
      <c r="P3" s="236"/>
      <c r="Q3" s="236"/>
      <c r="R3" s="236"/>
      <c r="S3" s="236"/>
      <c r="T3" s="236"/>
    </row>
    <row r="4" spans="1:20" ht="15" customHeight="1" x14ac:dyDescent="0.2">
      <c r="A4" s="229"/>
      <c r="B4" s="235" t="str">
        <f>IF(ISBLANK(A4),"",IF(AND(ISNA(VLOOKUP(A4,Interface_T1GC!E:E,1,FALSE())),ISNA(VLOOKUP(A4,D:D,1,FALSE()))),"N","Y"))</f>
        <v/>
      </c>
      <c r="C4" s="235" t="s">
        <v>2875</v>
      </c>
      <c r="D4" s="235" t="s">
        <v>2876</v>
      </c>
      <c r="E4" s="235">
        <v>1</v>
      </c>
      <c r="F4" s="235" t="str">
        <f>IF(AND(ISNA(VLOOKUP(D4,A:A,1,FALSE())),ISNA(VLOOKUP(D4,BaseType!A:A,1,FALSE())),D4&lt;&gt;"Struct"),"N","Y")</f>
        <v>Y</v>
      </c>
      <c r="G4" s="183" t="s">
        <v>2877</v>
      </c>
      <c r="H4" s="157"/>
      <c r="I4" s="157"/>
      <c r="J4" s="157"/>
      <c r="K4" s="157"/>
      <c r="L4" s="235"/>
      <c r="M4" s="235"/>
      <c r="N4" s="236"/>
      <c r="O4" s="236"/>
      <c r="P4" s="236"/>
      <c r="Q4" s="236"/>
      <c r="R4" s="236"/>
      <c r="S4" s="236"/>
      <c r="T4" s="236"/>
    </row>
    <row r="5" spans="1:20" ht="15" customHeight="1" x14ac:dyDescent="0.2">
      <c r="A5" s="229"/>
      <c r="B5" s="235" t="str">
        <f>IF(ISBLANK(A5),"",IF(AND(ISNA(VLOOKUP(A5,Interface_T1GC!E:E,1,FALSE())),ISNA(VLOOKUP(A5,D:D,1,FALSE()))),"N","Y"))</f>
        <v/>
      </c>
      <c r="C5" s="235" t="s">
        <v>2878</v>
      </c>
      <c r="D5" s="235" t="s">
        <v>2879</v>
      </c>
      <c r="E5" s="235">
        <v>1</v>
      </c>
      <c r="F5" s="235" t="str">
        <f>IF(AND(ISNA(VLOOKUP(D5,A:A,1,FALSE())),ISNA(VLOOKUP(D5,BaseType!A:A,1,FALSE())),D5&lt;&gt;"Struct"),"N","Y")</f>
        <v>Y</v>
      </c>
      <c r="G5" s="183" t="s">
        <v>2880</v>
      </c>
      <c r="H5" s="157"/>
      <c r="I5" s="157"/>
      <c r="J5" s="157"/>
      <c r="K5" s="157"/>
      <c r="L5" s="235"/>
      <c r="M5" s="235"/>
      <c r="N5" s="236"/>
      <c r="O5" s="236"/>
      <c r="P5" s="236"/>
      <c r="Q5" s="236"/>
      <c r="R5" s="236"/>
      <c r="S5" s="236"/>
      <c r="T5" s="236"/>
    </row>
    <row r="6" spans="1:20" ht="15" customHeight="1" x14ac:dyDescent="0.2">
      <c r="A6" s="229"/>
      <c r="B6" s="235" t="str">
        <f>IF(ISBLANK(A6),"",IF(AND(ISNA(VLOOKUP(A6,Interface_T1GC!E:E,1,FALSE())),ISNA(VLOOKUP(A6,D:D,1,FALSE()))),"N","Y"))</f>
        <v/>
      </c>
      <c r="C6" s="235" t="s">
        <v>2881</v>
      </c>
      <c r="D6" s="235" t="s">
        <v>2882</v>
      </c>
      <c r="E6" s="235">
        <v>1</v>
      </c>
      <c r="F6" s="235" t="str">
        <f>IF(AND(ISNA(VLOOKUP(D6,A:A,1,FALSE())),ISNA(VLOOKUP(D6,BaseType!A:A,1,FALSE())),D6&lt;&gt;"Struct"),"N","Y")</f>
        <v>Y</v>
      </c>
      <c r="G6" s="183" t="s">
        <v>2883</v>
      </c>
      <c r="H6" s="157"/>
      <c r="I6" s="157"/>
      <c r="J6" s="157"/>
      <c r="K6" s="157"/>
      <c r="L6" s="235"/>
      <c r="M6" s="235"/>
      <c r="N6" s="236"/>
      <c r="O6" s="236"/>
      <c r="P6" s="236"/>
      <c r="Q6" s="236"/>
      <c r="R6" s="236"/>
      <c r="S6" s="236"/>
      <c r="T6" s="236"/>
    </row>
    <row r="7" spans="1:20" ht="15" customHeight="1" x14ac:dyDescent="0.2">
      <c r="A7" s="229"/>
      <c r="B7" s="235" t="str">
        <f>IF(ISBLANK(A7),"",IF(AND(ISNA(VLOOKUP(A7,Interface_T1GC!E:E,1,FALSE())),ISNA(VLOOKUP(A7,D:D,1,FALSE()))),"N","Y"))</f>
        <v/>
      </c>
      <c r="C7" s="235" t="s">
        <v>2884</v>
      </c>
      <c r="D7" s="235" t="s">
        <v>2885</v>
      </c>
      <c r="E7" s="235">
        <v>1</v>
      </c>
      <c r="F7" s="235" t="str">
        <f>IF(AND(ISNA(VLOOKUP(D7,A:A,1,FALSE())),ISNA(VLOOKUP(D7,BaseType!A:A,1,FALSE())),D7&lt;&gt;"Struct"),"N","Y")</f>
        <v>Y</v>
      </c>
      <c r="G7" s="183" t="s">
        <v>2886</v>
      </c>
      <c r="H7" s="157"/>
      <c r="I7" s="157"/>
      <c r="J7" s="157"/>
      <c r="K7" s="157"/>
      <c r="L7" s="235"/>
      <c r="M7" s="235"/>
      <c r="N7" s="236"/>
      <c r="O7" s="236"/>
      <c r="P7" s="236"/>
      <c r="Q7" s="236"/>
      <c r="R7" s="236"/>
      <c r="S7" s="236"/>
      <c r="T7" s="236"/>
    </row>
    <row r="8" spans="1:20" ht="15" customHeight="1" x14ac:dyDescent="0.2">
      <c r="A8" s="229" t="s">
        <v>2873</v>
      </c>
      <c r="B8" s="235" t="str">
        <f>IF(ISBLANK(A8),"",IF(AND(ISNA(VLOOKUP(A8,Interface_T1GC!E:E,1,FALSE())),ISNA(VLOOKUP(A8,D:D,1,FALSE()))),"N","Y"))</f>
        <v>Y</v>
      </c>
      <c r="C8" s="235"/>
      <c r="D8" s="235" t="s">
        <v>484</v>
      </c>
      <c r="E8" s="235"/>
      <c r="F8" s="235" t="str">
        <f>IF(AND(ISNA(VLOOKUP(D8,A:A,1,FALSE())),ISNA(VLOOKUP(D8,BaseType!A:A,1,FALSE())),D8&lt;&gt;"Struct"),"N","Y")</f>
        <v>Y</v>
      </c>
      <c r="G8" s="183"/>
      <c r="H8" s="157"/>
      <c r="I8" s="157"/>
      <c r="J8" s="157"/>
      <c r="K8" s="157"/>
      <c r="L8" s="235"/>
      <c r="M8" s="235"/>
      <c r="N8" s="236"/>
      <c r="O8" s="236"/>
      <c r="P8" s="236"/>
      <c r="Q8" s="236"/>
      <c r="R8" s="236"/>
      <c r="S8" s="236"/>
      <c r="T8" s="236"/>
    </row>
    <row r="9" spans="1:20" ht="15" customHeight="1" x14ac:dyDescent="0.2">
      <c r="A9" s="229"/>
      <c r="B9" s="235" t="str">
        <f>IF(ISBLANK(A9),"",IF(AND(ISNA(VLOOKUP(A9,Interface_T1GC!E:E,1,FALSE())),ISNA(VLOOKUP(A9,D:D,1,FALSE()))),"N","Y"))</f>
        <v/>
      </c>
      <c r="C9" s="235" t="s">
        <v>1342</v>
      </c>
      <c r="D9" s="235" t="s">
        <v>631</v>
      </c>
      <c r="E9" s="235">
        <v>1</v>
      </c>
      <c r="F9" s="235" t="str">
        <f>IF(AND(ISNA(VLOOKUP(D9,A:A,1,FALSE())),ISNA(VLOOKUP(D9,BaseType!A:A,1,FALSE())),D9&lt;&gt;"Struct"),"N","Y")</f>
        <v>Y</v>
      </c>
      <c r="G9" s="183" t="s">
        <v>2887</v>
      </c>
      <c r="H9" s="157"/>
      <c r="I9" s="157"/>
      <c r="J9" s="157"/>
      <c r="K9" s="157"/>
      <c r="L9" s="235"/>
      <c r="M9" s="235"/>
      <c r="N9" s="236"/>
      <c r="O9" s="236"/>
      <c r="P9" s="236"/>
      <c r="Q9" s="236"/>
      <c r="R9" s="236"/>
      <c r="S9" s="236"/>
      <c r="T9" s="236"/>
    </row>
    <row r="10" spans="1:20" ht="15" customHeight="1" x14ac:dyDescent="0.2">
      <c r="A10" s="229"/>
      <c r="B10" s="235" t="str">
        <f>IF(ISBLANK(A10),"",IF(AND(ISNA(VLOOKUP(A10,Interface_T1GC!E:E,1,FALSE())),ISNA(VLOOKUP(A10,D:D,1,FALSE()))),"N","Y"))</f>
        <v/>
      </c>
      <c r="C10" s="235" t="s">
        <v>2888</v>
      </c>
      <c r="D10" s="235" t="s">
        <v>1249</v>
      </c>
      <c r="E10" s="235">
        <v>1</v>
      </c>
      <c r="F10" s="235" t="str">
        <f>IF(AND(ISNA(VLOOKUP(D10,A:A,1,FALSE())),ISNA(VLOOKUP(D10,BaseType!A:A,1,FALSE())),D10&lt;&gt;"Struct"),"N","Y")</f>
        <v>Y</v>
      </c>
      <c r="G10" s="183" t="s">
        <v>2889</v>
      </c>
      <c r="H10" s="157"/>
      <c r="I10" s="157"/>
      <c r="J10" s="157"/>
      <c r="K10" s="157"/>
      <c r="L10" s="235"/>
      <c r="M10" s="235"/>
      <c r="N10" s="236"/>
      <c r="O10" s="236"/>
      <c r="P10" s="236"/>
      <c r="Q10" s="236"/>
      <c r="R10" s="236"/>
      <c r="S10" s="236"/>
      <c r="T10" s="236"/>
    </row>
    <row r="11" spans="1:20" ht="15" customHeight="1" x14ac:dyDescent="0.2">
      <c r="A11" s="229"/>
      <c r="B11" s="235" t="str">
        <f>IF(ISBLANK(A11),"",IF(AND(ISNA(VLOOKUP(A11,Interface_T1GC!E:E,1,FALSE())),ISNA(VLOOKUP(A11,D:D,1,FALSE()))),"N","Y"))</f>
        <v/>
      </c>
      <c r="C11" s="235" t="s">
        <v>2890</v>
      </c>
      <c r="D11" s="235" t="s">
        <v>2891</v>
      </c>
      <c r="E11" s="235">
        <v>9</v>
      </c>
      <c r="F11" s="235" t="str">
        <f>IF(AND(ISNA(VLOOKUP(D11,A:A,1,FALSE())),ISNA(VLOOKUP(D11,BaseType!A:A,1,FALSE())),D11&lt;&gt;"Struct"),"N","Y")</f>
        <v>Y</v>
      </c>
      <c r="G11" s="183" t="s">
        <v>2892</v>
      </c>
      <c r="H11" s="157"/>
      <c r="I11" s="157"/>
      <c r="J11" s="157"/>
      <c r="K11" s="157"/>
      <c r="L11" s="235"/>
      <c r="M11" s="235"/>
      <c r="N11" s="236"/>
      <c r="O11" s="236"/>
      <c r="P11" s="236"/>
      <c r="Q11" s="236"/>
      <c r="R11" s="236"/>
      <c r="S11" s="236"/>
      <c r="T11" s="236"/>
    </row>
    <row r="12" spans="1:20" ht="15" customHeight="1" x14ac:dyDescent="0.2">
      <c r="A12" s="229" t="s">
        <v>2891</v>
      </c>
      <c r="B12" s="235" t="str">
        <f>IF(ISBLANK(A12),"",IF(AND(ISNA(VLOOKUP(A12,Interface_T1GC!E:E,1,FALSE())),ISNA(VLOOKUP(A12,D:D,1,FALSE()))),"N","Y"))</f>
        <v>Y</v>
      </c>
      <c r="C12" s="235"/>
      <c r="D12" s="235" t="s">
        <v>484</v>
      </c>
      <c r="E12" s="235"/>
      <c r="F12" s="235" t="str">
        <f>IF(AND(ISNA(VLOOKUP(D12,A:A,1,FALSE())),ISNA(VLOOKUP(D12,BaseType!A:A,1,FALSE())),D12&lt;&gt;"Struct"),"N","Y")</f>
        <v>Y</v>
      </c>
      <c r="G12" s="183"/>
      <c r="H12" s="157"/>
      <c r="I12" s="157"/>
      <c r="J12" s="157"/>
      <c r="K12" s="157"/>
      <c r="L12" s="235"/>
      <c r="M12" s="235"/>
      <c r="N12" s="236"/>
      <c r="O12" s="236"/>
      <c r="P12" s="236"/>
      <c r="Q12" s="236"/>
      <c r="R12" s="236"/>
      <c r="S12" s="236"/>
      <c r="T12" s="236"/>
    </row>
    <row r="13" spans="1:20" ht="15" customHeight="1" x14ac:dyDescent="0.2">
      <c r="A13" s="229"/>
      <c r="B13" s="235" t="str">
        <f>IF(ISBLANK(A13),"",IF(AND(ISNA(VLOOKUP(A13,Interface_T1GC!E:E,1,FALSE())),ISNA(VLOOKUP(A13,D:D,1,FALSE()))),"N","Y"))</f>
        <v/>
      </c>
      <c r="C13" s="235" t="s">
        <v>2004</v>
      </c>
      <c r="D13" s="235" t="s">
        <v>193</v>
      </c>
      <c r="E13" s="235">
        <v>1</v>
      </c>
      <c r="F13" s="235" t="str">
        <f>IF(AND(ISNA(VLOOKUP(D13,A:A,1,FALSE())),ISNA(VLOOKUP(D13,BaseType!A:A,1,FALSE())),D13&lt;&gt;"Struct"),"N","Y")</f>
        <v>Y</v>
      </c>
      <c r="G13" s="183" t="s">
        <v>2317</v>
      </c>
      <c r="H13" s="157"/>
      <c r="I13" s="157"/>
      <c r="J13" s="157"/>
      <c r="K13" s="157"/>
      <c r="L13" s="235"/>
      <c r="M13" s="235"/>
      <c r="N13" s="236"/>
      <c r="O13" s="236"/>
      <c r="P13" s="236"/>
      <c r="Q13" s="236"/>
      <c r="R13" s="236"/>
      <c r="S13" s="236"/>
      <c r="T13" s="236"/>
    </row>
    <row r="14" spans="1:20" ht="15" customHeight="1" x14ac:dyDescent="0.2">
      <c r="A14" s="229"/>
      <c r="B14" s="235" t="str">
        <f>IF(ISBLANK(A14),"",IF(AND(ISNA(VLOOKUP(A14,Interface_T1GC!E:E,1,FALSE())),ISNA(VLOOKUP(A14,D:D,1,FALSE()))),"N","Y"))</f>
        <v/>
      </c>
      <c r="C14" s="235" t="s">
        <v>2893</v>
      </c>
      <c r="D14" s="235" t="s">
        <v>193</v>
      </c>
      <c r="E14" s="235">
        <v>1</v>
      </c>
      <c r="F14" s="235" t="str">
        <f>IF(AND(ISNA(VLOOKUP(D14,A:A,1,FALSE())),ISNA(VLOOKUP(D14,BaseType!A:A,1,FALSE())),D14&lt;&gt;"Struct"),"N","Y")</f>
        <v>Y</v>
      </c>
      <c r="G14" s="183" t="s">
        <v>2894</v>
      </c>
      <c r="H14" s="157"/>
      <c r="I14" s="157"/>
      <c r="J14" s="157"/>
      <c r="K14" s="157"/>
      <c r="L14" s="235"/>
      <c r="M14" s="235"/>
      <c r="N14" s="236"/>
      <c r="O14" s="236"/>
      <c r="P14" s="236"/>
      <c r="Q14" s="236"/>
      <c r="R14" s="236"/>
      <c r="S14" s="236"/>
      <c r="T14" s="236"/>
    </row>
    <row r="15" spans="1:20" ht="15" customHeight="1" x14ac:dyDescent="0.2">
      <c r="A15" s="229"/>
      <c r="B15" s="235" t="str">
        <f>IF(ISBLANK(A15),"",IF(AND(ISNA(VLOOKUP(A15,Interface_T1GC!E:E,1,FALSE())),ISNA(VLOOKUP(A15,D:D,1,FALSE()))),"N","Y"))</f>
        <v/>
      </c>
      <c r="C15" s="235" t="s">
        <v>2895</v>
      </c>
      <c r="D15" s="235" t="s">
        <v>193</v>
      </c>
      <c r="E15" s="235">
        <v>1</v>
      </c>
      <c r="F15" s="235" t="str">
        <f>IF(AND(ISNA(VLOOKUP(D15,A:A,1,FALSE())),ISNA(VLOOKUP(D15,BaseType!A:A,1,FALSE())),D15&lt;&gt;"Struct"),"N","Y")</f>
        <v>Y</v>
      </c>
      <c r="G15" s="183" t="s">
        <v>2896</v>
      </c>
      <c r="H15" s="157"/>
      <c r="I15" s="157"/>
      <c r="J15" s="157"/>
      <c r="K15" s="157"/>
      <c r="L15" s="235"/>
      <c r="M15" s="235"/>
      <c r="N15" s="236"/>
      <c r="O15" s="236"/>
      <c r="P15" s="236"/>
      <c r="Q15" s="236"/>
      <c r="R15" s="236"/>
      <c r="S15" s="236"/>
      <c r="T15" s="236"/>
    </row>
    <row r="16" spans="1:20" ht="15" customHeight="1" x14ac:dyDescent="0.2">
      <c r="A16" s="229"/>
      <c r="B16" s="235" t="str">
        <f>IF(ISBLANK(A16),"",IF(AND(ISNA(VLOOKUP(A16,Interface_T1GC!E:E,1,FALSE())),ISNA(VLOOKUP(A16,D:D,1,FALSE()))),"N","Y"))</f>
        <v/>
      </c>
      <c r="C16" s="235" t="s">
        <v>2897</v>
      </c>
      <c r="D16" s="235" t="s">
        <v>193</v>
      </c>
      <c r="E16" s="235">
        <v>1</v>
      </c>
      <c r="F16" s="235" t="str">
        <f>IF(AND(ISNA(VLOOKUP(D16,A:A,1,FALSE())),ISNA(VLOOKUP(D16,BaseType!A:A,1,FALSE())),D16&lt;&gt;"Struct"),"N","Y")</f>
        <v>Y</v>
      </c>
      <c r="G16" s="183" t="s">
        <v>2898</v>
      </c>
      <c r="H16" s="157"/>
      <c r="I16" s="157"/>
      <c r="J16" s="157"/>
      <c r="K16" s="157"/>
      <c r="L16" s="235"/>
      <c r="M16" s="235"/>
      <c r="N16" s="236"/>
      <c r="O16" s="236"/>
      <c r="P16" s="236"/>
      <c r="Q16" s="236"/>
      <c r="R16" s="236"/>
      <c r="S16" s="236"/>
      <c r="T16" s="236"/>
    </row>
    <row r="17" spans="1:20" ht="15" customHeight="1" x14ac:dyDescent="0.2">
      <c r="A17" s="229"/>
      <c r="B17" s="235" t="str">
        <f>IF(ISBLANK(A17),"",IF(AND(ISNA(VLOOKUP(A17,Interface_T1GC!E:E,1,FALSE())),ISNA(VLOOKUP(A17,D:D,1,FALSE()))),"N","Y"))</f>
        <v/>
      </c>
      <c r="C17" s="235" t="s">
        <v>2899</v>
      </c>
      <c r="D17" s="235" t="s">
        <v>225</v>
      </c>
      <c r="E17" s="235">
        <v>1</v>
      </c>
      <c r="F17" s="235" t="str">
        <f>IF(AND(ISNA(VLOOKUP(D17,A:A,1,FALSE())),ISNA(VLOOKUP(D17,BaseType!A:A,1,FALSE())),D17&lt;&gt;"Struct"),"N","Y")</f>
        <v>Y</v>
      </c>
      <c r="G17" s="183" t="s">
        <v>2900</v>
      </c>
      <c r="H17" s="157"/>
      <c r="I17" s="157"/>
      <c r="J17" s="157"/>
      <c r="K17" s="157"/>
      <c r="L17" s="235"/>
      <c r="M17" s="235"/>
      <c r="N17" s="236"/>
      <c r="O17" s="236"/>
      <c r="P17" s="236"/>
      <c r="Q17" s="236"/>
      <c r="R17" s="236"/>
      <c r="S17" s="236"/>
      <c r="T17" s="236"/>
    </row>
    <row r="18" spans="1:20" ht="15" customHeight="1" x14ac:dyDescent="0.2">
      <c r="A18" s="229"/>
      <c r="B18" s="235" t="str">
        <f>IF(ISBLANK(A18),"",IF(AND(ISNA(VLOOKUP(A18,Interface_T1GC!E:E,1,FALSE())),ISNA(VLOOKUP(A18,D:D,1,FALSE()))),"N","Y"))</f>
        <v/>
      </c>
      <c r="C18" s="235" t="s">
        <v>2901</v>
      </c>
      <c r="D18" s="235" t="s">
        <v>225</v>
      </c>
      <c r="E18" s="235">
        <v>1</v>
      </c>
      <c r="F18" s="235" t="str">
        <f>IF(AND(ISNA(VLOOKUP(D18,A:A,1,FALSE())),ISNA(VLOOKUP(D18,BaseType!A:A,1,FALSE())),D18&lt;&gt;"Struct"),"N","Y")</f>
        <v>Y</v>
      </c>
      <c r="G18" s="183" t="s">
        <v>2902</v>
      </c>
      <c r="H18" s="157"/>
      <c r="I18" s="157"/>
      <c r="J18" s="157"/>
      <c r="K18" s="157"/>
      <c r="L18" s="235"/>
      <c r="M18" s="235"/>
      <c r="N18" s="236"/>
      <c r="O18" s="236"/>
      <c r="P18" s="236"/>
      <c r="Q18" s="236"/>
      <c r="R18" s="236"/>
      <c r="S18" s="236"/>
      <c r="T18" s="236"/>
    </row>
    <row r="19" spans="1:20" ht="15" customHeight="1" x14ac:dyDescent="0.2">
      <c r="A19" s="229"/>
      <c r="B19" s="235" t="str">
        <f>IF(ISBLANK(A19),"",IF(AND(ISNA(VLOOKUP(A19,Interface_T1GC!E:E,1,FALSE())),ISNA(VLOOKUP(A19,D:D,1,FALSE()))),"N","Y"))</f>
        <v/>
      </c>
      <c r="C19" s="235" t="s">
        <v>2903</v>
      </c>
      <c r="D19" s="235" t="s">
        <v>225</v>
      </c>
      <c r="E19" s="235">
        <v>1</v>
      </c>
      <c r="F19" s="235" t="str">
        <f>IF(AND(ISNA(VLOOKUP(D19,A:A,1,FALSE())),ISNA(VLOOKUP(D19,BaseType!A:A,1,FALSE())),D19&lt;&gt;"Struct"),"N","Y")</f>
        <v>Y</v>
      </c>
      <c r="G19" s="183" t="s">
        <v>2904</v>
      </c>
      <c r="H19" s="157"/>
      <c r="I19" s="157"/>
      <c r="J19" s="157"/>
      <c r="K19" s="157"/>
      <c r="L19" s="235"/>
      <c r="M19" s="235"/>
      <c r="N19" s="236"/>
      <c r="O19" s="236"/>
      <c r="P19" s="236"/>
      <c r="Q19" s="236"/>
      <c r="R19" s="236"/>
      <c r="S19" s="236"/>
      <c r="T19" s="236"/>
    </row>
    <row r="20" spans="1:20" ht="15" customHeight="1" x14ac:dyDescent="0.2">
      <c r="A20" s="229"/>
      <c r="B20" s="235" t="str">
        <f>IF(ISBLANK(A20),"",IF(AND(ISNA(VLOOKUP(A20,Interface_T1GC!E:E,1,FALSE())),ISNA(VLOOKUP(A20,D:D,1,FALSE()))),"N","Y"))</f>
        <v/>
      </c>
      <c r="C20" s="235" t="s">
        <v>2905</v>
      </c>
      <c r="D20" s="235" t="s">
        <v>225</v>
      </c>
      <c r="E20" s="235">
        <v>1</v>
      </c>
      <c r="F20" s="235" t="str">
        <f>IF(AND(ISNA(VLOOKUP(D20,A:A,1,FALSE())),ISNA(VLOOKUP(D20,BaseType!A:A,1,FALSE())),D20&lt;&gt;"Struct"),"N","Y")</f>
        <v>Y</v>
      </c>
      <c r="G20" s="183" t="s">
        <v>2906</v>
      </c>
      <c r="H20" s="157"/>
      <c r="I20" s="157"/>
      <c r="J20" s="157"/>
      <c r="K20" s="157"/>
      <c r="L20" s="235"/>
      <c r="M20" s="235"/>
      <c r="N20" s="236"/>
      <c r="O20" s="236"/>
      <c r="P20" s="236"/>
      <c r="Q20" s="236"/>
      <c r="R20" s="236"/>
      <c r="S20" s="236"/>
      <c r="T20" s="236"/>
    </row>
    <row r="21" spans="1:20" ht="15" customHeight="1" x14ac:dyDescent="0.2">
      <c r="A21" s="229"/>
      <c r="B21" s="235" t="str">
        <f>IF(ISBLANK(A21),"",IF(AND(ISNA(VLOOKUP(A21,Interface_T1GC!E:E,1,FALSE())),ISNA(VLOOKUP(A21,D:D,1,FALSE()))),"N","Y"))</f>
        <v/>
      </c>
      <c r="C21" s="235" t="s">
        <v>2907</v>
      </c>
      <c r="D21" s="235" t="s">
        <v>225</v>
      </c>
      <c r="E21" s="235">
        <v>1</v>
      </c>
      <c r="F21" s="235" t="str">
        <f>IF(AND(ISNA(VLOOKUP(D21,A:A,1,FALSE())),ISNA(VLOOKUP(D21,BaseType!A:A,1,FALSE())),D21&lt;&gt;"Struct"),"N","Y")</f>
        <v>Y</v>
      </c>
      <c r="G21" s="183" t="s">
        <v>2908</v>
      </c>
      <c r="H21" s="157"/>
      <c r="I21" s="157"/>
      <c r="J21" s="157"/>
      <c r="K21" s="157"/>
      <c r="L21" s="235"/>
      <c r="M21" s="235"/>
      <c r="N21" s="236"/>
      <c r="O21" s="236"/>
      <c r="P21" s="236"/>
      <c r="Q21" s="236"/>
      <c r="R21" s="236"/>
      <c r="S21" s="236"/>
      <c r="T21" s="236"/>
    </row>
    <row r="22" spans="1:20" ht="15" customHeight="1" x14ac:dyDescent="0.2">
      <c r="A22" s="229"/>
      <c r="B22" s="235" t="str">
        <f>IF(ISBLANK(A22),"",IF(AND(ISNA(VLOOKUP(A22,Interface_T1GC!E:E,1,FALSE())),ISNA(VLOOKUP(A22,D:D,1,FALSE()))),"N","Y"))</f>
        <v/>
      </c>
      <c r="C22" s="235" t="s">
        <v>2909</v>
      </c>
      <c r="D22" s="235" t="s">
        <v>764</v>
      </c>
      <c r="E22" s="235">
        <v>1</v>
      </c>
      <c r="F22" s="235" t="str">
        <f>IF(AND(ISNA(VLOOKUP(D22,A:A,1,FALSE())),ISNA(VLOOKUP(D22,BaseType!A:A,1,FALSE())),D22&lt;&gt;"Struct"),"N","Y")</f>
        <v>Y</v>
      </c>
      <c r="G22" s="183" t="s">
        <v>2910</v>
      </c>
      <c r="H22" s="157"/>
      <c r="I22" s="157"/>
      <c r="J22" s="157"/>
      <c r="K22" s="157"/>
      <c r="L22" s="235"/>
      <c r="M22" s="235"/>
      <c r="N22" s="236"/>
      <c r="O22" s="236"/>
      <c r="P22" s="236"/>
      <c r="Q22" s="236"/>
      <c r="R22" s="236"/>
      <c r="S22" s="236"/>
      <c r="T22" s="236"/>
    </row>
    <row r="23" spans="1:20" ht="15" customHeight="1" x14ac:dyDescent="0.2">
      <c r="A23" s="229"/>
      <c r="B23" s="235" t="str">
        <f>IF(ISBLANK(A23),"",IF(AND(ISNA(VLOOKUP(A23,Interface_T1GC!E:E,1,FALSE())),ISNA(VLOOKUP(A23,D:D,1,FALSE()))),"N","Y"))</f>
        <v/>
      </c>
      <c r="C23" s="235" t="s">
        <v>2911</v>
      </c>
      <c r="D23" s="235" t="s">
        <v>764</v>
      </c>
      <c r="E23" s="235">
        <v>1</v>
      </c>
      <c r="F23" s="235" t="str">
        <f>IF(AND(ISNA(VLOOKUP(D23,A:A,1,FALSE())),ISNA(VLOOKUP(D23,BaseType!A:A,1,FALSE())),D23&lt;&gt;"Struct"),"N","Y")</f>
        <v>Y</v>
      </c>
      <c r="G23" s="183" t="s">
        <v>2912</v>
      </c>
      <c r="H23" s="157"/>
      <c r="I23" s="157"/>
      <c r="J23" s="157"/>
      <c r="K23" s="157"/>
      <c r="L23" s="235"/>
      <c r="M23" s="235"/>
      <c r="N23" s="236"/>
      <c r="O23" s="236"/>
      <c r="P23" s="236"/>
      <c r="Q23" s="236"/>
      <c r="R23" s="236"/>
      <c r="S23" s="236"/>
      <c r="T23" s="236"/>
    </row>
    <row r="24" spans="1:20" ht="15" customHeight="1" x14ac:dyDescent="0.2">
      <c r="A24" s="229"/>
      <c r="B24" s="235" t="str">
        <f>IF(ISBLANK(A24),"",IF(AND(ISNA(VLOOKUP(A24,Interface_T1GC!E:E,1,FALSE())),ISNA(VLOOKUP(A24,D:D,1,FALSE()))),"N","Y"))</f>
        <v/>
      </c>
      <c r="C24" s="235" t="s">
        <v>2913</v>
      </c>
      <c r="D24" s="235" t="s">
        <v>764</v>
      </c>
      <c r="E24" s="235">
        <v>1</v>
      </c>
      <c r="F24" s="235" t="str">
        <f>IF(AND(ISNA(VLOOKUP(D24,A:A,1,FALSE())),ISNA(VLOOKUP(D24,BaseType!A:A,1,FALSE())),D24&lt;&gt;"Struct"),"N","Y")</f>
        <v>Y</v>
      </c>
      <c r="G24" s="183" t="s">
        <v>2914</v>
      </c>
      <c r="H24" s="157"/>
      <c r="I24" s="157"/>
      <c r="J24" s="157"/>
      <c r="K24" s="157"/>
      <c r="L24" s="235"/>
      <c r="M24" s="235"/>
      <c r="N24" s="236"/>
      <c r="O24" s="236"/>
      <c r="P24" s="236"/>
      <c r="Q24" s="236"/>
      <c r="R24" s="236"/>
      <c r="S24" s="236"/>
      <c r="T24" s="236"/>
    </row>
    <row r="25" spans="1:20" ht="15" customHeight="1" x14ac:dyDescent="0.2">
      <c r="A25" s="229"/>
      <c r="B25" s="235" t="str">
        <f>IF(ISBLANK(A25),"",IF(AND(ISNA(VLOOKUP(A25,Interface_T1GC!E:E,1,FALSE())),ISNA(VLOOKUP(A25,D:D,1,FALSE()))),"N","Y"))</f>
        <v/>
      </c>
      <c r="C25" s="235" t="s">
        <v>2915</v>
      </c>
      <c r="D25" s="235" t="s">
        <v>193</v>
      </c>
      <c r="E25" s="235">
        <v>1</v>
      </c>
      <c r="F25" s="235" t="str">
        <f>IF(AND(ISNA(VLOOKUP(D25,A:A,1,FALSE())),ISNA(VLOOKUP(D25,BaseType!A:A,1,FALSE())),D25&lt;&gt;"Struct"),"N","Y")</f>
        <v>Y</v>
      </c>
      <c r="G25" s="183" t="s">
        <v>2916</v>
      </c>
      <c r="H25" s="157"/>
      <c r="I25" s="157"/>
      <c r="J25" s="157"/>
      <c r="K25" s="157"/>
      <c r="L25" s="235"/>
      <c r="M25" s="235"/>
      <c r="N25" s="236"/>
      <c r="O25" s="236"/>
      <c r="P25" s="236"/>
      <c r="Q25" s="236"/>
      <c r="R25" s="236"/>
      <c r="S25" s="236"/>
      <c r="T25" s="236"/>
    </row>
    <row r="26" spans="1:20" ht="15" customHeight="1" x14ac:dyDescent="0.2">
      <c r="A26" s="229" t="s">
        <v>2876</v>
      </c>
      <c r="B26" s="235" t="str">
        <f>IF(ISBLANK(A26),"",IF(AND(ISNA(VLOOKUP(A26,Interface_T1GC!E:E,1,FALSE())),ISNA(VLOOKUP(A26,D:D,1,FALSE()))),"N","Y"))</f>
        <v>Y</v>
      </c>
      <c r="C26" s="235"/>
      <c r="D26" s="235" t="s">
        <v>484</v>
      </c>
      <c r="E26" s="235"/>
      <c r="F26" s="235" t="str">
        <f>IF(AND(ISNA(VLOOKUP(D26,A:A,1,FALSE())),ISNA(VLOOKUP(D26,BaseType!A:A,1,FALSE())),D26&lt;&gt;"Struct"),"N","Y")</f>
        <v>Y</v>
      </c>
      <c r="G26" s="183"/>
      <c r="H26" s="157"/>
      <c r="I26" s="157"/>
      <c r="J26" s="157"/>
      <c r="K26" s="157"/>
      <c r="L26" s="235"/>
      <c r="M26" s="235"/>
      <c r="N26" s="236"/>
      <c r="O26" s="236"/>
      <c r="P26" s="236"/>
      <c r="Q26" s="236"/>
      <c r="R26" s="236"/>
      <c r="S26" s="236"/>
      <c r="T26" s="236"/>
    </row>
    <row r="27" spans="1:20" ht="15" customHeight="1" x14ac:dyDescent="0.2">
      <c r="A27" s="229"/>
      <c r="B27" s="235" t="str">
        <f>IF(ISBLANK(A27),"",IF(AND(ISNA(VLOOKUP(A27,Interface_T1GC!E:E,1,FALSE())),ISNA(VLOOKUP(A27,D:D,1,FALSE()))),"N","Y"))</f>
        <v/>
      </c>
      <c r="C27" s="235" t="s">
        <v>1342</v>
      </c>
      <c r="D27" s="235" t="s">
        <v>631</v>
      </c>
      <c r="E27" s="235">
        <v>1</v>
      </c>
      <c r="F27" s="235" t="str">
        <f>IF(AND(ISNA(VLOOKUP(D27,A:A,1,FALSE())),ISNA(VLOOKUP(D27,BaseType!A:A,1,FALSE())),D27&lt;&gt;"Struct"),"N","Y")</f>
        <v>Y</v>
      </c>
      <c r="G27" s="183" t="s">
        <v>2887</v>
      </c>
      <c r="H27" s="157"/>
      <c r="I27" s="157"/>
      <c r="J27" s="157"/>
      <c r="K27" s="157"/>
      <c r="L27" s="235"/>
      <c r="M27" s="235"/>
      <c r="N27" s="236"/>
      <c r="O27" s="236"/>
      <c r="P27" s="236"/>
      <c r="Q27" s="236"/>
      <c r="R27" s="236"/>
      <c r="S27" s="236"/>
      <c r="T27" s="236"/>
    </row>
    <row r="28" spans="1:20" ht="15" customHeight="1" x14ac:dyDescent="0.2">
      <c r="A28" s="229"/>
      <c r="B28" s="235" t="str">
        <f>IF(ISBLANK(A28),"",IF(AND(ISNA(VLOOKUP(A28,Interface_T1GC!E:E,1,FALSE())),ISNA(VLOOKUP(A28,D:D,1,FALSE()))),"N","Y"))</f>
        <v/>
      </c>
      <c r="C28" s="235" t="s">
        <v>2888</v>
      </c>
      <c r="D28" s="235" t="s">
        <v>1249</v>
      </c>
      <c r="E28" s="235">
        <v>1</v>
      </c>
      <c r="F28" s="235" t="str">
        <f>IF(AND(ISNA(VLOOKUP(D28,A:A,1,FALSE())),ISNA(VLOOKUP(D28,BaseType!A:A,1,FALSE())),D28&lt;&gt;"Struct"),"N","Y")</f>
        <v>Y</v>
      </c>
      <c r="G28" s="183" t="s">
        <v>2889</v>
      </c>
      <c r="H28" s="157"/>
      <c r="I28" s="157"/>
      <c r="J28" s="157"/>
      <c r="K28" s="157"/>
      <c r="L28" s="235"/>
      <c r="M28" s="235"/>
      <c r="N28" s="236"/>
      <c r="O28" s="236"/>
      <c r="P28" s="236"/>
      <c r="Q28" s="236"/>
      <c r="R28" s="236"/>
      <c r="S28" s="236"/>
      <c r="T28" s="236"/>
    </row>
    <row r="29" spans="1:20" ht="15" customHeight="1" x14ac:dyDescent="0.2">
      <c r="A29" s="229"/>
      <c r="B29" s="235" t="str">
        <f>IF(ISBLANK(A29),"",IF(AND(ISNA(VLOOKUP(A29,Interface_T1GC!E:E,1,FALSE())),ISNA(VLOOKUP(A29,D:D,1,FALSE()))),"N","Y"))</f>
        <v/>
      </c>
      <c r="C29" s="235" t="s">
        <v>2890</v>
      </c>
      <c r="D29" s="235" t="s">
        <v>2917</v>
      </c>
      <c r="E29" s="235">
        <v>9</v>
      </c>
      <c r="F29" s="235" t="str">
        <f>IF(AND(ISNA(VLOOKUP(D29,A:A,1,FALSE())),ISNA(VLOOKUP(D29,BaseType!A:A,1,FALSE())),D29&lt;&gt;"Struct"),"N","Y")</f>
        <v>Y</v>
      </c>
      <c r="G29" s="183" t="s">
        <v>2892</v>
      </c>
      <c r="H29" s="157"/>
      <c r="I29" s="157"/>
      <c r="J29" s="157"/>
      <c r="K29" s="157"/>
      <c r="L29" s="235"/>
      <c r="M29" s="235"/>
      <c r="N29" s="236"/>
      <c r="O29" s="236"/>
      <c r="P29" s="236"/>
      <c r="Q29" s="236"/>
      <c r="R29" s="236"/>
      <c r="S29" s="236"/>
      <c r="T29" s="236"/>
    </row>
    <row r="30" spans="1:20" ht="15" customHeight="1" x14ac:dyDescent="0.2">
      <c r="A30" s="229" t="s">
        <v>2917</v>
      </c>
      <c r="B30" s="235" t="str">
        <f>IF(ISBLANK(A30),"",IF(AND(ISNA(VLOOKUP(A30,Interface_T1GC!E:E,1,FALSE())),ISNA(VLOOKUP(A30,D:D,1,FALSE()))),"N","Y"))</f>
        <v>Y</v>
      </c>
      <c r="C30" s="235"/>
      <c r="D30" s="235" t="s">
        <v>484</v>
      </c>
      <c r="E30" s="235"/>
      <c r="F30" s="235" t="str">
        <f>IF(AND(ISNA(VLOOKUP(D30,A:A,1,FALSE())),ISNA(VLOOKUP(D30,BaseType!A:A,1,FALSE())),D30&lt;&gt;"Struct"),"N","Y")</f>
        <v>Y</v>
      </c>
      <c r="G30" s="183"/>
      <c r="H30" s="157"/>
      <c r="I30" s="157"/>
      <c r="J30" s="157"/>
      <c r="K30" s="157"/>
      <c r="L30" s="235"/>
      <c r="M30" s="235"/>
      <c r="N30" s="236"/>
      <c r="O30" s="236"/>
      <c r="P30" s="236"/>
      <c r="Q30" s="236"/>
      <c r="R30" s="236"/>
      <c r="S30" s="236"/>
      <c r="T30" s="236"/>
    </row>
    <row r="31" spans="1:20" ht="15" customHeight="1" x14ac:dyDescent="0.2">
      <c r="A31" s="229"/>
      <c r="B31" s="235" t="str">
        <f>IF(ISBLANK(A31),"",IF(AND(ISNA(VLOOKUP(A31,Interface_T1GC!E:E,1,FALSE())),ISNA(VLOOKUP(A31,D:D,1,FALSE()))),"N","Y"))</f>
        <v/>
      </c>
      <c r="C31" s="235" t="s">
        <v>2004</v>
      </c>
      <c r="D31" s="235" t="s">
        <v>193</v>
      </c>
      <c r="E31" s="235">
        <v>1</v>
      </c>
      <c r="F31" s="235" t="str">
        <f>IF(AND(ISNA(VLOOKUP(D31,A:A,1,FALSE())),ISNA(VLOOKUP(D31,BaseType!A:A,1,FALSE())),D31&lt;&gt;"Struct"),"N","Y")</f>
        <v>Y</v>
      </c>
      <c r="G31" s="183" t="s">
        <v>2317</v>
      </c>
      <c r="H31" s="157"/>
      <c r="I31" s="157"/>
      <c r="J31" s="157"/>
      <c r="K31" s="157"/>
      <c r="L31" s="235"/>
      <c r="M31" s="235"/>
      <c r="N31" s="236"/>
      <c r="O31" s="236"/>
      <c r="P31" s="236"/>
      <c r="Q31" s="236"/>
      <c r="R31" s="236"/>
      <c r="S31" s="236"/>
      <c r="T31" s="236"/>
    </row>
    <row r="32" spans="1:20" ht="15" customHeight="1" x14ac:dyDescent="0.2">
      <c r="A32" s="229"/>
      <c r="B32" s="235" t="str">
        <f>IF(ISBLANK(A32),"",IF(AND(ISNA(VLOOKUP(A32,Interface_T1GC!E:E,1,FALSE())),ISNA(VLOOKUP(A32,D:D,1,FALSE()))),"N","Y"))</f>
        <v/>
      </c>
      <c r="C32" s="235" t="s">
        <v>2893</v>
      </c>
      <c r="D32" s="235" t="s">
        <v>193</v>
      </c>
      <c r="E32" s="235">
        <v>1</v>
      </c>
      <c r="F32" s="235" t="str">
        <f>IF(AND(ISNA(VLOOKUP(D32,A:A,1,FALSE())),ISNA(VLOOKUP(D32,BaseType!A:A,1,FALSE())),D32&lt;&gt;"Struct"),"N","Y")</f>
        <v>Y</v>
      </c>
      <c r="G32" s="183" t="s">
        <v>2918</v>
      </c>
      <c r="H32" s="157"/>
      <c r="I32" s="157"/>
      <c r="J32" s="157"/>
      <c r="K32" s="157"/>
      <c r="L32" s="235"/>
      <c r="M32" s="235"/>
      <c r="N32" s="236"/>
      <c r="O32" s="236"/>
      <c r="P32" s="236"/>
      <c r="Q32" s="236"/>
      <c r="R32" s="236"/>
      <c r="S32" s="236"/>
      <c r="T32" s="236"/>
    </row>
    <row r="33" spans="1:20" ht="15" customHeight="1" x14ac:dyDescent="0.2">
      <c r="A33" s="229"/>
      <c r="B33" s="235" t="str">
        <f>IF(ISBLANK(A33),"",IF(AND(ISNA(VLOOKUP(A33,Interface_T1GC!E:E,1,FALSE())),ISNA(VLOOKUP(A33,D:D,1,FALSE()))),"N","Y"))</f>
        <v/>
      </c>
      <c r="C33" s="235" t="s">
        <v>2899</v>
      </c>
      <c r="D33" s="235" t="s">
        <v>225</v>
      </c>
      <c r="E33" s="235">
        <v>1</v>
      </c>
      <c r="F33" s="235" t="str">
        <f>IF(AND(ISNA(VLOOKUP(D33,A:A,1,FALSE())),ISNA(VLOOKUP(D33,BaseType!A:A,1,FALSE())),D33&lt;&gt;"Struct"),"N","Y")</f>
        <v>Y</v>
      </c>
      <c r="G33" s="183" t="s">
        <v>2919</v>
      </c>
      <c r="H33" s="157"/>
      <c r="I33" s="157"/>
      <c r="J33" s="157"/>
      <c r="K33" s="157"/>
      <c r="L33" s="235"/>
      <c r="M33" s="235"/>
      <c r="N33" s="236"/>
      <c r="O33" s="236"/>
      <c r="P33" s="236"/>
      <c r="Q33" s="236"/>
      <c r="R33" s="236"/>
      <c r="S33" s="236"/>
      <c r="T33" s="236"/>
    </row>
    <row r="34" spans="1:20" ht="15" customHeight="1" x14ac:dyDescent="0.2">
      <c r="A34" s="229"/>
      <c r="B34" s="235" t="str">
        <f>IF(ISBLANK(A34),"",IF(AND(ISNA(VLOOKUP(A34,Interface_T1GC!E:E,1,FALSE())),ISNA(VLOOKUP(A34,D:D,1,FALSE()))),"N","Y"))</f>
        <v/>
      </c>
      <c r="C34" s="235" t="s">
        <v>2901</v>
      </c>
      <c r="D34" s="235" t="s">
        <v>225</v>
      </c>
      <c r="E34" s="235">
        <v>1</v>
      </c>
      <c r="F34" s="235" t="str">
        <f>IF(AND(ISNA(VLOOKUP(D34,A:A,1,FALSE())),ISNA(VLOOKUP(D34,BaseType!A:A,1,FALSE())),D34&lt;&gt;"Struct"),"N","Y")</f>
        <v>Y</v>
      </c>
      <c r="G34" s="183" t="s">
        <v>2920</v>
      </c>
      <c r="H34" s="157"/>
      <c r="I34" s="157"/>
      <c r="J34" s="157"/>
      <c r="K34" s="157"/>
      <c r="L34" s="235"/>
      <c r="M34" s="235"/>
      <c r="N34" s="236"/>
      <c r="O34" s="236"/>
      <c r="P34" s="236"/>
      <c r="Q34" s="236"/>
      <c r="R34" s="236"/>
      <c r="S34" s="236"/>
      <c r="T34" s="236"/>
    </row>
    <row r="35" spans="1:20" ht="15" customHeight="1" x14ac:dyDescent="0.2">
      <c r="A35" s="229"/>
      <c r="B35" s="235" t="str">
        <f>IF(ISBLANK(A35),"",IF(AND(ISNA(VLOOKUP(A35,Interface_T1GC!E:E,1,FALSE())),ISNA(VLOOKUP(A35,D:D,1,FALSE()))),"N","Y"))</f>
        <v/>
      </c>
      <c r="C35" s="235" t="s">
        <v>2903</v>
      </c>
      <c r="D35" s="235" t="s">
        <v>225</v>
      </c>
      <c r="E35" s="235">
        <v>1</v>
      </c>
      <c r="F35" s="235" t="str">
        <f>IF(AND(ISNA(VLOOKUP(D35,A:A,1,FALSE())),ISNA(VLOOKUP(D35,BaseType!A:A,1,FALSE())),D35&lt;&gt;"Struct"),"N","Y")</f>
        <v>Y</v>
      </c>
      <c r="G35" s="183" t="s">
        <v>2904</v>
      </c>
      <c r="H35" s="157"/>
      <c r="I35" s="157"/>
      <c r="J35" s="157"/>
      <c r="K35" s="157"/>
      <c r="L35" s="235"/>
      <c r="M35" s="235"/>
      <c r="N35" s="236"/>
      <c r="O35" s="236"/>
      <c r="P35" s="236"/>
      <c r="Q35" s="236"/>
      <c r="R35" s="236"/>
      <c r="S35" s="236"/>
      <c r="T35" s="236"/>
    </row>
    <row r="36" spans="1:20" ht="15" customHeight="1" x14ac:dyDescent="0.2">
      <c r="A36" s="229"/>
      <c r="B36" s="235" t="str">
        <f>IF(ISBLANK(A36),"",IF(AND(ISNA(VLOOKUP(A36,Interface_T1GC!E:E,1,FALSE())),ISNA(VLOOKUP(A36,D:D,1,FALSE()))),"N","Y"))</f>
        <v/>
      </c>
      <c r="C36" s="235" t="s">
        <v>2909</v>
      </c>
      <c r="D36" s="235" t="s">
        <v>764</v>
      </c>
      <c r="E36" s="235">
        <v>1</v>
      </c>
      <c r="F36" s="235" t="str">
        <f>IF(AND(ISNA(VLOOKUP(D36,A:A,1,FALSE())),ISNA(VLOOKUP(D36,BaseType!A:A,1,FALSE())),D36&lt;&gt;"Struct"),"N","Y")</f>
        <v>Y</v>
      </c>
      <c r="G36" s="183" t="s">
        <v>2910</v>
      </c>
      <c r="H36" s="157"/>
      <c r="I36" s="157"/>
      <c r="J36" s="157"/>
      <c r="K36" s="157"/>
      <c r="L36" s="235"/>
      <c r="M36" s="235"/>
      <c r="N36" s="236"/>
      <c r="O36" s="236"/>
      <c r="P36" s="236"/>
      <c r="Q36" s="236"/>
      <c r="R36" s="236"/>
      <c r="S36" s="236"/>
      <c r="T36" s="236"/>
    </row>
    <row r="37" spans="1:20" ht="15" customHeight="1" x14ac:dyDescent="0.2">
      <c r="A37" s="229"/>
      <c r="B37" s="235" t="str">
        <f>IF(ISBLANK(A37),"",IF(AND(ISNA(VLOOKUP(A37,Interface_T1GC!E:E,1,FALSE())),ISNA(VLOOKUP(A37,D:D,1,FALSE()))),"N","Y"))</f>
        <v/>
      </c>
      <c r="C37" s="235" t="s">
        <v>2911</v>
      </c>
      <c r="D37" s="235" t="s">
        <v>764</v>
      </c>
      <c r="E37" s="235">
        <v>1</v>
      </c>
      <c r="F37" s="235" t="str">
        <f>IF(AND(ISNA(VLOOKUP(D37,A:A,1,FALSE())),ISNA(VLOOKUP(D37,BaseType!A:A,1,FALSE())),D37&lt;&gt;"Struct"),"N","Y")</f>
        <v>Y</v>
      </c>
      <c r="G37" s="183" t="s">
        <v>2912</v>
      </c>
      <c r="H37" s="157"/>
      <c r="I37" s="157"/>
      <c r="J37" s="157"/>
      <c r="K37" s="157"/>
      <c r="L37" s="235"/>
      <c r="M37" s="235"/>
      <c r="N37" s="236"/>
      <c r="O37" s="236"/>
      <c r="P37" s="236"/>
      <c r="Q37" s="236"/>
      <c r="R37" s="236"/>
      <c r="S37" s="236"/>
      <c r="T37" s="236"/>
    </row>
    <row r="38" spans="1:20" ht="15" customHeight="1" x14ac:dyDescent="0.2">
      <c r="A38" s="229"/>
      <c r="B38" s="235" t="str">
        <f>IF(ISBLANK(A38),"",IF(AND(ISNA(VLOOKUP(A38,Interface_T1GC!E:E,1,FALSE())),ISNA(VLOOKUP(A38,D:D,1,FALSE()))),"N","Y"))</f>
        <v/>
      </c>
      <c r="C38" s="235" t="s">
        <v>2913</v>
      </c>
      <c r="D38" s="235" t="s">
        <v>764</v>
      </c>
      <c r="E38" s="235">
        <v>1</v>
      </c>
      <c r="F38" s="235" t="str">
        <f>IF(AND(ISNA(VLOOKUP(D38,A:A,1,FALSE())),ISNA(VLOOKUP(D38,BaseType!A:A,1,FALSE())),D38&lt;&gt;"Struct"),"N","Y")</f>
        <v>Y</v>
      </c>
      <c r="G38" s="183" t="s">
        <v>2914</v>
      </c>
      <c r="H38" s="157"/>
      <c r="I38" s="157"/>
      <c r="J38" s="157"/>
      <c r="K38" s="157"/>
      <c r="L38" s="235"/>
      <c r="M38" s="235"/>
      <c r="N38" s="236"/>
      <c r="O38" s="236"/>
      <c r="P38" s="236"/>
      <c r="Q38" s="236"/>
      <c r="R38" s="236"/>
      <c r="S38" s="236"/>
      <c r="T38" s="236"/>
    </row>
    <row r="39" spans="1:20" ht="15" customHeight="1" x14ac:dyDescent="0.2">
      <c r="A39" s="229" t="s">
        <v>2879</v>
      </c>
      <c r="B39" s="235" t="str">
        <f>IF(ISBLANK(A39),"",IF(AND(ISNA(VLOOKUP(A39,Interface_T1GC!E:E,1,FALSE())),ISNA(VLOOKUP(A39,D:D,1,FALSE()))),"N","Y"))</f>
        <v>Y</v>
      </c>
      <c r="C39" s="235"/>
      <c r="D39" s="235" t="s">
        <v>484</v>
      </c>
      <c r="E39" s="235"/>
      <c r="F39" s="235" t="str">
        <f>IF(AND(ISNA(VLOOKUP(D39,A:A,1,FALSE())),ISNA(VLOOKUP(D39,BaseType!A:A,1,FALSE())),D39&lt;&gt;"Struct"),"N","Y")</f>
        <v>Y</v>
      </c>
      <c r="G39" s="183"/>
      <c r="H39" s="157"/>
      <c r="I39" s="157"/>
      <c r="J39" s="157"/>
      <c r="K39" s="157"/>
      <c r="L39" s="235"/>
      <c r="M39" s="235"/>
      <c r="N39" s="236"/>
      <c r="O39" s="236"/>
      <c r="P39" s="236"/>
      <c r="Q39" s="236"/>
      <c r="R39" s="236"/>
      <c r="S39" s="236"/>
      <c r="T39" s="236"/>
    </row>
    <row r="40" spans="1:20" ht="15" customHeight="1" x14ac:dyDescent="0.2">
      <c r="A40" s="229"/>
      <c r="B40" s="235" t="str">
        <f>IF(ISBLANK(A40),"",IF(AND(ISNA(VLOOKUP(A40,Interface_T1GC!E:E,1,FALSE())),ISNA(VLOOKUP(A40,D:D,1,FALSE()))),"N","Y"))</f>
        <v/>
      </c>
      <c r="C40" s="235" t="s">
        <v>1342</v>
      </c>
      <c r="D40" s="235" t="s">
        <v>631</v>
      </c>
      <c r="E40" s="235">
        <v>1</v>
      </c>
      <c r="F40" s="235" t="str">
        <f>IF(AND(ISNA(VLOOKUP(D40,A:A,1,FALSE())),ISNA(VLOOKUP(D40,BaseType!A:A,1,FALSE())),D40&lt;&gt;"Struct"),"N","Y")</f>
        <v>Y</v>
      </c>
      <c r="G40" s="183" t="s">
        <v>2887</v>
      </c>
      <c r="H40" s="157"/>
      <c r="I40" s="157"/>
      <c r="J40" s="157"/>
      <c r="K40" s="157"/>
      <c r="L40" s="235"/>
      <c r="M40" s="235"/>
      <c r="N40" s="236"/>
      <c r="O40" s="236"/>
      <c r="P40" s="236"/>
      <c r="Q40" s="236"/>
      <c r="R40" s="236"/>
      <c r="S40" s="236"/>
      <c r="T40" s="236"/>
    </row>
    <row r="41" spans="1:20" ht="15" customHeight="1" x14ac:dyDescent="0.2">
      <c r="A41" s="229"/>
      <c r="B41" s="235" t="str">
        <f>IF(ISBLANK(A41),"",IF(AND(ISNA(VLOOKUP(A41,Interface_T1GC!E:E,1,FALSE())),ISNA(VLOOKUP(A41,D:D,1,FALSE()))),"N","Y"))</f>
        <v/>
      </c>
      <c r="C41" s="235" t="s">
        <v>2921</v>
      </c>
      <c r="D41" s="235" t="s">
        <v>193</v>
      </c>
      <c r="E41" s="235">
        <v>1</v>
      </c>
      <c r="F41" s="235" t="str">
        <f>IF(AND(ISNA(VLOOKUP(D41,A:A,1,FALSE())),ISNA(VLOOKUP(D41,BaseType!A:A,1,FALSE())),D41&lt;&gt;"Struct"),"N","Y")</f>
        <v>Y</v>
      </c>
      <c r="G41" s="183" t="s">
        <v>2922</v>
      </c>
      <c r="H41" s="157"/>
      <c r="I41" s="157"/>
      <c r="J41" s="157"/>
      <c r="K41" s="157"/>
      <c r="L41" s="235"/>
      <c r="M41" s="235"/>
      <c r="N41" s="236"/>
      <c r="O41" s="236"/>
      <c r="P41" s="236"/>
      <c r="Q41" s="236"/>
      <c r="R41" s="236"/>
      <c r="S41" s="236"/>
      <c r="T41" s="236"/>
    </row>
    <row r="42" spans="1:20" ht="15" customHeight="1" x14ac:dyDescent="0.2">
      <c r="A42" s="229"/>
      <c r="B42" s="235" t="str">
        <f>IF(ISBLANK(A42),"",IF(AND(ISNA(VLOOKUP(A42,Interface_T1GC!E:E,1,FALSE())),ISNA(VLOOKUP(A42,D:D,1,FALSE()))),"N","Y"))</f>
        <v/>
      </c>
      <c r="C42" s="235" t="s">
        <v>2923</v>
      </c>
      <c r="D42" s="235" t="s">
        <v>2924</v>
      </c>
      <c r="E42" s="235">
        <v>8</v>
      </c>
      <c r="F42" s="235" t="str">
        <f>IF(AND(ISNA(VLOOKUP(D42,A:A,1,FALSE())),ISNA(VLOOKUP(D42,BaseType!A:A,1,FALSE())),D42&lt;&gt;"Struct"),"N","Y")</f>
        <v>Y</v>
      </c>
      <c r="G42" s="183" t="s">
        <v>2925</v>
      </c>
      <c r="H42" s="157"/>
      <c r="I42" s="157"/>
      <c r="J42" s="157"/>
      <c r="K42" s="157"/>
      <c r="L42" s="235"/>
      <c r="M42" s="235"/>
      <c r="N42" s="236"/>
      <c r="O42" s="236"/>
      <c r="P42" s="236"/>
      <c r="Q42" s="236"/>
      <c r="R42" s="236"/>
      <c r="S42" s="236"/>
      <c r="T42" s="236"/>
    </row>
    <row r="43" spans="1:20" ht="15" customHeight="1" x14ac:dyDescent="0.2">
      <c r="A43" s="229" t="s">
        <v>2924</v>
      </c>
      <c r="B43" s="235" t="str">
        <f>IF(ISBLANK(A43),"",IF(AND(ISNA(VLOOKUP(A43,Interface_T1GC!E:E,1,FALSE())),ISNA(VLOOKUP(A43,D:D,1,FALSE()))),"N","Y"))</f>
        <v>Y</v>
      </c>
      <c r="C43" s="235"/>
      <c r="D43" s="235" t="s">
        <v>484</v>
      </c>
      <c r="E43" s="235"/>
      <c r="F43" s="235" t="str">
        <f>IF(AND(ISNA(VLOOKUP(D43,A:A,1,FALSE())),ISNA(VLOOKUP(D43,BaseType!A:A,1,FALSE())),D43&lt;&gt;"Struct"),"N","Y")</f>
        <v>Y</v>
      </c>
      <c r="G43" s="183"/>
      <c r="H43" s="157"/>
      <c r="I43" s="157"/>
      <c r="J43" s="157"/>
      <c r="K43" s="157"/>
      <c r="L43" s="235"/>
      <c r="M43" s="235"/>
      <c r="N43" s="236"/>
      <c r="O43" s="236"/>
      <c r="P43" s="236"/>
      <c r="Q43" s="236"/>
      <c r="R43" s="236"/>
      <c r="S43" s="236"/>
      <c r="T43" s="236"/>
    </row>
    <row r="44" spans="1:20" ht="15" customHeight="1" x14ac:dyDescent="0.2">
      <c r="A44" s="229"/>
      <c r="B44" s="235" t="str">
        <f>IF(ISBLANK(A44),"",IF(AND(ISNA(VLOOKUP(A44,Interface_T1GC!E:E,1,FALSE())),ISNA(VLOOKUP(A44,D:D,1,FALSE()))),"N","Y"))</f>
        <v/>
      </c>
      <c r="C44" s="235" t="s">
        <v>2926</v>
      </c>
      <c r="D44" s="235" t="s">
        <v>225</v>
      </c>
      <c r="E44" s="235">
        <v>1</v>
      </c>
      <c r="F44" s="235" t="str">
        <f>IF(AND(ISNA(VLOOKUP(D44,A:A,1,FALSE())),ISNA(VLOOKUP(D44,BaseType!A:A,1,FALSE())),D44&lt;&gt;"Struct"),"N","Y")</f>
        <v>Y</v>
      </c>
      <c r="G44" s="183" t="s">
        <v>2927</v>
      </c>
      <c r="H44" s="157"/>
      <c r="I44" s="157"/>
      <c r="J44" s="157"/>
      <c r="K44" s="157"/>
      <c r="L44" s="235"/>
      <c r="M44" s="235"/>
      <c r="N44" s="236"/>
      <c r="O44" s="236"/>
      <c r="P44" s="236"/>
      <c r="Q44" s="236"/>
      <c r="R44" s="236"/>
      <c r="S44" s="236"/>
      <c r="T44" s="236"/>
    </row>
    <row r="45" spans="1:20" ht="15" customHeight="1" x14ac:dyDescent="0.2">
      <c r="A45" s="229"/>
      <c r="B45" s="235" t="str">
        <f>IF(ISBLANK(A45),"",IF(AND(ISNA(VLOOKUP(A45,Interface_T1GC!E:E,1,FALSE())),ISNA(VLOOKUP(A45,D:D,1,FALSE()))),"N","Y"))</f>
        <v/>
      </c>
      <c r="C45" s="235" t="s">
        <v>2928</v>
      </c>
      <c r="D45" s="235" t="s">
        <v>225</v>
      </c>
      <c r="E45" s="235">
        <v>1</v>
      </c>
      <c r="F45" s="235" t="str">
        <f>IF(AND(ISNA(VLOOKUP(D45,A:A,1,FALSE())),ISNA(VLOOKUP(D45,BaseType!A:A,1,FALSE())),D45&lt;&gt;"Struct"),"N","Y")</f>
        <v>Y</v>
      </c>
      <c r="G45" s="183" t="s">
        <v>2929</v>
      </c>
      <c r="H45" s="157"/>
      <c r="I45" s="157"/>
      <c r="J45" s="157"/>
      <c r="K45" s="157"/>
      <c r="L45" s="235"/>
      <c r="M45" s="235"/>
      <c r="N45" s="236"/>
      <c r="O45" s="236"/>
      <c r="P45" s="236"/>
      <c r="Q45" s="236"/>
      <c r="R45" s="236"/>
      <c r="S45" s="236"/>
      <c r="T45" s="236"/>
    </row>
    <row r="46" spans="1:20" ht="15" customHeight="1" x14ac:dyDescent="0.2">
      <c r="A46" s="229"/>
      <c r="B46" s="235" t="str">
        <f>IF(ISBLANK(A46),"",IF(AND(ISNA(VLOOKUP(A46,Interface_T1GC!E:E,1,FALSE())),ISNA(VLOOKUP(A46,D:D,1,FALSE()))),"N","Y"))</f>
        <v/>
      </c>
      <c r="C46" s="235" t="s">
        <v>2930</v>
      </c>
      <c r="D46" s="235" t="s">
        <v>225</v>
      </c>
      <c r="E46" s="235">
        <v>1</v>
      </c>
      <c r="F46" s="235" t="str">
        <f>IF(AND(ISNA(VLOOKUP(D46,A:A,1,FALSE())),ISNA(VLOOKUP(D46,BaseType!A:A,1,FALSE())),D46&lt;&gt;"Struct"),"N","Y")</f>
        <v>Y</v>
      </c>
      <c r="G46" s="183" t="s">
        <v>2931</v>
      </c>
      <c r="H46" s="157"/>
      <c r="I46" s="157"/>
      <c r="J46" s="157"/>
      <c r="K46" s="157"/>
      <c r="L46" s="235"/>
      <c r="M46" s="235"/>
      <c r="N46" s="236"/>
      <c r="O46" s="236"/>
      <c r="P46" s="236"/>
      <c r="Q46" s="236"/>
      <c r="R46" s="236"/>
      <c r="S46" s="236"/>
      <c r="T46" s="236"/>
    </row>
    <row r="47" spans="1:20" ht="15" customHeight="1" x14ac:dyDescent="0.2">
      <c r="A47" s="229"/>
      <c r="B47" s="235" t="str">
        <f>IF(ISBLANK(A47),"",IF(AND(ISNA(VLOOKUP(A47,Interface_T1GC!E:E,1,FALSE())),ISNA(VLOOKUP(A47,D:D,1,FALSE()))),"N","Y"))</f>
        <v/>
      </c>
      <c r="C47" s="235" t="s">
        <v>2932</v>
      </c>
      <c r="D47" s="235" t="s">
        <v>225</v>
      </c>
      <c r="E47" s="235">
        <v>1</v>
      </c>
      <c r="F47" s="235" t="str">
        <f>IF(AND(ISNA(VLOOKUP(D47,A:A,1,FALSE())),ISNA(VLOOKUP(D47,BaseType!A:A,1,FALSE())),D47&lt;&gt;"Struct"),"N","Y")</f>
        <v>Y</v>
      </c>
      <c r="G47" s="183" t="s">
        <v>2933</v>
      </c>
      <c r="H47" s="157"/>
      <c r="I47" s="157"/>
      <c r="J47" s="157"/>
      <c r="K47" s="157"/>
      <c r="L47" s="235"/>
      <c r="M47" s="235"/>
      <c r="N47" s="236"/>
      <c r="O47" s="236"/>
      <c r="P47" s="236"/>
      <c r="Q47" s="236"/>
      <c r="R47" s="236"/>
      <c r="S47" s="236"/>
      <c r="T47" s="236"/>
    </row>
    <row r="48" spans="1:20" ht="15" customHeight="1" x14ac:dyDescent="0.2">
      <c r="A48" s="229"/>
      <c r="B48" s="235" t="str">
        <f>IF(ISBLANK(A48),"",IF(AND(ISNA(VLOOKUP(A48,Interface_T1GC!E:E,1,FALSE())),ISNA(VLOOKUP(A48,D:D,1,FALSE()))),"N","Y"))</f>
        <v/>
      </c>
      <c r="C48" s="235" t="s">
        <v>1868</v>
      </c>
      <c r="D48" s="235" t="s">
        <v>193</v>
      </c>
      <c r="E48" s="235">
        <v>1</v>
      </c>
      <c r="F48" s="235" t="str">
        <f>IF(AND(ISNA(VLOOKUP(D48,A:A,1,FALSE())),ISNA(VLOOKUP(D48,BaseType!A:A,1,FALSE())),D48&lt;&gt;"Struct"),"N","Y")</f>
        <v>Y</v>
      </c>
      <c r="G48" s="183" t="s">
        <v>2934</v>
      </c>
      <c r="H48" s="157"/>
      <c r="I48" s="157"/>
      <c r="J48" s="157"/>
      <c r="K48" s="157"/>
      <c r="L48" s="235"/>
      <c r="M48" s="235"/>
      <c r="N48" s="236"/>
      <c r="O48" s="236"/>
      <c r="P48" s="236"/>
      <c r="Q48" s="236"/>
      <c r="R48" s="236"/>
      <c r="S48" s="236"/>
      <c r="T48" s="236"/>
    </row>
    <row r="49" spans="1:20" ht="15" customHeight="1" x14ac:dyDescent="0.2">
      <c r="A49" s="229"/>
      <c r="B49" s="235" t="str">
        <f>IF(ISBLANK(A49),"",IF(AND(ISNA(VLOOKUP(A49,Interface_T1GC!E:E,1,FALSE())),ISNA(VLOOKUP(A49,D:D,1,FALSE()))),"N","Y"))</f>
        <v/>
      </c>
      <c r="C49" s="235" t="s">
        <v>2935</v>
      </c>
      <c r="D49" s="235" t="s">
        <v>193</v>
      </c>
      <c r="E49" s="235">
        <v>1</v>
      </c>
      <c r="F49" s="235" t="str">
        <f>IF(AND(ISNA(VLOOKUP(D49,A:A,1,FALSE())),ISNA(VLOOKUP(D49,BaseType!A:A,1,FALSE())),D49&lt;&gt;"Struct"),"N","Y")</f>
        <v>Y</v>
      </c>
      <c r="G49" s="183" t="s">
        <v>2936</v>
      </c>
      <c r="H49" s="157"/>
      <c r="I49" s="157"/>
      <c r="J49" s="157"/>
      <c r="K49" s="157"/>
      <c r="L49" s="235"/>
      <c r="M49" s="235"/>
      <c r="N49" s="236"/>
      <c r="O49" s="236"/>
      <c r="P49" s="236"/>
      <c r="Q49" s="236"/>
      <c r="R49" s="236"/>
      <c r="S49" s="236"/>
      <c r="T49" s="236"/>
    </row>
    <row r="50" spans="1:20" ht="15" customHeight="1" x14ac:dyDescent="0.2">
      <c r="A50" s="229"/>
      <c r="B50" s="235" t="str">
        <f>IF(ISBLANK(A50),"",IF(AND(ISNA(VLOOKUP(A50,Interface_T1GC!E:E,1,FALSE())),ISNA(VLOOKUP(A50,D:D,1,FALSE()))),"N","Y"))</f>
        <v/>
      </c>
      <c r="C50" s="235" t="s">
        <v>2937</v>
      </c>
      <c r="D50" s="235" t="s">
        <v>225</v>
      </c>
      <c r="E50" s="235">
        <v>1</v>
      </c>
      <c r="F50" s="235" t="str">
        <f>IF(AND(ISNA(VLOOKUP(D50,A:A,1,FALSE())),ISNA(VLOOKUP(D50,BaseType!A:A,1,FALSE())),D50&lt;&gt;"Struct"),"N","Y")</f>
        <v>Y</v>
      </c>
      <c r="G50" s="183" t="s">
        <v>2938</v>
      </c>
      <c r="H50" s="157"/>
      <c r="I50" s="157"/>
      <c r="J50" s="157"/>
      <c r="K50" s="157"/>
      <c r="L50" s="235"/>
      <c r="M50" s="235"/>
      <c r="N50" s="236"/>
      <c r="O50" s="236"/>
      <c r="P50" s="236"/>
      <c r="Q50" s="236"/>
      <c r="R50" s="236"/>
      <c r="S50" s="236"/>
      <c r="T50" s="236"/>
    </row>
    <row r="51" spans="1:20" ht="15" customHeight="1" x14ac:dyDescent="0.2">
      <c r="A51" s="229"/>
      <c r="B51" s="235" t="str">
        <f>IF(ISBLANK(A51),"",IF(AND(ISNA(VLOOKUP(A51,Interface_T1GC!E:E,1,FALSE())),ISNA(VLOOKUP(A51,D:D,1,FALSE()))),"N","Y"))</f>
        <v/>
      </c>
      <c r="C51" s="235" t="s">
        <v>2939</v>
      </c>
      <c r="D51" s="235" t="s">
        <v>225</v>
      </c>
      <c r="E51" s="235">
        <v>1</v>
      </c>
      <c r="F51" s="235" t="str">
        <f>IF(AND(ISNA(VLOOKUP(D51,A:A,1,FALSE())),ISNA(VLOOKUP(D51,BaseType!A:A,1,FALSE())),D51&lt;&gt;"Struct"),"N","Y")</f>
        <v>Y</v>
      </c>
      <c r="G51" s="183" t="s">
        <v>2940</v>
      </c>
      <c r="H51" s="157"/>
      <c r="I51" s="157"/>
      <c r="J51" s="157"/>
      <c r="K51" s="157"/>
      <c r="L51" s="235"/>
      <c r="M51" s="235"/>
      <c r="N51" s="236"/>
      <c r="O51" s="236"/>
      <c r="P51" s="236"/>
      <c r="Q51" s="236"/>
      <c r="R51" s="236"/>
      <c r="S51" s="236"/>
      <c r="T51" s="236"/>
    </row>
    <row r="52" spans="1:20" ht="15" customHeight="1" x14ac:dyDescent="0.2">
      <c r="A52" s="229"/>
      <c r="B52" s="235" t="str">
        <f>IF(ISBLANK(A52),"",IF(AND(ISNA(VLOOKUP(A52,Interface_T1GC!E:E,1,FALSE())),ISNA(VLOOKUP(A52,D:D,1,FALSE()))),"N","Y"))</f>
        <v/>
      </c>
      <c r="C52" s="235" t="s">
        <v>2941</v>
      </c>
      <c r="D52" s="235" t="s">
        <v>193</v>
      </c>
      <c r="E52" s="235">
        <v>1</v>
      </c>
      <c r="F52" s="235" t="str">
        <f>IF(AND(ISNA(VLOOKUP(D52,A:A,1,FALSE())),ISNA(VLOOKUP(D52,BaseType!A:A,1,FALSE())),D52&lt;&gt;"Struct"),"N","Y")</f>
        <v>Y</v>
      </c>
      <c r="G52" s="183" t="s">
        <v>2942</v>
      </c>
      <c r="H52" s="157"/>
      <c r="I52" s="157"/>
      <c r="J52" s="157"/>
      <c r="K52" s="157"/>
      <c r="L52" s="235"/>
      <c r="M52" s="235"/>
      <c r="N52" s="236"/>
      <c r="O52" s="236"/>
      <c r="P52" s="236"/>
      <c r="Q52" s="236"/>
      <c r="R52" s="236"/>
      <c r="S52" s="236"/>
      <c r="T52" s="236"/>
    </row>
    <row r="53" spans="1:20" ht="15" customHeight="1" x14ac:dyDescent="0.2">
      <c r="A53" s="229" t="s">
        <v>2882</v>
      </c>
      <c r="B53" s="235" t="str">
        <f>IF(ISBLANK(A53),"",IF(AND(ISNA(VLOOKUP(A53,Interface_T1GC!E:E,1,FALSE())),ISNA(VLOOKUP(A53,D:D,1,FALSE()))),"N","Y"))</f>
        <v>Y</v>
      </c>
      <c r="C53" s="235"/>
      <c r="D53" s="235" t="s">
        <v>484</v>
      </c>
      <c r="E53" s="235"/>
      <c r="F53" s="235" t="str">
        <f>IF(AND(ISNA(VLOOKUP(D53,A:A,1,FALSE())),ISNA(VLOOKUP(D53,BaseType!A:A,1,FALSE())),D53&lt;&gt;"Struct"),"N","Y")</f>
        <v>Y</v>
      </c>
      <c r="G53" s="183"/>
      <c r="H53" s="157"/>
      <c r="I53" s="157"/>
      <c r="J53" s="157"/>
      <c r="K53" s="157"/>
      <c r="L53" s="235"/>
      <c r="M53" s="235"/>
      <c r="N53" s="236"/>
      <c r="O53" s="236"/>
      <c r="P53" s="236"/>
      <c r="Q53" s="236"/>
      <c r="R53" s="236"/>
      <c r="S53" s="236"/>
      <c r="T53" s="236"/>
    </row>
    <row r="54" spans="1:20" ht="15" customHeight="1" x14ac:dyDescent="0.2">
      <c r="A54" s="229"/>
      <c r="B54" s="235" t="str">
        <f>IF(ISBLANK(A54),"",IF(AND(ISNA(VLOOKUP(A54,Interface_T1GC!E:E,1,FALSE())),ISNA(VLOOKUP(A54,D:D,1,FALSE()))),"N","Y"))</f>
        <v/>
      </c>
      <c r="C54" s="235" t="s">
        <v>1342</v>
      </c>
      <c r="D54" s="235" t="s">
        <v>631</v>
      </c>
      <c r="E54" s="235">
        <v>1</v>
      </c>
      <c r="F54" s="235" t="str">
        <f>IF(AND(ISNA(VLOOKUP(D54,A:A,1,FALSE())),ISNA(VLOOKUP(D54,BaseType!A:A,1,FALSE())),D54&lt;&gt;"Struct"),"N","Y")</f>
        <v>Y</v>
      </c>
      <c r="G54" s="183" t="s">
        <v>2887</v>
      </c>
      <c r="H54" s="157"/>
      <c r="I54" s="157"/>
      <c r="J54" s="157"/>
      <c r="K54" s="157"/>
      <c r="L54" s="235"/>
      <c r="M54" s="235"/>
      <c r="N54" s="236"/>
      <c r="O54" s="236"/>
      <c r="P54" s="236"/>
      <c r="Q54" s="236"/>
      <c r="R54" s="236"/>
      <c r="S54" s="236"/>
      <c r="T54" s="236"/>
    </row>
    <row r="55" spans="1:20" ht="15" customHeight="1" x14ac:dyDescent="0.2">
      <c r="A55" s="229"/>
      <c r="B55" s="235" t="str">
        <f>IF(ISBLANK(A55),"",IF(AND(ISNA(VLOOKUP(A55,Interface_T1GC!E:E,1,FALSE())),ISNA(VLOOKUP(A55,D:D,1,FALSE()))),"N","Y"))</f>
        <v/>
      </c>
      <c r="C55" s="157" t="s">
        <v>2943</v>
      </c>
      <c r="D55" s="235" t="s">
        <v>193</v>
      </c>
      <c r="E55" s="235">
        <v>1</v>
      </c>
      <c r="F55" s="235" t="str">
        <f>IF(AND(ISNA(VLOOKUP(D55,A:A,1,FALSE())),ISNA(VLOOKUP(D55,BaseType!A:A,1,FALSE())),D55&lt;&gt;"Struct"),"N","Y")</f>
        <v>Y</v>
      </c>
      <c r="G55" s="183" t="s">
        <v>2944</v>
      </c>
      <c r="H55" s="157"/>
      <c r="I55" s="157"/>
      <c r="J55" s="157"/>
      <c r="K55" s="157"/>
      <c r="L55" s="157"/>
      <c r="M55" s="157"/>
      <c r="N55" s="236"/>
      <c r="O55" s="236"/>
      <c r="P55" s="236"/>
      <c r="Q55" s="236"/>
      <c r="R55" s="236"/>
      <c r="S55" s="236"/>
      <c r="T55" s="236"/>
    </row>
    <row r="56" spans="1:20" ht="15" customHeight="1" x14ac:dyDescent="0.2">
      <c r="A56" s="229"/>
      <c r="B56" s="235" t="str">
        <f>IF(ISBLANK(A56),"",IF(AND(ISNA(VLOOKUP(A56,Interface_T1GC!E:E,1,FALSE())),ISNA(VLOOKUP(A56,D:D,1,FALSE()))),"N","Y"))</f>
        <v/>
      </c>
      <c r="C56" s="157" t="s">
        <v>2945</v>
      </c>
      <c r="D56" s="235" t="s">
        <v>2946</v>
      </c>
      <c r="E56" s="157">
        <v>64</v>
      </c>
      <c r="F56" s="235" t="str">
        <f>IF(AND(ISNA(VLOOKUP(D56,A:A,1,FALSE())),ISNA(VLOOKUP(D56,BaseType!A:A,1,FALSE())),D56&lt;&gt;"Struct"),"N","Y")</f>
        <v>Y</v>
      </c>
      <c r="G56" s="183" t="s">
        <v>2947</v>
      </c>
      <c r="H56" s="157"/>
      <c r="I56" s="157"/>
      <c r="J56" s="157"/>
      <c r="K56" s="157"/>
      <c r="L56" s="157"/>
      <c r="M56" s="157"/>
      <c r="N56" s="236"/>
      <c r="O56" s="236"/>
      <c r="P56" s="236"/>
      <c r="Q56" s="236"/>
      <c r="R56" s="236"/>
      <c r="S56" s="236"/>
      <c r="T56" s="236"/>
    </row>
    <row r="57" spans="1:20" ht="15" customHeight="1" x14ac:dyDescent="0.2">
      <c r="A57" s="229" t="s">
        <v>2946</v>
      </c>
      <c r="B57" s="235" t="str">
        <f>IF(ISBLANK(A57),"",IF(AND(ISNA(VLOOKUP(A57,Interface_T1GC!E:E,1,FALSE())),ISNA(VLOOKUP(A57,D:D,1,FALSE()))),"N","Y"))</f>
        <v>Y</v>
      </c>
      <c r="C57" s="157"/>
      <c r="D57" s="235" t="s">
        <v>484</v>
      </c>
      <c r="E57" s="157"/>
      <c r="F57" s="235" t="str">
        <f>IF(AND(ISNA(VLOOKUP(D57,A:A,1,FALSE())),ISNA(VLOOKUP(D57,BaseType!A:A,1,FALSE())),D57&lt;&gt;"Struct"),"N","Y")</f>
        <v>Y</v>
      </c>
      <c r="G57" s="183"/>
      <c r="H57" s="157"/>
      <c r="I57" s="157"/>
      <c r="J57" s="157"/>
      <c r="K57" s="157"/>
      <c r="L57" s="157"/>
      <c r="M57" s="157"/>
      <c r="N57" s="236"/>
      <c r="O57" s="236"/>
      <c r="P57" s="236"/>
      <c r="Q57" s="236"/>
      <c r="R57" s="236"/>
      <c r="S57" s="236"/>
      <c r="T57" s="236"/>
    </row>
    <row r="58" spans="1:20" ht="15" customHeight="1" x14ac:dyDescent="0.2">
      <c r="A58" s="229"/>
      <c r="B58" s="235" t="str">
        <f>IF(ISBLANK(A58),"",IF(AND(ISNA(VLOOKUP(A58,Interface_T1GC!E:E,1,FALSE())),ISNA(VLOOKUP(A58,D:D,1,FALSE()))),"N","Y"))</f>
        <v/>
      </c>
      <c r="C58" s="157" t="s">
        <v>2948</v>
      </c>
      <c r="D58" s="235" t="s">
        <v>225</v>
      </c>
      <c r="E58" s="235">
        <v>1</v>
      </c>
      <c r="F58" s="235" t="str">
        <f>IF(AND(ISNA(VLOOKUP(D58,A:A,1,FALSE())),ISNA(VLOOKUP(D58,BaseType!A:A,1,FALSE())),D58&lt;&gt;"Struct"),"N","Y")</f>
        <v>Y</v>
      </c>
      <c r="G58" s="183" t="s">
        <v>2949</v>
      </c>
      <c r="H58" s="157"/>
      <c r="I58" s="157"/>
      <c r="J58" s="157"/>
      <c r="K58" s="157"/>
      <c r="L58" s="157"/>
      <c r="M58" s="157"/>
      <c r="N58" s="236"/>
      <c r="O58" s="236"/>
      <c r="P58" s="236"/>
      <c r="Q58" s="236"/>
      <c r="R58" s="236"/>
      <c r="S58" s="236"/>
      <c r="T58" s="236"/>
    </row>
    <row r="59" spans="1:20" ht="15" customHeight="1" x14ac:dyDescent="0.2">
      <c r="A59" s="229"/>
      <c r="B59" s="235" t="str">
        <f>IF(ISBLANK(A59),"",IF(AND(ISNA(VLOOKUP(A59,Interface_T1GC!E:E,1,FALSE())),ISNA(VLOOKUP(A59,D:D,1,FALSE()))),"N","Y"))</f>
        <v/>
      </c>
      <c r="C59" s="157" t="s">
        <v>2950</v>
      </c>
      <c r="D59" s="235" t="s">
        <v>225</v>
      </c>
      <c r="E59" s="235">
        <v>1</v>
      </c>
      <c r="F59" s="235" t="str">
        <f>IF(AND(ISNA(VLOOKUP(D59,A:A,1,FALSE())),ISNA(VLOOKUP(D59,BaseType!A:A,1,FALSE())),D59&lt;&gt;"Struct"),"N","Y")</f>
        <v>Y</v>
      </c>
      <c r="G59" s="183" t="s">
        <v>2951</v>
      </c>
      <c r="H59" s="157"/>
      <c r="I59" s="157"/>
      <c r="J59" s="157"/>
      <c r="K59" s="157"/>
      <c r="L59" s="157"/>
      <c r="M59" s="157"/>
      <c r="N59" s="236"/>
      <c r="O59" s="236"/>
      <c r="P59" s="236"/>
      <c r="Q59" s="236"/>
      <c r="R59" s="236"/>
      <c r="S59" s="236"/>
      <c r="T59" s="236"/>
    </row>
    <row r="60" spans="1:20" ht="15" customHeight="1" x14ac:dyDescent="0.2">
      <c r="A60" s="229" t="s">
        <v>2885</v>
      </c>
      <c r="B60" s="235" t="str">
        <f>IF(ISBLANK(A60),"",IF(AND(ISNA(VLOOKUP(A60,Interface_T1GC!E:E,1,FALSE())),ISNA(VLOOKUP(A60,D:D,1,FALSE()))),"N","Y"))</f>
        <v>Y</v>
      </c>
      <c r="C60" s="157"/>
      <c r="D60" s="235" t="s">
        <v>484</v>
      </c>
      <c r="E60" s="157"/>
      <c r="F60" s="235" t="str">
        <f>IF(AND(ISNA(VLOOKUP(D60,A:A,1,FALSE())),ISNA(VLOOKUP(D60,BaseType!A:A,1,FALSE())),D60&lt;&gt;"Struct"),"N","Y")</f>
        <v>Y</v>
      </c>
      <c r="G60" s="183"/>
      <c r="H60" s="157"/>
      <c r="I60" s="157"/>
      <c r="J60" s="157"/>
      <c r="K60" s="157"/>
      <c r="L60" s="157"/>
      <c r="M60" s="157"/>
      <c r="N60" s="236"/>
      <c r="O60" s="236"/>
      <c r="P60" s="236"/>
      <c r="Q60" s="236"/>
      <c r="R60" s="236"/>
      <c r="S60" s="236"/>
      <c r="T60" s="236"/>
    </row>
    <row r="61" spans="1:20" ht="15" customHeight="1" x14ac:dyDescent="0.2">
      <c r="A61" s="229"/>
      <c r="B61" s="235" t="str">
        <f>IF(ISBLANK(A61),"",IF(AND(ISNA(VLOOKUP(A61,Interface_T1GC!E:E,1,FALSE())),ISNA(VLOOKUP(A61,D:D,1,FALSE()))),"N","Y"))</f>
        <v/>
      </c>
      <c r="C61" s="157" t="s">
        <v>1342</v>
      </c>
      <c r="D61" s="235" t="s">
        <v>631</v>
      </c>
      <c r="E61" s="235">
        <v>1</v>
      </c>
      <c r="F61" s="235" t="str">
        <f>IF(AND(ISNA(VLOOKUP(D61,A:A,1,FALSE())),ISNA(VLOOKUP(D61,BaseType!A:A,1,FALSE())),D61&lt;&gt;"Struct"),"N","Y")</f>
        <v>Y</v>
      </c>
      <c r="G61" s="183" t="s">
        <v>2887</v>
      </c>
      <c r="H61" s="157"/>
      <c r="I61" s="157"/>
      <c r="J61" s="157"/>
      <c r="K61" s="157"/>
      <c r="L61" s="157"/>
      <c r="M61" s="157"/>
      <c r="N61" s="236"/>
      <c r="O61" s="236"/>
      <c r="P61" s="236"/>
      <c r="Q61" s="236"/>
      <c r="R61" s="236"/>
      <c r="S61" s="236"/>
      <c r="T61" s="236"/>
    </row>
    <row r="62" spans="1:20" ht="15" customHeight="1" x14ac:dyDescent="0.2">
      <c r="A62" s="229"/>
      <c r="B62" s="235" t="str">
        <f>IF(ISBLANK(A62),"",IF(AND(ISNA(VLOOKUP(A62,Interface_T1GC!E:E,1,FALSE())),ISNA(VLOOKUP(A62,D:D,1,FALSE()))),"N","Y"))</f>
        <v/>
      </c>
      <c r="C62" s="157" t="s">
        <v>2952</v>
      </c>
      <c r="D62" s="235" t="s">
        <v>193</v>
      </c>
      <c r="E62" s="235">
        <v>1</v>
      </c>
      <c r="F62" s="235" t="str">
        <f>IF(AND(ISNA(VLOOKUP(D62,A:A,1,FALSE())),ISNA(VLOOKUP(D62,BaseType!A:A,1,FALSE())),D62&lt;&gt;"Struct"),"N","Y")</f>
        <v>Y</v>
      </c>
      <c r="G62" s="183" t="s">
        <v>2953</v>
      </c>
      <c r="H62" s="157"/>
      <c r="I62" s="157"/>
      <c r="J62" s="157"/>
      <c r="K62" s="157"/>
      <c r="L62" s="157"/>
      <c r="M62" s="157"/>
      <c r="N62" s="236"/>
      <c r="O62" s="236"/>
      <c r="P62" s="236"/>
      <c r="Q62" s="236"/>
      <c r="R62" s="236"/>
      <c r="S62" s="236"/>
      <c r="T62" s="236"/>
    </row>
    <row r="63" spans="1:20" ht="15" customHeight="1" x14ac:dyDescent="0.2">
      <c r="A63" s="229"/>
      <c r="B63" s="235" t="str">
        <f>IF(ISBLANK(A63),"",IF(AND(ISNA(VLOOKUP(A63,Interface_T1GC!E:E,1,FALSE())),ISNA(VLOOKUP(A63,D:D,1,FALSE()))),"N","Y"))</f>
        <v/>
      </c>
      <c r="C63" s="157" t="s">
        <v>2954</v>
      </c>
      <c r="D63" s="235" t="s">
        <v>193</v>
      </c>
      <c r="E63" s="235">
        <v>1</v>
      </c>
      <c r="F63" s="235" t="str">
        <f>IF(AND(ISNA(VLOOKUP(D63,A:A,1,FALSE())),ISNA(VLOOKUP(D63,BaseType!A:A,1,FALSE())),D63&lt;&gt;"Struct"),"N","Y")</f>
        <v>Y</v>
      </c>
      <c r="G63" s="183" t="s">
        <v>2955</v>
      </c>
      <c r="H63" s="157"/>
      <c r="I63" s="157"/>
      <c r="J63" s="157"/>
      <c r="K63" s="157"/>
      <c r="L63" s="157"/>
      <c r="M63" s="157"/>
      <c r="N63" s="236"/>
      <c r="O63" s="236"/>
      <c r="P63" s="236"/>
      <c r="Q63" s="236"/>
      <c r="R63" s="236"/>
      <c r="S63" s="236"/>
      <c r="T63" s="236"/>
    </row>
    <row r="64" spans="1:20" ht="15" customHeight="1" x14ac:dyDescent="0.2">
      <c r="A64" s="229"/>
      <c r="B64" s="235" t="str">
        <f>IF(ISBLANK(A64),"",IF(AND(ISNA(VLOOKUP(A64,Interface_T1GC!E:E,1,FALSE())),ISNA(VLOOKUP(A64,D:D,1,FALSE()))),"N","Y"))</f>
        <v/>
      </c>
      <c r="C64" s="157" t="s">
        <v>2956</v>
      </c>
      <c r="D64" s="235" t="s">
        <v>193</v>
      </c>
      <c r="E64" s="235">
        <v>1</v>
      </c>
      <c r="F64" s="235" t="str">
        <f>IF(AND(ISNA(VLOOKUP(D64,A:A,1,FALSE())),ISNA(VLOOKUP(D64,BaseType!A:A,1,FALSE())),D64&lt;&gt;"Struct"),"N","Y")</f>
        <v>Y</v>
      </c>
      <c r="G64" s="183" t="s">
        <v>2957</v>
      </c>
      <c r="H64" s="157"/>
      <c r="I64" s="157"/>
      <c r="J64" s="157"/>
      <c r="K64" s="157"/>
      <c r="L64" s="157"/>
      <c r="M64" s="157"/>
      <c r="N64" s="236"/>
      <c r="O64" s="236"/>
      <c r="P64" s="236"/>
      <c r="Q64" s="236"/>
      <c r="R64" s="236"/>
      <c r="S64" s="236"/>
      <c r="T64" s="236"/>
    </row>
    <row r="65" spans="1:20" ht="15" customHeight="1" x14ac:dyDescent="0.2">
      <c r="A65" s="229"/>
      <c r="B65" s="235" t="str">
        <f>IF(ISBLANK(A65),"",IF(AND(ISNA(VLOOKUP(A65,Interface_T1GC!E:E,1,FALSE())),ISNA(VLOOKUP(A65,D:D,1,FALSE()))),"N","Y"))</f>
        <v/>
      </c>
      <c r="C65" s="157" t="s">
        <v>2958</v>
      </c>
      <c r="D65" s="235" t="s">
        <v>225</v>
      </c>
      <c r="E65" s="235">
        <v>1</v>
      </c>
      <c r="F65" s="235" t="str">
        <f>IF(AND(ISNA(VLOOKUP(D65,A:A,1,FALSE())),ISNA(VLOOKUP(D65,BaseType!A:A,1,FALSE())),D65&lt;&gt;"Struct"),"N","Y")</f>
        <v>Y</v>
      </c>
      <c r="G65" s="183" t="s">
        <v>2959</v>
      </c>
      <c r="H65" s="157"/>
      <c r="I65" s="157"/>
      <c r="J65" s="157"/>
      <c r="K65" s="157"/>
      <c r="L65" s="157"/>
      <c r="M65" s="157"/>
      <c r="N65" s="236"/>
      <c r="O65" s="236"/>
      <c r="P65" s="236"/>
      <c r="Q65" s="236"/>
      <c r="R65" s="236"/>
      <c r="S65" s="236"/>
      <c r="T65" s="236"/>
    </row>
    <row r="66" spans="1:20" ht="15" customHeight="1" x14ac:dyDescent="0.2">
      <c r="A66" s="229"/>
      <c r="B66" s="235" t="str">
        <f>IF(ISBLANK(A66),"",IF(AND(ISNA(VLOOKUP(A66,Interface_T1GC!E:E,1,FALSE())),ISNA(VLOOKUP(A66,D:D,1,FALSE()))),"N","Y"))</f>
        <v/>
      </c>
      <c r="C66" s="157" t="s">
        <v>2960</v>
      </c>
      <c r="D66" s="235" t="s">
        <v>225</v>
      </c>
      <c r="E66" s="235">
        <v>1</v>
      </c>
      <c r="F66" s="235" t="str">
        <f>IF(AND(ISNA(VLOOKUP(D66,A:A,1,FALSE())),ISNA(VLOOKUP(D66,BaseType!A:A,1,FALSE())),D66&lt;&gt;"Struct"),"N","Y")</f>
        <v>Y</v>
      </c>
      <c r="G66" s="183" t="s">
        <v>2961</v>
      </c>
      <c r="H66" s="157"/>
      <c r="I66" s="157"/>
      <c r="J66" s="157"/>
      <c r="K66" s="157"/>
      <c r="L66" s="157"/>
      <c r="M66" s="157"/>
      <c r="N66" s="236"/>
      <c r="O66" s="236"/>
      <c r="P66" s="236"/>
      <c r="Q66" s="236"/>
      <c r="R66" s="236"/>
      <c r="S66" s="236"/>
      <c r="T66" s="236"/>
    </row>
    <row r="67" spans="1:20" ht="15" customHeight="1" x14ac:dyDescent="0.2">
      <c r="A67" s="229"/>
      <c r="B67" s="235" t="str">
        <f>IF(ISBLANK(A67),"",IF(AND(ISNA(VLOOKUP(A67,Interface_T1GC!E:E,1,FALSE())),ISNA(VLOOKUP(A67,D:D,1,FALSE()))),"N","Y"))</f>
        <v/>
      </c>
      <c r="C67" s="157" t="s">
        <v>2962</v>
      </c>
      <c r="D67" s="235" t="s">
        <v>225</v>
      </c>
      <c r="E67" s="235">
        <v>1</v>
      </c>
      <c r="F67" s="235" t="str">
        <f>IF(AND(ISNA(VLOOKUP(D67,A:A,1,FALSE())),ISNA(VLOOKUP(D67,BaseType!A:A,1,FALSE())),D67&lt;&gt;"Struct"),"N","Y")</f>
        <v>Y</v>
      </c>
      <c r="G67" s="183" t="s">
        <v>2963</v>
      </c>
      <c r="H67" s="157"/>
      <c r="I67" s="157"/>
      <c r="J67" s="157"/>
      <c r="K67" s="157"/>
      <c r="L67" s="157"/>
      <c r="M67" s="157"/>
      <c r="N67" s="236"/>
      <c r="O67" s="236"/>
      <c r="P67" s="236"/>
      <c r="Q67" s="236"/>
      <c r="R67" s="236"/>
      <c r="S67" s="236"/>
      <c r="T67" s="236"/>
    </row>
    <row r="68" spans="1:20" ht="15" customHeight="1" x14ac:dyDescent="0.2">
      <c r="A68" s="229" t="s">
        <v>2844</v>
      </c>
      <c r="B68" s="235" t="str">
        <f>IF(ISBLANK(A68),"",IF(AND(ISNA(VLOOKUP(A68,Interface_T1GC!E:E,1,FALSE())),ISNA(VLOOKUP(A68,D:D,1,FALSE()))),"N","Y"))</f>
        <v>Y</v>
      </c>
      <c r="C68" s="157"/>
      <c r="D68" s="235" t="s">
        <v>484</v>
      </c>
      <c r="E68" s="157"/>
      <c r="F68" s="235" t="str">
        <f>IF(AND(ISNA(VLOOKUP(D68,A:A,1,FALSE())),ISNA(VLOOKUP(D68,BaseType!A:A,1,FALSE())),D68&lt;&gt;"Struct"),"N","Y")</f>
        <v>Y</v>
      </c>
      <c r="G68" s="183" t="s">
        <v>2964</v>
      </c>
      <c r="H68" s="157"/>
      <c r="I68" s="157"/>
      <c r="J68" s="157"/>
      <c r="K68" s="157"/>
      <c r="L68" s="157"/>
      <c r="M68" s="157"/>
      <c r="N68" s="236"/>
      <c r="O68" s="236"/>
      <c r="P68" s="236"/>
      <c r="Q68" s="236"/>
      <c r="R68" s="236"/>
      <c r="S68" s="236"/>
      <c r="T68" s="236"/>
    </row>
    <row r="69" spans="1:20" ht="15" customHeight="1" x14ac:dyDescent="0.2">
      <c r="A69" s="229"/>
      <c r="B69" s="235" t="str">
        <f>IF(ISBLANK(A69),"",IF(AND(ISNA(VLOOKUP(A69,Interface_T1GC!E:E,1,FALSE())),ISNA(VLOOKUP(A69,D:D,1,FALSE()))),"N","Y"))</f>
        <v/>
      </c>
      <c r="C69" s="157" t="s">
        <v>2965</v>
      </c>
      <c r="D69" s="235" t="s">
        <v>193</v>
      </c>
      <c r="E69" s="235">
        <v>1</v>
      </c>
      <c r="F69" s="235" t="str">
        <f>IF(AND(ISNA(VLOOKUP(D69,A:A,1,FALSE())),ISNA(VLOOKUP(D69,BaseType!A:A,1,FALSE())),D69&lt;&gt;"Struct"),"N","Y")</f>
        <v>Y</v>
      </c>
      <c r="G69" s="183" t="s">
        <v>2966</v>
      </c>
      <c r="H69" s="157"/>
      <c r="I69" s="157"/>
      <c r="J69" s="157"/>
      <c r="K69" s="157"/>
      <c r="L69" s="157"/>
      <c r="M69" s="157"/>
      <c r="N69" s="236"/>
      <c r="O69" s="236"/>
      <c r="P69" s="236"/>
      <c r="Q69" s="236"/>
      <c r="R69" s="236"/>
      <c r="S69" s="236"/>
      <c r="T69" s="236"/>
    </row>
    <row r="70" spans="1:20" ht="15" customHeight="1" x14ac:dyDescent="0.2">
      <c r="A70" s="229" t="s">
        <v>2846</v>
      </c>
      <c r="B70" s="235" t="str">
        <f>IF(ISBLANK(A70),"",IF(AND(ISNA(VLOOKUP(A70,Interface_T1GC!E:E,1,FALSE())),ISNA(VLOOKUP(A70,D:D,1,FALSE()))),"N","Y"))</f>
        <v>Y</v>
      </c>
      <c r="C70" s="157"/>
      <c r="D70" s="235" t="s">
        <v>484</v>
      </c>
      <c r="E70" s="157"/>
      <c r="F70" s="235" t="str">
        <f>IF(AND(ISNA(VLOOKUP(D70,A:A,1,FALSE())),ISNA(VLOOKUP(D70,BaseType!A:A,1,FALSE())),D70&lt;&gt;"Struct"),"N","Y")</f>
        <v>Y</v>
      </c>
      <c r="G70" s="183" t="s">
        <v>2967</v>
      </c>
      <c r="H70" s="157"/>
      <c r="I70" s="157"/>
      <c r="J70" s="157"/>
      <c r="K70" s="157"/>
      <c r="L70" s="157"/>
      <c r="M70" s="157"/>
      <c r="N70" s="236"/>
      <c r="O70" s="236"/>
      <c r="P70" s="236"/>
      <c r="Q70" s="236"/>
      <c r="R70" s="236"/>
      <c r="S70" s="236"/>
      <c r="T70" s="236"/>
    </row>
    <row r="71" spans="1:20" ht="15" customHeight="1" x14ac:dyDescent="0.2">
      <c r="A71" s="229"/>
      <c r="B71" s="235" t="str">
        <f>IF(ISBLANK(A71),"",IF(AND(ISNA(VLOOKUP(A71,Interface_T1GC!E:E,1,FALSE())),ISNA(VLOOKUP(A71,D:D,1,FALSE()))),"N","Y"))</f>
        <v/>
      </c>
      <c r="C71" s="157" t="s">
        <v>1342</v>
      </c>
      <c r="D71" s="235" t="s">
        <v>631</v>
      </c>
      <c r="E71" s="235">
        <v>1</v>
      </c>
      <c r="F71" s="235" t="str">
        <f>IF(AND(ISNA(VLOOKUP(D71,A:A,1,FALSE())),ISNA(VLOOKUP(D71,BaseType!A:A,1,FALSE())),D71&lt;&gt;"Struct"),"N","Y")</f>
        <v>Y</v>
      </c>
      <c r="G71" s="183" t="s">
        <v>2887</v>
      </c>
      <c r="H71" s="157"/>
      <c r="I71" s="157"/>
      <c r="J71" s="157"/>
      <c r="K71" s="157"/>
      <c r="L71" s="157"/>
      <c r="M71" s="157"/>
      <c r="N71" s="236"/>
      <c r="O71" s="236"/>
      <c r="P71" s="236"/>
      <c r="Q71" s="236"/>
      <c r="R71" s="236"/>
      <c r="S71" s="236"/>
      <c r="T71" s="236"/>
    </row>
    <row r="72" spans="1:20" ht="15" customHeight="1" x14ac:dyDescent="0.2">
      <c r="A72" s="229"/>
      <c r="B72" s="235" t="str">
        <f>IF(ISBLANK(A72),"",IF(AND(ISNA(VLOOKUP(A72,Interface_T1GC!E:E,1,FALSE())),ISNA(VLOOKUP(A72,D:D,1,FALSE()))),"N","Y"))</f>
        <v/>
      </c>
      <c r="C72" s="157" t="s">
        <v>2968</v>
      </c>
      <c r="D72" s="235" t="s">
        <v>193</v>
      </c>
      <c r="E72" s="235">
        <v>1</v>
      </c>
      <c r="F72" s="235" t="str">
        <f>IF(AND(ISNA(VLOOKUP(D72,A:A,1,FALSE())),ISNA(VLOOKUP(D72,BaseType!A:A,1,FALSE())),D72&lt;&gt;"Struct"),"N","Y")</f>
        <v>Y</v>
      </c>
      <c r="G72" s="183" t="s">
        <v>2969</v>
      </c>
      <c r="H72" s="157"/>
      <c r="I72" s="157"/>
      <c r="J72" s="157"/>
      <c r="K72" s="157"/>
      <c r="L72" s="157"/>
      <c r="M72" s="157"/>
      <c r="N72" s="236"/>
      <c r="O72" s="236"/>
      <c r="P72" s="236"/>
      <c r="Q72" s="236"/>
      <c r="R72" s="236"/>
      <c r="S72" s="236"/>
      <c r="T72" s="236"/>
    </row>
    <row r="73" spans="1:20" ht="15" customHeight="1" x14ac:dyDescent="0.2">
      <c r="A73" s="229"/>
      <c r="B73" s="235" t="str">
        <f>IF(ISBLANK(A73),"",IF(AND(ISNA(VLOOKUP(A73,Interface_T1GC!E:E,1,FALSE())),ISNA(VLOOKUP(A73,D:D,1,FALSE()))),"N","Y"))</f>
        <v/>
      </c>
      <c r="C73" s="157" t="s">
        <v>2970</v>
      </c>
      <c r="D73" s="235" t="s">
        <v>193</v>
      </c>
      <c r="E73" s="235">
        <v>1</v>
      </c>
      <c r="F73" s="235" t="str">
        <f>IF(AND(ISNA(VLOOKUP(D73,A:A,1,FALSE())),ISNA(VLOOKUP(D73,BaseType!A:A,1,FALSE())),D73&lt;&gt;"Struct"),"N","Y")</f>
        <v>Y</v>
      </c>
      <c r="G73" s="183" t="s">
        <v>2971</v>
      </c>
      <c r="H73" s="157"/>
      <c r="I73" s="157"/>
      <c r="J73" s="157"/>
      <c r="K73" s="157"/>
      <c r="L73" s="157"/>
      <c r="M73" s="157"/>
      <c r="N73" s="236"/>
      <c r="O73" s="236"/>
      <c r="P73" s="236"/>
      <c r="Q73" s="236"/>
      <c r="R73" s="236"/>
      <c r="S73" s="236"/>
      <c r="T73" s="236"/>
    </row>
    <row r="74" spans="1:20" ht="15" customHeight="1" x14ac:dyDescent="0.2">
      <c r="A74" s="229"/>
      <c r="B74" s="235" t="str">
        <f>IF(ISBLANK(A74),"",IF(AND(ISNA(VLOOKUP(A74,Interface_T1GC!E:E,1,FALSE())),ISNA(VLOOKUP(A74,D:D,1,FALSE()))),"N","Y"))</f>
        <v/>
      </c>
      <c r="C74" s="157" t="s">
        <v>2972</v>
      </c>
      <c r="D74" s="235" t="s">
        <v>193</v>
      </c>
      <c r="E74" s="235">
        <v>1</v>
      </c>
      <c r="F74" s="235" t="str">
        <f>IF(AND(ISNA(VLOOKUP(D74,A:A,1,FALSE())),ISNA(VLOOKUP(D74,BaseType!A:A,1,FALSE())),D74&lt;&gt;"Struct"),"N","Y")</f>
        <v>Y</v>
      </c>
      <c r="G74" s="183" t="s">
        <v>2973</v>
      </c>
      <c r="H74" s="157"/>
      <c r="I74" s="157"/>
      <c r="J74" s="157"/>
      <c r="K74" s="157"/>
      <c r="L74" s="157"/>
      <c r="M74" s="157"/>
      <c r="N74" s="236"/>
      <c r="O74" s="236"/>
      <c r="P74" s="236"/>
      <c r="Q74" s="236"/>
      <c r="R74" s="236"/>
      <c r="S74" s="236"/>
      <c r="T74" s="236"/>
    </row>
    <row r="75" spans="1:20" ht="15" customHeight="1" x14ac:dyDescent="0.2">
      <c r="A75" s="229"/>
      <c r="B75" s="235" t="str">
        <f>IF(ISBLANK(A75),"",IF(AND(ISNA(VLOOKUP(A75,Interface_T1GC!E:E,1,FALSE())),ISNA(VLOOKUP(A75,D:D,1,FALSE()))),"N","Y"))</f>
        <v/>
      </c>
      <c r="C75" s="157" t="s">
        <v>2974</v>
      </c>
      <c r="D75" s="235" t="s">
        <v>193</v>
      </c>
      <c r="E75" s="235">
        <v>1</v>
      </c>
      <c r="F75" s="235" t="str">
        <f>IF(AND(ISNA(VLOOKUP(D75,A:A,1,FALSE())),ISNA(VLOOKUP(D75,BaseType!A:A,1,FALSE())),D75&lt;&gt;"Struct"),"N","Y")</f>
        <v>Y</v>
      </c>
      <c r="G75" s="183" t="s">
        <v>2975</v>
      </c>
      <c r="H75" s="157"/>
      <c r="I75" s="157"/>
      <c r="J75" s="157"/>
      <c r="K75" s="157"/>
      <c r="L75" s="157"/>
      <c r="M75" s="157"/>
      <c r="N75" s="236"/>
      <c r="O75" s="236"/>
      <c r="P75" s="236"/>
      <c r="Q75" s="236"/>
      <c r="R75" s="236"/>
      <c r="S75" s="236"/>
      <c r="T75" s="236"/>
    </row>
    <row r="76" spans="1:20" ht="15" customHeight="1" x14ac:dyDescent="0.2">
      <c r="A76" s="229"/>
      <c r="B76" s="235" t="str">
        <f>IF(ISBLANK(A76),"",IF(AND(ISNA(VLOOKUP(A76,Interface_T1GC!E:E,1,FALSE())),ISNA(VLOOKUP(A76,D:D,1,FALSE()))),"N","Y"))</f>
        <v/>
      </c>
      <c r="C76" s="157" t="s">
        <v>2976</v>
      </c>
      <c r="D76" s="235" t="s">
        <v>193</v>
      </c>
      <c r="E76" s="235">
        <v>1</v>
      </c>
      <c r="F76" s="235" t="str">
        <f>IF(AND(ISNA(VLOOKUP(D76,A:A,1,FALSE())),ISNA(VLOOKUP(D76,BaseType!A:A,1,FALSE())),D76&lt;&gt;"Struct"),"N","Y")</f>
        <v>Y</v>
      </c>
      <c r="G76" s="183" t="s">
        <v>2977</v>
      </c>
      <c r="H76" s="157"/>
      <c r="I76" s="157"/>
      <c r="J76" s="157"/>
      <c r="K76" s="157"/>
      <c r="L76" s="157"/>
      <c r="M76" s="157"/>
      <c r="N76" s="236"/>
      <c r="O76" s="236"/>
      <c r="P76" s="236"/>
      <c r="Q76" s="236"/>
      <c r="R76" s="236"/>
      <c r="S76" s="236"/>
      <c r="T76" s="236"/>
    </row>
    <row r="77" spans="1:20" ht="15" customHeight="1" x14ac:dyDescent="0.2">
      <c r="A77" s="229"/>
      <c r="B77" s="235" t="str">
        <f>IF(ISBLANK(A77),"",IF(AND(ISNA(VLOOKUP(A77,Interface_T1GC!E:E,1,FALSE())),ISNA(VLOOKUP(A77,D:D,1,FALSE()))),"N","Y"))</f>
        <v/>
      </c>
      <c r="C77" s="157" t="s">
        <v>2978</v>
      </c>
      <c r="D77" s="235" t="s">
        <v>193</v>
      </c>
      <c r="E77" s="235">
        <v>1</v>
      </c>
      <c r="F77" s="235" t="str">
        <f>IF(AND(ISNA(VLOOKUP(D77,A:A,1,FALSE())),ISNA(VLOOKUP(D77,BaseType!A:A,1,FALSE())),D77&lt;&gt;"Struct"),"N","Y")</f>
        <v>Y</v>
      </c>
      <c r="G77" s="183" t="s">
        <v>2979</v>
      </c>
      <c r="H77" s="157"/>
      <c r="I77" s="157"/>
      <c r="J77" s="157"/>
      <c r="K77" s="157"/>
      <c r="L77" s="157"/>
      <c r="M77" s="157"/>
      <c r="N77" s="236"/>
      <c r="O77" s="236"/>
      <c r="P77" s="236"/>
      <c r="Q77" s="236"/>
      <c r="R77" s="236"/>
      <c r="S77" s="236"/>
      <c r="T77" s="236"/>
    </row>
    <row r="78" spans="1:20" ht="15" customHeight="1" x14ac:dyDescent="0.2">
      <c r="A78" s="229"/>
      <c r="B78" s="235" t="str">
        <f>IF(ISBLANK(A78),"",IF(AND(ISNA(VLOOKUP(A78,Interface_T1GC!E:E,1,FALSE())),ISNA(VLOOKUP(A78,D:D,1,FALSE()))),"N","Y"))</f>
        <v/>
      </c>
      <c r="C78" s="157" t="s">
        <v>2980</v>
      </c>
      <c r="D78" s="235" t="s">
        <v>193</v>
      </c>
      <c r="E78" s="235">
        <v>1</v>
      </c>
      <c r="F78" s="235" t="str">
        <f>IF(AND(ISNA(VLOOKUP(D78,A:A,1,FALSE())),ISNA(VLOOKUP(D78,BaseType!A:A,1,FALSE())),D78&lt;&gt;"Struct"),"N","Y")</f>
        <v>Y</v>
      </c>
      <c r="G78" s="183" t="s">
        <v>2981</v>
      </c>
      <c r="H78" s="157"/>
      <c r="I78" s="157"/>
      <c r="J78" s="157"/>
      <c r="K78" s="157"/>
      <c r="L78" s="157"/>
      <c r="M78" s="157"/>
      <c r="N78" s="236"/>
      <c r="O78" s="236"/>
      <c r="P78" s="236"/>
      <c r="Q78" s="236"/>
      <c r="R78" s="236"/>
      <c r="S78" s="236"/>
      <c r="T78" s="236"/>
    </row>
    <row r="79" spans="1:20" ht="15" customHeight="1" x14ac:dyDescent="0.2">
      <c r="A79" s="229"/>
      <c r="B79" s="235" t="str">
        <f>IF(ISBLANK(A79),"",IF(AND(ISNA(VLOOKUP(A79,Interface_T1GC!E:E,1,FALSE())),ISNA(VLOOKUP(A79,D:D,1,FALSE()))),"N","Y"))</f>
        <v/>
      </c>
      <c r="C79" s="157" t="s">
        <v>2982</v>
      </c>
      <c r="D79" s="235" t="s">
        <v>193</v>
      </c>
      <c r="E79" s="235">
        <v>1</v>
      </c>
      <c r="F79" s="235" t="str">
        <f>IF(AND(ISNA(VLOOKUP(D79,A:A,1,FALSE())),ISNA(VLOOKUP(D79,BaseType!A:A,1,FALSE())),D79&lt;&gt;"Struct"),"N","Y")</f>
        <v>Y</v>
      </c>
      <c r="G79" s="183" t="s">
        <v>2983</v>
      </c>
      <c r="H79" s="157"/>
      <c r="I79" s="157"/>
      <c r="J79" s="157"/>
      <c r="K79" s="157"/>
      <c r="L79" s="157"/>
      <c r="M79" s="157"/>
      <c r="N79" s="236"/>
      <c r="O79" s="236"/>
      <c r="P79" s="236"/>
      <c r="Q79" s="236"/>
      <c r="R79" s="236"/>
      <c r="S79" s="236"/>
      <c r="T79" s="236"/>
    </row>
    <row r="80" spans="1:20" ht="15" customHeight="1" x14ac:dyDescent="0.2">
      <c r="A80" s="229"/>
      <c r="B80" s="235" t="str">
        <f>IF(ISBLANK(A80),"",IF(AND(ISNA(VLOOKUP(A80,Interface_T1GC!E:E,1,FALSE())),ISNA(VLOOKUP(A80,D:D,1,FALSE()))),"N","Y"))</f>
        <v/>
      </c>
      <c r="C80" s="157" t="s">
        <v>2984</v>
      </c>
      <c r="D80" s="235" t="s">
        <v>193</v>
      </c>
      <c r="E80" s="235">
        <v>1</v>
      </c>
      <c r="F80" s="235" t="str">
        <f>IF(AND(ISNA(VLOOKUP(D80,A:A,1,FALSE())),ISNA(VLOOKUP(D80,BaseType!A:A,1,FALSE())),D80&lt;&gt;"Struct"),"N","Y")</f>
        <v>Y</v>
      </c>
      <c r="G80" s="183" t="s">
        <v>2985</v>
      </c>
      <c r="H80" s="157"/>
      <c r="I80" s="157"/>
      <c r="J80" s="157"/>
      <c r="K80" s="157"/>
      <c r="L80" s="157"/>
      <c r="M80" s="157"/>
      <c r="N80" s="236"/>
      <c r="O80" s="236"/>
      <c r="P80" s="236"/>
      <c r="Q80" s="236"/>
      <c r="R80" s="236"/>
      <c r="S80" s="236"/>
      <c r="T80" s="236"/>
    </row>
    <row r="81" spans="1:20" ht="15" customHeight="1" x14ac:dyDescent="0.2">
      <c r="A81" s="229"/>
      <c r="B81" s="235" t="str">
        <f>IF(ISBLANK(A81),"",IF(AND(ISNA(VLOOKUP(A81,Interface_T1GC!E:E,1,FALSE())),ISNA(VLOOKUP(A81,D:D,1,FALSE()))),"N","Y"))</f>
        <v/>
      </c>
      <c r="C81" s="157" t="s">
        <v>2986</v>
      </c>
      <c r="D81" s="157" t="s">
        <v>631</v>
      </c>
      <c r="E81" s="235">
        <v>1</v>
      </c>
      <c r="F81" s="235" t="str">
        <f>IF(AND(ISNA(VLOOKUP(D81,A:A,1,FALSE())),ISNA(VLOOKUP(D81,BaseType!A:A,1,FALSE())),D81&lt;&gt;"Struct"),"N","Y")</f>
        <v>Y</v>
      </c>
      <c r="G81" s="183" t="s">
        <v>2987</v>
      </c>
      <c r="H81" s="157"/>
      <c r="I81" s="157"/>
      <c r="J81" s="157"/>
      <c r="K81" s="157"/>
      <c r="L81" s="157"/>
      <c r="M81" s="157"/>
      <c r="N81" s="236"/>
      <c r="O81" s="236"/>
      <c r="P81" s="236"/>
      <c r="Q81" s="236"/>
      <c r="R81" s="236"/>
      <c r="S81" s="236"/>
      <c r="T81" s="236"/>
    </row>
    <row r="82" spans="1:20" ht="15" customHeight="1" x14ac:dyDescent="0.2">
      <c r="A82" s="229"/>
      <c r="B82" s="235" t="str">
        <f>IF(ISBLANK(A82),"",IF(AND(ISNA(VLOOKUP(A82,Interface_T1GC!E:E,1,FALSE())),ISNA(VLOOKUP(A82,D:D,1,FALSE()))),"N","Y"))</f>
        <v/>
      </c>
      <c r="C82" s="157" t="s">
        <v>2988</v>
      </c>
      <c r="D82" s="235" t="s">
        <v>193</v>
      </c>
      <c r="E82" s="235">
        <v>1</v>
      </c>
      <c r="F82" s="235" t="str">
        <f>IF(AND(ISNA(VLOOKUP(D82,A:A,1,FALSE())),ISNA(VLOOKUP(D82,BaseType!A:A,1,FALSE())),D82&lt;&gt;"Struct"),"N","Y")</f>
        <v>Y</v>
      </c>
      <c r="G82" s="183" t="s">
        <v>2989</v>
      </c>
      <c r="H82" s="157"/>
      <c r="I82" s="157"/>
      <c r="J82" s="157"/>
      <c r="K82" s="157"/>
      <c r="L82" s="157"/>
      <c r="M82" s="157"/>
      <c r="N82" s="236"/>
      <c r="O82" s="236"/>
      <c r="P82" s="236"/>
      <c r="Q82" s="236"/>
      <c r="R82" s="236"/>
      <c r="S82" s="236"/>
      <c r="T82" s="236"/>
    </row>
    <row r="83" spans="1:20" ht="15" customHeight="1" x14ac:dyDescent="0.2">
      <c r="A83" s="229"/>
      <c r="B83" s="235" t="str">
        <f>IF(ISBLANK(A83),"",IF(AND(ISNA(VLOOKUP(A83,Interface_T1GC!E:E,1,FALSE())),ISNA(VLOOKUP(A83,D:D,1,FALSE()))),"N","Y"))</f>
        <v/>
      </c>
      <c r="C83" s="157" t="s">
        <v>2990</v>
      </c>
      <c r="D83" s="157" t="s">
        <v>631</v>
      </c>
      <c r="E83" s="235">
        <v>1</v>
      </c>
      <c r="F83" s="235" t="str">
        <f>IF(AND(ISNA(VLOOKUP(D83,A:A,1,FALSE())),ISNA(VLOOKUP(D83,BaseType!A:A,1,FALSE())),D83&lt;&gt;"Struct"),"N","Y")</f>
        <v>Y</v>
      </c>
      <c r="G83" s="183" t="s">
        <v>2991</v>
      </c>
      <c r="H83" s="157"/>
      <c r="I83" s="157"/>
      <c r="J83" s="157"/>
      <c r="K83" s="157"/>
      <c r="L83" s="157"/>
      <c r="M83" s="157"/>
      <c r="N83" s="236"/>
      <c r="O83" s="236"/>
      <c r="P83" s="236"/>
      <c r="Q83" s="236"/>
      <c r="R83" s="236"/>
      <c r="S83" s="236"/>
      <c r="T83" s="236"/>
    </row>
    <row r="84" spans="1:20" ht="15" customHeight="1" x14ac:dyDescent="0.2">
      <c r="A84" s="229"/>
      <c r="B84" s="235" t="str">
        <f>IF(ISBLANK(A84),"",IF(AND(ISNA(VLOOKUP(A84,Interface_T1GC!E:E,1,FALSE())),ISNA(VLOOKUP(A84,D:D,1,FALSE()))),"N","Y"))</f>
        <v/>
      </c>
      <c r="C84" s="157" t="s">
        <v>2992</v>
      </c>
      <c r="D84" s="235" t="s">
        <v>193</v>
      </c>
      <c r="E84" s="235">
        <v>1</v>
      </c>
      <c r="F84" s="235" t="str">
        <f>IF(AND(ISNA(VLOOKUP(D84,A:A,1,FALSE())),ISNA(VLOOKUP(D84,BaseType!A:A,1,FALSE())),D84&lt;&gt;"Struct"),"N","Y")</f>
        <v>Y</v>
      </c>
      <c r="G84" s="183" t="s">
        <v>2993</v>
      </c>
      <c r="H84" s="157"/>
      <c r="I84" s="157"/>
      <c r="J84" s="157"/>
      <c r="K84" s="157"/>
      <c r="L84" s="157"/>
      <c r="M84" s="157"/>
      <c r="N84" s="236"/>
      <c r="O84" s="236"/>
      <c r="P84" s="236"/>
      <c r="Q84" s="236"/>
      <c r="R84" s="236"/>
      <c r="S84" s="236"/>
      <c r="T84" s="236"/>
    </row>
    <row r="85" spans="1:20" ht="15" customHeight="1" x14ac:dyDescent="0.2">
      <c r="A85" s="229"/>
      <c r="B85" s="235" t="str">
        <f>IF(ISBLANK(A85),"",IF(AND(ISNA(VLOOKUP(A85,Interface_T1GC!E:E,1,FALSE())),ISNA(VLOOKUP(A85,D:D,1,FALSE()))),"N","Y"))</f>
        <v/>
      </c>
      <c r="C85" s="157" t="s">
        <v>2994</v>
      </c>
      <c r="D85" s="235" t="s">
        <v>193</v>
      </c>
      <c r="E85" s="235">
        <v>1</v>
      </c>
      <c r="F85" s="235" t="str">
        <f>IF(AND(ISNA(VLOOKUP(D85,A:A,1,FALSE())),ISNA(VLOOKUP(D85,BaseType!A:A,1,FALSE())),D85&lt;&gt;"Struct"),"N","Y")</f>
        <v>Y</v>
      </c>
      <c r="G85" s="183" t="s">
        <v>2995</v>
      </c>
      <c r="H85" s="157"/>
      <c r="I85" s="157"/>
      <c r="J85" s="157"/>
      <c r="K85" s="157"/>
      <c r="L85" s="157"/>
      <c r="M85" s="157"/>
      <c r="N85" s="236"/>
      <c r="O85" s="236"/>
      <c r="P85" s="236"/>
      <c r="Q85" s="236"/>
      <c r="R85" s="236"/>
      <c r="S85" s="236"/>
      <c r="T85" s="236"/>
    </row>
    <row r="86" spans="1:20" ht="15" customHeight="1" x14ac:dyDescent="0.2">
      <c r="A86" s="229"/>
      <c r="B86" s="235" t="str">
        <f>IF(ISBLANK(A86),"",IF(AND(ISNA(VLOOKUP(A86,Interface_T1GC!E:E,1,FALSE())),ISNA(VLOOKUP(A86,D:D,1,FALSE()))),"N","Y"))</f>
        <v/>
      </c>
      <c r="C86" s="157" t="s">
        <v>2996</v>
      </c>
      <c r="D86" s="235" t="s">
        <v>193</v>
      </c>
      <c r="E86" s="235">
        <v>1</v>
      </c>
      <c r="F86" s="235" t="str">
        <f>IF(AND(ISNA(VLOOKUP(D86,A:A,1,FALSE())),ISNA(VLOOKUP(D86,BaseType!A:A,1,FALSE())),D86&lt;&gt;"Struct"),"N","Y")</f>
        <v>Y</v>
      </c>
      <c r="G86" s="183" t="s">
        <v>2997</v>
      </c>
      <c r="H86" s="157"/>
      <c r="I86" s="157"/>
      <c r="J86" s="157"/>
      <c r="K86" s="157"/>
      <c r="L86" s="157"/>
      <c r="M86" s="157"/>
      <c r="N86" s="236"/>
      <c r="O86" s="236"/>
      <c r="P86" s="236"/>
      <c r="Q86" s="236"/>
      <c r="R86" s="236"/>
      <c r="S86" s="236"/>
      <c r="T86" s="236"/>
    </row>
    <row r="87" spans="1:20" ht="15" customHeight="1" x14ac:dyDescent="0.2">
      <c r="A87" s="229"/>
      <c r="B87" s="235" t="str">
        <f>IF(ISBLANK(A87),"",IF(AND(ISNA(VLOOKUP(A87,Interface_T1GC!E:E,1,FALSE())),ISNA(VLOOKUP(A87,D:D,1,FALSE()))),"N","Y"))</f>
        <v/>
      </c>
      <c r="C87" s="157" t="s">
        <v>2998</v>
      </c>
      <c r="D87" s="235" t="s">
        <v>918</v>
      </c>
      <c r="E87" s="235">
        <v>1</v>
      </c>
      <c r="F87" s="235" t="str">
        <f>IF(AND(ISNA(VLOOKUP(D87,A:A,1,FALSE())),ISNA(VLOOKUP(D87,BaseType!A:A,1,FALSE())),D87&lt;&gt;"Struct"),"N","Y")</f>
        <v>Y</v>
      </c>
      <c r="G87" s="183" t="s">
        <v>2999</v>
      </c>
      <c r="H87" s="157"/>
      <c r="I87" s="157"/>
      <c r="J87" s="157"/>
      <c r="K87" s="157"/>
      <c r="L87" s="157"/>
      <c r="M87" s="157"/>
      <c r="N87" s="236"/>
      <c r="O87" s="236"/>
      <c r="P87" s="236"/>
      <c r="Q87" s="236"/>
      <c r="R87" s="236"/>
      <c r="S87" s="236"/>
      <c r="T87" s="236"/>
    </row>
    <row r="88" spans="1:20" ht="15" customHeight="1" x14ac:dyDescent="0.2">
      <c r="A88" s="229"/>
      <c r="B88" s="235" t="str">
        <f>IF(ISBLANK(A88),"",IF(AND(ISNA(VLOOKUP(A88,Interface_T1GC!E:E,1,FALSE())),ISNA(VLOOKUP(A88,D:D,1,FALSE()))),"N","Y"))</f>
        <v/>
      </c>
      <c r="C88" s="157" t="s">
        <v>3000</v>
      </c>
      <c r="D88" s="235" t="s">
        <v>764</v>
      </c>
      <c r="E88" s="235">
        <v>1</v>
      </c>
      <c r="F88" s="235" t="str">
        <f>IF(AND(ISNA(VLOOKUP(D88,A:A,1,FALSE())),ISNA(VLOOKUP(D88,BaseType!A:A,1,FALSE())),D88&lt;&gt;"Struct"),"N","Y")</f>
        <v>Y</v>
      </c>
      <c r="G88" s="183" t="s">
        <v>3001</v>
      </c>
      <c r="H88" s="157"/>
      <c r="I88" s="157"/>
      <c r="J88" s="157"/>
      <c r="K88" s="157"/>
      <c r="L88" s="157"/>
      <c r="M88" s="157"/>
      <c r="N88" s="236"/>
      <c r="O88" s="236"/>
      <c r="P88" s="236"/>
      <c r="Q88" s="236"/>
      <c r="R88" s="236"/>
      <c r="S88" s="236"/>
      <c r="T88" s="236"/>
    </row>
    <row r="89" spans="1:20" ht="15" customHeight="1" x14ac:dyDescent="0.2">
      <c r="A89" s="229"/>
      <c r="B89" s="235" t="str">
        <f>IF(ISBLANK(A89),"",IF(AND(ISNA(VLOOKUP(A89,Interface_T1GC!E:E,1,FALSE())),ISNA(VLOOKUP(A89,D:D,1,FALSE()))),"N","Y"))</f>
        <v/>
      </c>
      <c r="C89" s="157" t="s">
        <v>3002</v>
      </c>
      <c r="D89" s="235" t="s">
        <v>193</v>
      </c>
      <c r="E89" s="235">
        <v>1</v>
      </c>
      <c r="F89" s="235" t="str">
        <f>IF(AND(ISNA(VLOOKUP(D89,A:A,1,FALSE())),ISNA(VLOOKUP(D89,BaseType!A:A,1,FALSE())),D89&lt;&gt;"Struct"),"N","Y")</f>
        <v>Y</v>
      </c>
      <c r="G89" s="183" t="s">
        <v>3003</v>
      </c>
      <c r="H89" s="157"/>
      <c r="I89" s="157"/>
      <c r="J89" s="157"/>
      <c r="K89" s="157"/>
      <c r="L89" s="157"/>
      <c r="M89" s="157"/>
      <c r="N89" s="236"/>
      <c r="O89" s="236"/>
      <c r="P89" s="236"/>
      <c r="Q89" s="236"/>
      <c r="R89" s="236"/>
      <c r="S89" s="236"/>
      <c r="T89" s="236"/>
    </row>
    <row r="90" spans="1:20" ht="15" customHeight="1" x14ac:dyDescent="0.2">
      <c r="A90" s="229"/>
      <c r="B90" s="235" t="str">
        <f>IF(ISBLANK(A90),"",IF(AND(ISNA(VLOOKUP(A90,Interface_T1GC!E:E,1,FALSE())),ISNA(VLOOKUP(A90,D:D,1,FALSE()))),"N","Y"))</f>
        <v/>
      </c>
      <c r="C90" s="157" t="s">
        <v>3004</v>
      </c>
      <c r="D90" s="235" t="s">
        <v>193</v>
      </c>
      <c r="E90" s="241">
        <v>1</v>
      </c>
      <c r="F90" s="235" t="str">
        <f>IF(AND(ISNA(VLOOKUP(D90,A:A,1,FALSE())),ISNA(VLOOKUP(D90,BaseType!A:A,1,FALSE())),D90&lt;&gt;"Struct"),"N","Y")</f>
        <v>Y</v>
      </c>
      <c r="G90" s="183" t="s">
        <v>3005</v>
      </c>
      <c r="H90" s="157"/>
      <c r="I90" s="157"/>
      <c r="J90" s="157"/>
      <c r="K90" s="157"/>
      <c r="L90" s="157"/>
      <c r="M90" s="157"/>
      <c r="N90" s="236"/>
      <c r="O90" s="236"/>
      <c r="P90" s="236"/>
      <c r="Q90" s="236"/>
      <c r="R90" s="236"/>
      <c r="S90" s="236"/>
      <c r="T90" s="236"/>
    </row>
    <row r="91" spans="1:20" ht="15" customHeight="1" x14ac:dyDescent="0.2">
      <c r="A91" s="229" t="s">
        <v>3006</v>
      </c>
      <c r="B91" s="235" t="str">
        <f>IF(ISBLANK(A91),"",IF(AND(ISNA(VLOOKUP(A91,Interface_T1GC!E:E,1,FALSE())),ISNA(VLOOKUP(A91,D:D,1,FALSE()))),"N","Y"))</f>
        <v>Y</v>
      </c>
      <c r="C91" s="157"/>
      <c r="D91" s="235" t="s">
        <v>484</v>
      </c>
      <c r="E91" s="235"/>
      <c r="F91" s="235" t="str">
        <f>IF(AND(ISNA(VLOOKUP(D91,A:A,1,FALSE())),ISNA(VLOOKUP(D91,BaseType!A:A,1,FALSE())),D91&lt;&gt;"Struct"),"N","Y")</f>
        <v>Y</v>
      </c>
      <c r="G91" s="183"/>
      <c r="H91" s="157"/>
      <c r="I91" s="157"/>
      <c r="J91" s="157"/>
      <c r="K91" s="157"/>
      <c r="L91" s="157"/>
      <c r="M91" s="157"/>
      <c r="N91" s="236"/>
      <c r="O91" s="236"/>
      <c r="P91" s="236"/>
      <c r="Q91" s="236"/>
      <c r="R91" s="236"/>
      <c r="S91" s="236"/>
      <c r="T91" s="236"/>
    </row>
    <row r="92" spans="1:20" ht="15" customHeight="1" x14ac:dyDescent="0.2">
      <c r="A92" s="229"/>
      <c r="B92" s="235"/>
      <c r="C92" s="157" t="s">
        <v>3007</v>
      </c>
      <c r="D92" s="235" t="s">
        <v>298</v>
      </c>
      <c r="E92" s="235">
        <v>1</v>
      </c>
      <c r="F92" s="235" t="str">
        <f>IF(AND(ISNA(VLOOKUP(D92,A:A,1,FALSE())),ISNA(VLOOKUP(D92,BaseType!A:A,1,FALSE())),D92&lt;&gt;"Struct"),"N","Y")</f>
        <v>Y</v>
      </c>
      <c r="G92" s="183"/>
      <c r="H92" s="157"/>
      <c r="I92" s="157"/>
      <c r="J92" s="157"/>
      <c r="K92" s="157"/>
      <c r="L92" s="157"/>
      <c r="M92" s="157"/>
      <c r="N92" s="236"/>
      <c r="O92" s="236"/>
      <c r="P92" s="236"/>
      <c r="Q92" s="236"/>
      <c r="R92" s="236"/>
      <c r="S92" s="236"/>
      <c r="T92" s="236"/>
    </row>
    <row r="93" spans="1:20" ht="15" customHeight="1" x14ac:dyDescent="0.2">
      <c r="A93" s="229"/>
      <c r="B93" s="235"/>
      <c r="C93" s="157" t="s">
        <v>1901</v>
      </c>
      <c r="D93" s="235" t="s">
        <v>298</v>
      </c>
      <c r="E93" s="235">
        <v>1</v>
      </c>
      <c r="F93" s="235" t="str">
        <f>IF(AND(ISNA(VLOOKUP(D93,A:A,1,FALSE())),ISNA(VLOOKUP(D93,BaseType!A:A,1,FALSE())),D93&lt;&gt;"Struct"),"N","Y")</f>
        <v>Y</v>
      </c>
      <c r="G93" s="183"/>
      <c r="H93" s="157"/>
      <c r="I93" s="157"/>
      <c r="J93" s="157"/>
      <c r="K93" s="157"/>
      <c r="L93" s="157"/>
      <c r="M93" s="157"/>
      <c r="N93" s="236"/>
      <c r="O93" s="236"/>
      <c r="P93" s="236"/>
      <c r="Q93" s="236"/>
      <c r="R93" s="236"/>
      <c r="S93" s="236"/>
      <c r="T93" s="236"/>
    </row>
    <row r="94" spans="1:20" ht="15" customHeight="1" x14ac:dyDescent="0.2">
      <c r="A94" s="229"/>
      <c r="B94" s="235"/>
      <c r="C94" s="157" t="s">
        <v>3008</v>
      </c>
      <c r="D94" s="235" t="s">
        <v>298</v>
      </c>
      <c r="E94" s="235">
        <v>1</v>
      </c>
      <c r="F94" s="235" t="str">
        <f>IF(AND(ISNA(VLOOKUP(D94,A:A,1,FALSE())),ISNA(VLOOKUP(D94,BaseType!A:A,1,FALSE())),D94&lt;&gt;"Struct"),"N","Y")</f>
        <v>Y</v>
      </c>
      <c r="G94" s="183"/>
      <c r="H94" s="157"/>
      <c r="I94" s="157"/>
      <c r="J94" s="157"/>
      <c r="K94" s="157"/>
      <c r="L94" s="157"/>
      <c r="M94" s="157"/>
      <c r="N94" s="236"/>
      <c r="O94" s="236"/>
      <c r="P94" s="236"/>
      <c r="Q94" s="236"/>
      <c r="R94" s="236"/>
      <c r="S94" s="236"/>
      <c r="T94" s="236"/>
    </row>
    <row r="95" spans="1:20" ht="15" customHeight="1" x14ac:dyDescent="0.2">
      <c r="A95" s="229"/>
      <c r="B95" s="235"/>
      <c r="C95" s="157" t="s">
        <v>3009</v>
      </c>
      <c r="D95" s="235" t="s">
        <v>298</v>
      </c>
      <c r="E95" s="235">
        <v>1</v>
      </c>
      <c r="F95" s="235" t="str">
        <f>IF(AND(ISNA(VLOOKUP(D95,A:A,1,FALSE())),ISNA(VLOOKUP(D95,BaseType!A:A,1,FALSE())),D95&lt;&gt;"Struct"),"N","Y")</f>
        <v>Y</v>
      </c>
      <c r="G95" s="183"/>
      <c r="H95" s="157"/>
      <c r="I95" s="157"/>
      <c r="J95" s="157"/>
      <c r="K95" s="157"/>
      <c r="L95" s="157"/>
      <c r="M95" s="157"/>
      <c r="N95" s="236"/>
      <c r="O95" s="236"/>
      <c r="P95" s="236"/>
      <c r="Q95" s="236"/>
      <c r="R95" s="236"/>
      <c r="S95" s="236"/>
      <c r="T95" s="236"/>
    </row>
    <row r="96" spans="1:20" ht="15" customHeight="1" x14ac:dyDescent="0.2">
      <c r="A96" s="229"/>
      <c r="B96" s="235"/>
      <c r="C96" s="157" t="s">
        <v>3010</v>
      </c>
      <c r="D96" s="235" t="s">
        <v>225</v>
      </c>
      <c r="E96" s="235">
        <v>1</v>
      </c>
      <c r="F96" s="235" t="str">
        <f>IF(AND(ISNA(VLOOKUP(D96,A:A,1,FALSE())),ISNA(VLOOKUP(D96,BaseType!A:A,1,FALSE())),D96&lt;&gt;"Struct"),"N","Y")</f>
        <v>Y</v>
      </c>
      <c r="G96" s="183"/>
      <c r="H96" s="157"/>
      <c r="I96" s="157"/>
      <c r="J96" s="157"/>
      <c r="K96" s="157"/>
      <c r="L96" s="157"/>
      <c r="M96" s="157"/>
      <c r="N96" s="236"/>
      <c r="O96" s="236"/>
      <c r="P96" s="236"/>
      <c r="Q96" s="236"/>
      <c r="R96" s="236"/>
      <c r="S96" s="236"/>
      <c r="T96" s="236"/>
    </row>
    <row r="97" spans="1:20" ht="15" customHeight="1" x14ac:dyDescent="0.2">
      <c r="A97" s="229"/>
      <c r="B97" s="235"/>
      <c r="C97" s="157" t="s">
        <v>3011</v>
      </c>
      <c r="D97" s="235" t="s">
        <v>225</v>
      </c>
      <c r="E97" s="235">
        <v>1</v>
      </c>
      <c r="F97" s="235" t="str">
        <f>IF(AND(ISNA(VLOOKUP(D97,A:A,1,FALSE())),ISNA(VLOOKUP(D97,BaseType!A:A,1,FALSE())),D97&lt;&gt;"Struct"),"N","Y")</f>
        <v>Y</v>
      </c>
      <c r="G97" s="183"/>
      <c r="H97" s="157"/>
      <c r="I97" s="157"/>
      <c r="J97" s="157"/>
      <c r="K97" s="157"/>
      <c r="L97" s="157"/>
      <c r="M97" s="157"/>
      <c r="N97" s="236"/>
      <c r="O97" s="236"/>
      <c r="P97" s="236"/>
      <c r="Q97" s="236"/>
      <c r="R97" s="236"/>
      <c r="S97" s="236"/>
      <c r="T97" s="236"/>
    </row>
    <row r="98" spans="1:20" ht="15" customHeight="1" x14ac:dyDescent="0.2">
      <c r="A98" s="229"/>
      <c r="B98" s="235"/>
      <c r="C98" s="157" t="s">
        <v>3012</v>
      </c>
      <c r="D98" s="235" t="s">
        <v>225</v>
      </c>
      <c r="E98" s="235">
        <v>1</v>
      </c>
      <c r="F98" s="235" t="str">
        <f>IF(AND(ISNA(VLOOKUP(D98,A:A,1,FALSE())),ISNA(VLOOKUP(D98,BaseType!A:A,1,FALSE())),D98&lt;&gt;"Struct"),"N","Y")</f>
        <v>Y</v>
      </c>
      <c r="G98" s="183"/>
      <c r="H98" s="157"/>
      <c r="I98" s="157"/>
      <c r="J98" s="157"/>
      <c r="K98" s="157"/>
      <c r="L98" s="157"/>
      <c r="M98" s="157"/>
      <c r="N98" s="236"/>
      <c r="O98" s="236"/>
      <c r="P98" s="236"/>
      <c r="Q98" s="236"/>
      <c r="R98" s="236"/>
      <c r="S98" s="236"/>
      <c r="T98" s="236"/>
    </row>
    <row r="99" spans="1:20" ht="15" customHeight="1" x14ac:dyDescent="0.2">
      <c r="A99" s="229"/>
      <c r="B99" s="235"/>
      <c r="C99" s="157" t="s">
        <v>3013</v>
      </c>
      <c r="D99" s="235" t="s">
        <v>225</v>
      </c>
      <c r="E99" s="235">
        <v>1</v>
      </c>
      <c r="F99" s="235" t="str">
        <f>IF(AND(ISNA(VLOOKUP(D99,A:A,1,FALSE())),ISNA(VLOOKUP(D99,BaseType!A:A,1,FALSE())),D99&lt;&gt;"Struct"),"N","Y")</f>
        <v>Y</v>
      </c>
      <c r="G99" s="183"/>
      <c r="H99" s="157"/>
      <c r="I99" s="157"/>
      <c r="J99" s="157"/>
      <c r="K99" s="157"/>
      <c r="L99" s="157"/>
      <c r="M99" s="157"/>
      <c r="N99" s="236"/>
      <c r="O99" s="236"/>
      <c r="P99" s="236"/>
      <c r="Q99" s="236"/>
      <c r="R99" s="236"/>
      <c r="S99" s="236"/>
      <c r="T99" s="236"/>
    </row>
    <row r="100" spans="1:20" ht="15" customHeight="1" x14ac:dyDescent="0.2">
      <c r="A100" s="229"/>
      <c r="B100" s="235"/>
      <c r="C100" s="157" t="s">
        <v>3014</v>
      </c>
      <c r="D100" s="235" t="s">
        <v>225</v>
      </c>
      <c r="E100" s="235">
        <v>1</v>
      </c>
      <c r="F100" s="235" t="str">
        <f>IF(AND(ISNA(VLOOKUP(D100,A:A,1,FALSE())),ISNA(VLOOKUP(D100,BaseType!A:A,1,FALSE())),D100&lt;&gt;"Struct"),"N","Y")</f>
        <v>Y</v>
      </c>
      <c r="G100" s="183"/>
      <c r="H100" s="157"/>
      <c r="I100" s="157"/>
      <c r="J100" s="157"/>
      <c r="K100" s="157"/>
      <c r="L100" s="157"/>
      <c r="M100" s="157"/>
      <c r="N100" s="236"/>
      <c r="O100" s="236"/>
      <c r="P100" s="236"/>
      <c r="Q100" s="236"/>
      <c r="R100" s="236"/>
      <c r="S100" s="236"/>
      <c r="T100" s="236"/>
    </row>
    <row r="101" spans="1:20" ht="15" customHeight="1" x14ac:dyDescent="0.2">
      <c r="A101" s="229"/>
      <c r="B101" s="235"/>
      <c r="C101" s="157" t="s">
        <v>3015</v>
      </c>
      <c r="D101" s="235" t="s">
        <v>225</v>
      </c>
      <c r="E101" s="235">
        <v>1</v>
      </c>
      <c r="F101" s="235" t="str">
        <f>IF(AND(ISNA(VLOOKUP(D101,A:A,1,FALSE())),ISNA(VLOOKUP(D101,BaseType!A:A,1,FALSE())),D101&lt;&gt;"Struct"),"N","Y")</f>
        <v>Y</v>
      </c>
      <c r="G101" s="183"/>
      <c r="H101" s="157"/>
      <c r="I101" s="157"/>
      <c r="J101" s="157"/>
      <c r="K101" s="157"/>
      <c r="L101" s="157"/>
      <c r="M101" s="157"/>
      <c r="N101" s="236"/>
      <c r="O101" s="236"/>
      <c r="P101" s="236"/>
      <c r="Q101" s="236"/>
      <c r="R101" s="236"/>
      <c r="S101" s="236"/>
      <c r="T101" s="236"/>
    </row>
    <row r="102" spans="1:20" ht="15" customHeight="1" x14ac:dyDescent="0.2">
      <c r="A102" s="229"/>
      <c r="B102" s="235"/>
      <c r="C102" s="157" t="s">
        <v>3016</v>
      </c>
      <c r="D102" s="235" t="s">
        <v>225</v>
      </c>
      <c r="E102" s="235">
        <v>1</v>
      </c>
      <c r="F102" s="235" t="str">
        <f>IF(AND(ISNA(VLOOKUP(D102,A:A,1,FALSE())),ISNA(VLOOKUP(D102,BaseType!A:A,1,FALSE())),D102&lt;&gt;"Struct"),"N","Y")</f>
        <v>Y</v>
      </c>
      <c r="G102" s="183"/>
      <c r="H102" s="157"/>
      <c r="I102" s="157"/>
      <c r="J102" s="157"/>
      <c r="K102" s="157"/>
      <c r="L102" s="157"/>
      <c r="M102" s="157"/>
      <c r="N102" s="236"/>
      <c r="O102" s="236"/>
      <c r="P102" s="236"/>
      <c r="Q102" s="236"/>
      <c r="R102" s="236"/>
      <c r="S102" s="236"/>
      <c r="T102" s="236"/>
    </row>
    <row r="103" spans="1:20" ht="15" customHeight="1" x14ac:dyDescent="0.2">
      <c r="A103" s="229"/>
      <c r="B103" s="235"/>
      <c r="C103" s="157" t="s">
        <v>3017</v>
      </c>
      <c r="D103" s="235" t="s">
        <v>225</v>
      </c>
      <c r="E103" s="235">
        <v>1</v>
      </c>
      <c r="F103" s="235" t="str">
        <f>IF(AND(ISNA(VLOOKUP(D103,A:A,1,FALSE())),ISNA(VLOOKUP(D103,BaseType!A:A,1,FALSE())),D103&lt;&gt;"Struct"),"N","Y")</f>
        <v>Y</v>
      </c>
      <c r="G103" s="183"/>
      <c r="H103" s="157"/>
      <c r="I103" s="157"/>
      <c r="J103" s="157"/>
      <c r="K103" s="157"/>
      <c r="L103" s="157"/>
      <c r="M103" s="157"/>
      <c r="N103" s="236"/>
      <c r="O103" s="236"/>
      <c r="P103" s="236"/>
      <c r="Q103" s="236"/>
      <c r="R103" s="236"/>
      <c r="S103" s="236"/>
      <c r="T103" s="236"/>
    </row>
    <row r="104" spans="1:20" ht="15" customHeight="1" x14ac:dyDescent="0.2">
      <c r="A104" s="229"/>
      <c r="B104" s="235"/>
      <c r="C104" s="157" t="s">
        <v>3018</v>
      </c>
      <c r="D104" s="235" t="s">
        <v>225</v>
      </c>
      <c r="E104" s="235">
        <v>1</v>
      </c>
      <c r="F104" s="235" t="str">
        <f>IF(AND(ISNA(VLOOKUP(D104,A:A,1,FALSE())),ISNA(VLOOKUP(D104,BaseType!A:A,1,FALSE())),D104&lt;&gt;"Struct"),"N","Y")</f>
        <v>Y</v>
      </c>
      <c r="G104" s="183"/>
      <c r="H104" s="157"/>
      <c r="I104" s="157"/>
      <c r="J104" s="157"/>
      <c r="K104" s="157"/>
      <c r="L104" s="157"/>
      <c r="M104" s="157"/>
      <c r="N104" s="236"/>
      <c r="O104" s="236"/>
      <c r="P104" s="236"/>
      <c r="Q104" s="236"/>
      <c r="R104" s="236"/>
      <c r="S104" s="236"/>
      <c r="T104" s="236"/>
    </row>
    <row r="105" spans="1:20" ht="15" customHeight="1" x14ac:dyDescent="0.2">
      <c r="A105" s="229"/>
      <c r="B105" s="235"/>
      <c r="C105" s="157" t="s">
        <v>3019</v>
      </c>
      <c r="D105" s="235" t="s">
        <v>225</v>
      </c>
      <c r="E105" s="235">
        <v>1</v>
      </c>
      <c r="F105" s="235" t="str">
        <f>IF(AND(ISNA(VLOOKUP(D105,A:A,1,FALSE())),ISNA(VLOOKUP(D105,BaseType!A:A,1,FALSE())),D105&lt;&gt;"Struct"),"N","Y")</f>
        <v>Y</v>
      </c>
      <c r="G105" s="183"/>
      <c r="H105" s="157"/>
      <c r="I105" s="157"/>
      <c r="J105" s="157"/>
      <c r="K105" s="157"/>
      <c r="L105" s="157"/>
      <c r="M105" s="157"/>
      <c r="N105" s="236"/>
      <c r="O105" s="236"/>
      <c r="P105" s="236"/>
      <c r="Q105" s="236"/>
      <c r="R105" s="236"/>
      <c r="S105" s="236"/>
      <c r="T105" s="236"/>
    </row>
    <row r="106" spans="1:20" ht="15" customHeight="1" x14ac:dyDescent="0.2">
      <c r="A106" s="229"/>
      <c r="B106" s="235"/>
      <c r="C106" s="157" t="s">
        <v>3020</v>
      </c>
      <c r="D106" s="235" t="s">
        <v>225</v>
      </c>
      <c r="E106" s="235">
        <v>1</v>
      </c>
      <c r="F106" s="235" t="str">
        <f>IF(AND(ISNA(VLOOKUP(D106,A:A,1,FALSE())),ISNA(VLOOKUP(D106,BaseType!A:A,1,FALSE())),D106&lt;&gt;"Struct"),"N","Y")</f>
        <v>Y</v>
      </c>
      <c r="G106" s="183"/>
      <c r="H106" s="157"/>
      <c r="I106" s="157"/>
      <c r="J106" s="157"/>
      <c r="K106" s="157"/>
      <c r="L106" s="157"/>
      <c r="M106" s="157"/>
      <c r="N106" s="236"/>
      <c r="O106" s="236"/>
      <c r="P106" s="236"/>
      <c r="Q106" s="236"/>
      <c r="R106" s="236"/>
      <c r="S106" s="236"/>
      <c r="T106" s="236"/>
    </row>
    <row r="107" spans="1:20" ht="15" customHeight="1" x14ac:dyDescent="0.2">
      <c r="A107" s="229"/>
      <c r="B107" s="235"/>
      <c r="C107" s="157" t="s">
        <v>3021</v>
      </c>
      <c r="D107" s="235" t="s">
        <v>225</v>
      </c>
      <c r="E107" s="235">
        <v>1</v>
      </c>
      <c r="F107" s="235" t="str">
        <f>IF(AND(ISNA(VLOOKUP(D107,A:A,1,FALSE())),ISNA(VLOOKUP(D107,BaseType!A:A,1,FALSE())),D107&lt;&gt;"Struct"),"N","Y")</f>
        <v>Y</v>
      </c>
      <c r="G107" s="183"/>
      <c r="H107" s="157"/>
      <c r="I107" s="157"/>
      <c r="J107" s="157"/>
      <c r="K107" s="157"/>
      <c r="L107" s="157"/>
      <c r="M107" s="157"/>
      <c r="N107" s="236"/>
      <c r="O107" s="236"/>
      <c r="P107" s="236"/>
      <c r="Q107" s="236"/>
      <c r="R107" s="236"/>
      <c r="S107" s="236"/>
      <c r="T107" s="236"/>
    </row>
    <row r="108" spans="1:20" ht="15" customHeight="1" x14ac:dyDescent="0.2">
      <c r="A108" s="229"/>
      <c r="B108" s="235"/>
      <c r="C108" s="157" t="s">
        <v>3022</v>
      </c>
      <c r="D108" s="235" t="s">
        <v>298</v>
      </c>
      <c r="E108" s="235">
        <v>1</v>
      </c>
      <c r="F108" s="235" t="str">
        <f>IF(AND(ISNA(VLOOKUP(D108,A:A,1,FALSE())),ISNA(VLOOKUP(D108,BaseType!A:A,1,FALSE())),D108&lt;&gt;"Struct"),"N","Y")</f>
        <v>Y</v>
      </c>
      <c r="G108" s="183"/>
      <c r="H108" s="157"/>
      <c r="I108" s="157"/>
      <c r="J108" s="157"/>
      <c r="K108" s="157"/>
      <c r="L108" s="157"/>
      <c r="M108" s="157"/>
      <c r="N108" s="236"/>
      <c r="O108" s="236"/>
      <c r="P108" s="236"/>
      <c r="Q108" s="236"/>
      <c r="R108" s="236"/>
      <c r="S108" s="236"/>
      <c r="T108" s="236"/>
    </row>
    <row r="109" spans="1:20" ht="15" customHeight="1" x14ac:dyDescent="0.2">
      <c r="A109" s="229"/>
      <c r="B109" s="235"/>
      <c r="C109" s="157" t="s">
        <v>3023</v>
      </c>
      <c r="D109" s="235" t="s">
        <v>298</v>
      </c>
      <c r="E109" s="235">
        <v>1</v>
      </c>
      <c r="F109" s="235" t="str">
        <f>IF(AND(ISNA(VLOOKUP(D109,A:A,1,FALSE())),ISNA(VLOOKUP(D109,BaseType!A:A,1,FALSE())),D109&lt;&gt;"Struct"),"N","Y")</f>
        <v>Y</v>
      </c>
      <c r="G109" s="183"/>
      <c r="H109" s="157"/>
      <c r="I109" s="157"/>
      <c r="J109" s="157"/>
      <c r="K109" s="157"/>
      <c r="L109" s="157"/>
      <c r="M109" s="157"/>
      <c r="N109" s="236"/>
      <c r="O109" s="236"/>
      <c r="P109" s="236"/>
      <c r="Q109" s="236"/>
      <c r="R109" s="236"/>
      <c r="S109" s="236"/>
      <c r="T109" s="236"/>
    </row>
    <row r="110" spans="1:20" ht="15" customHeight="1" x14ac:dyDescent="0.2">
      <c r="A110" s="229"/>
      <c r="B110" s="235"/>
      <c r="C110" s="157" t="s">
        <v>3024</v>
      </c>
      <c r="D110" s="235" t="s">
        <v>298</v>
      </c>
      <c r="E110" s="235">
        <v>1</v>
      </c>
      <c r="F110" s="235" t="str">
        <f>IF(AND(ISNA(VLOOKUP(D110,A:A,1,FALSE())),ISNA(VLOOKUP(D110,BaseType!A:A,1,FALSE())),D110&lt;&gt;"Struct"),"N","Y")</f>
        <v>Y</v>
      </c>
      <c r="G110" s="183"/>
      <c r="H110" s="157"/>
      <c r="I110" s="157"/>
      <c r="J110" s="157"/>
      <c r="K110" s="157"/>
      <c r="L110" s="157"/>
      <c r="M110" s="157"/>
      <c r="N110" s="236"/>
      <c r="O110" s="236"/>
      <c r="P110" s="236"/>
      <c r="Q110" s="236"/>
      <c r="R110" s="236"/>
      <c r="S110" s="236"/>
      <c r="T110" s="236"/>
    </row>
    <row r="111" spans="1:20" ht="15" customHeight="1" x14ac:dyDescent="0.2">
      <c r="A111" s="229"/>
      <c r="B111" s="235"/>
      <c r="C111" s="157" t="s">
        <v>2313</v>
      </c>
      <c r="D111" s="235" t="s">
        <v>225</v>
      </c>
      <c r="E111" s="235">
        <v>1</v>
      </c>
      <c r="F111" s="235" t="str">
        <f>IF(AND(ISNA(VLOOKUP(D111,A:A,1,FALSE())),ISNA(VLOOKUP(D111,BaseType!A:A,1,FALSE())),D111&lt;&gt;"Struct"),"N","Y")</f>
        <v>Y</v>
      </c>
      <c r="G111" s="183"/>
      <c r="H111" s="157"/>
      <c r="I111" s="157"/>
      <c r="J111" s="157"/>
      <c r="K111" s="157"/>
      <c r="L111" s="157"/>
      <c r="M111" s="157"/>
      <c r="N111" s="236"/>
      <c r="O111" s="236"/>
      <c r="P111" s="236"/>
      <c r="Q111" s="236"/>
      <c r="R111" s="236"/>
      <c r="S111" s="236"/>
      <c r="T111" s="236"/>
    </row>
    <row r="112" spans="1:20" ht="15" customHeight="1" x14ac:dyDescent="0.2">
      <c r="A112" s="229"/>
      <c r="B112" s="235"/>
      <c r="C112" s="157" t="s">
        <v>3025</v>
      </c>
      <c r="D112" s="235" t="s">
        <v>225</v>
      </c>
      <c r="E112" s="235">
        <v>1</v>
      </c>
      <c r="F112" s="235" t="str">
        <f>IF(AND(ISNA(VLOOKUP(D112,A:A,1,FALSE())),ISNA(VLOOKUP(D112,BaseType!A:A,1,FALSE())),D112&lt;&gt;"Struct"),"N","Y")</f>
        <v>Y</v>
      </c>
      <c r="G112" s="183"/>
      <c r="H112" s="157"/>
      <c r="I112" s="157"/>
      <c r="J112" s="157"/>
      <c r="K112" s="157"/>
      <c r="L112" s="157"/>
      <c r="M112" s="157"/>
      <c r="N112" s="236"/>
      <c r="O112" s="236"/>
      <c r="P112" s="236"/>
      <c r="Q112" s="236"/>
      <c r="R112" s="236"/>
      <c r="S112" s="236"/>
      <c r="T112" s="236"/>
    </row>
    <row r="113" spans="1:20" ht="15" customHeight="1" x14ac:dyDescent="0.2">
      <c r="A113" s="229"/>
      <c r="B113" s="235"/>
      <c r="C113" s="157" t="s">
        <v>3026</v>
      </c>
      <c r="D113" s="235" t="s">
        <v>225</v>
      </c>
      <c r="E113" s="235">
        <v>1</v>
      </c>
      <c r="F113" s="235" t="str">
        <f>IF(AND(ISNA(VLOOKUP(D113,A:A,1,FALSE())),ISNA(VLOOKUP(D113,BaseType!A:A,1,FALSE())),D113&lt;&gt;"Struct"),"N","Y")</f>
        <v>Y</v>
      </c>
      <c r="G113" s="183"/>
      <c r="H113" s="157"/>
      <c r="I113" s="157"/>
      <c r="J113" s="157"/>
      <c r="K113" s="157"/>
      <c r="L113" s="157"/>
      <c r="M113" s="157"/>
      <c r="N113" s="236"/>
      <c r="O113" s="236"/>
      <c r="P113" s="236"/>
      <c r="Q113" s="236"/>
      <c r="R113" s="236"/>
      <c r="S113" s="236"/>
      <c r="T113" s="236"/>
    </row>
    <row r="114" spans="1:20" ht="15" customHeight="1" x14ac:dyDescent="0.2">
      <c r="A114" s="229"/>
      <c r="B114" s="235"/>
      <c r="C114" s="157" t="s">
        <v>3027</v>
      </c>
      <c r="D114" s="235" t="s">
        <v>225</v>
      </c>
      <c r="E114" s="235">
        <v>1</v>
      </c>
      <c r="F114" s="235" t="str">
        <f>IF(AND(ISNA(VLOOKUP(D114,A:A,1,FALSE())),ISNA(VLOOKUP(D114,BaseType!A:A,1,FALSE())),D114&lt;&gt;"Struct"),"N","Y")</f>
        <v>Y</v>
      </c>
      <c r="G114" s="183"/>
      <c r="H114" s="157"/>
      <c r="I114" s="157"/>
      <c r="J114" s="157"/>
      <c r="K114" s="157"/>
      <c r="L114" s="157"/>
      <c r="M114" s="157"/>
      <c r="N114" s="236"/>
      <c r="O114" s="236"/>
      <c r="P114" s="236"/>
      <c r="Q114" s="236"/>
      <c r="R114" s="236"/>
      <c r="S114" s="236"/>
      <c r="T114" s="236"/>
    </row>
    <row r="115" spans="1:20" ht="15" customHeight="1" x14ac:dyDescent="0.2">
      <c r="A115" s="229"/>
      <c r="B115" s="235"/>
      <c r="C115" s="157" t="s">
        <v>3028</v>
      </c>
      <c r="D115" s="235" t="s">
        <v>298</v>
      </c>
      <c r="E115" s="235">
        <v>1</v>
      </c>
      <c r="F115" s="235" t="str">
        <f>IF(AND(ISNA(VLOOKUP(D115,A:A,1,FALSE())),ISNA(VLOOKUP(D115,BaseType!A:A,1,FALSE())),D115&lt;&gt;"Struct"),"N","Y")</f>
        <v>Y</v>
      </c>
      <c r="G115" s="183"/>
      <c r="H115" s="157"/>
      <c r="I115" s="157"/>
      <c r="J115" s="157"/>
      <c r="K115" s="157"/>
      <c r="L115" s="157"/>
      <c r="M115" s="157"/>
      <c r="N115" s="236"/>
      <c r="O115" s="236"/>
      <c r="P115" s="236"/>
      <c r="Q115" s="236"/>
      <c r="R115" s="236"/>
      <c r="S115" s="236"/>
      <c r="T115" s="236"/>
    </row>
    <row r="116" spans="1:20" ht="15" customHeight="1" x14ac:dyDescent="0.2">
      <c r="A116" s="229"/>
      <c r="B116" s="235"/>
      <c r="C116" s="157" t="s">
        <v>3029</v>
      </c>
      <c r="D116" s="235" t="s">
        <v>298</v>
      </c>
      <c r="E116" s="235">
        <v>1</v>
      </c>
      <c r="F116" s="235" t="str">
        <f>IF(AND(ISNA(VLOOKUP(D116,A:A,1,FALSE())),ISNA(VLOOKUP(D116,BaseType!A:A,1,FALSE())),D116&lt;&gt;"Struct"),"N","Y")</f>
        <v>Y</v>
      </c>
      <c r="G116" s="183"/>
      <c r="H116" s="157"/>
      <c r="I116" s="157"/>
      <c r="J116" s="157"/>
      <c r="K116" s="157"/>
      <c r="L116" s="157"/>
      <c r="M116" s="157"/>
      <c r="N116" s="236"/>
      <c r="O116" s="236"/>
      <c r="P116" s="236"/>
      <c r="Q116" s="236"/>
      <c r="R116" s="236"/>
      <c r="S116" s="236"/>
      <c r="T116" s="236"/>
    </row>
    <row r="117" spans="1:20" ht="15" customHeight="1" x14ac:dyDescent="0.2">
      <c r="A117" s="229"/>
      <c r="B117" s="235"/>
      <c r="C117" s="157" t="s">
        <v>3030</v>
      </c>
      <c r="D117" s="235" t="s">
        <v>298</v>
      </c>
      <c r="E117" s="235">
        <v>1</v>
      </c>
      <c r="F117" s="235" t="str">
        <f>IF(AND(ISNA(VLOOKUP(D117,A:A,1,FALSE())),ISNA(VLOOKUP(D117,BaseType!A:A,1,FALSE())),D117&lt;&gt;"Struct"),"N","Y")</f>
        <v>Y</v>
      </c>
      <c r="G117" s="183"/>
      <c r="H117" s="157"/>
      <c r="I117" s="157"/>
      <c r="J117" s="157"/>
      <c r="K117" s="157"/>
      <c r="L117" s="157"/>
      <c r="M117" s="157"/>
      <c r="N117" s="236"/>
      <c r="O117" s="236"/>
      <c r="P117" s="236"/>
      <c r="Q117" s="236"/>
      <c r="R117" s="236"/>
      <c r="S117" s="236"/>
      <c r="T117" s="236"/>
    </row>
    <row r="118" spans="1:20" ht="15" customHeight="1" x14ac:dyDescent="0.2">
      <c r="A118" s="229" t="s">
        <v>3031</v>
      </c>
      <c r="B118" s="235" t="str">
        <f>IF(ISBLANK(A118),"",IF(AND(ISNA(VLOOKUP(A118,Interface_T1GC!E:E,1,FALSE())),ISNA(VLOOKUP(A118,D:D,1,FALSE()))),"N","Y"))</f>
        <v>Y</v>
      </c>
      <c r="C118" s="157"/>
      <c r="D118" s="235" t="s">
        <v>484</v>
      </c>
      <c r="E118" s="235"/>
      <c r="F118" s="235" t="str">
        <f>IF(AND(ISNA(VLOOKUP(D118,A:A,1,FALSE())),ISNA(VLOOKUP(D118,BaseType!A:A,1,FALSE())),D118&lt;&gt;"Struct"),"N","Y")</f>
        <v>Y</v>
      </c>
      <c r="G118" s="183"/>
      <c r="H118" s="157"/>
      <c r="I118" s="157"/>
      <c r="J118" s="157"/>
      <c r="K118" s="157"/>
      <c r="L118" s="157"/>
      <c r="M118" s="157"/>
      <c r="N118" s="236"/>
      <c r="O118" s="236"/>
      <c r="P118" s="236"/>
      <c r="Q118" s="236"/>
      <c r="R118" s="236"/>
      <c r="S118" s="236"/>
      <c r="T118" s="236"/>
    </row>
    <row r="119" spans="1:20" ht="15" customHeight="1" x14ac:dyDescent="0.2">
      <c r="A119" s="229"/>
      <c r="B119" s="235"/>
      <c r="C119" s="157" t="s">
        <v>3032</v>
      </c>
      <c r="D119" s="235" t="s">
        <v>298</v>
      </c>
      <c r="E119" s="235">
        <v>1</v>
      </c>
      <c r="F119" s="235" t="str">
        <f>IF(AND(ISNA(VLOOKUP(D119,A:A,1,FALSE())),ISNA(VLOOKUP(D119,BaseType!A:A,1,FALSE())),D119&lt;&gt;"Struct"),"N","Y")</f>
        <v>Y</v>
      </c>
      <c r="G119" s="183"/>
      <c r="H119" s="157"/>
      <c r="I119" s="157"/>
      <c r="J119" s="157"/>
      <c r="K119" s="157"/>
      <c r="L119" s="157"/>
      <c r="M119" s="157"/>
      <c r="N119" s="236"/>
      <c r="O119" s="236"/>
      <c r="P119" s="236"/>
      <c r="Q119" s="236"/>
      <c r="R119" s="236"/>
      <c r="S119" s="236"/>
      <c r="T119" s="236"/>
    </row>
    <row r="120" spans="1:20" ht="15" customHeight="1" x14ac:dyDescent="0.2">
      <c r="A120" s="229"/>
      <c r="B120" s="235"/>
      <c r="C120" s="157" t="s">
        <v>3033</v>
      </c>
      <c r="D120" s="235" t="s">
        <v>293</v>
      </c>
      <c r="E120" s="235">
        <v>1</v>
      </c>
      <c r="F120" s="235" t="str">
        <f>IF(AND(ISNA(VLOOKUP(D120,A:A,1,FALSE())),ISNA(VLOOKUP(D120,BaseType!A:A,1,FALSE())),D120&lt;&gt;"Struct"),"N","Y")</f>
        <v>Y</v>
      </c>
      <c r="G120" s="183"/>
      <c r="H120" s="157"/>
      <c r="I120" s="157"/>
      <c r="J120" s="157"/>
      <c r="K120" s="157"/>
      <c r="L120" s="157"/>
      <c r="M120" s="157"/>
      <c r="N120" s="236"/>
      <c r="O120" s="236"/>
      <c r="P120" s="236"/>
      <c r="Q120" s="236"/>
      <c r="R120" s="236"/>
      <c r="S120" s="236"/>
      <c r="T120" s="236"/>
    </row>
    <row r="121" spans="1:20" ht="15" customHeight="1" x14ac:dyDescent="0.2">
      <c r="A121" s="229"/>
      <c r="B121" s="235"/>
      <c r="C121" s="157" t="s">
        <v>3034</v>
      </c>
      <c r="D121" s="235" t="s">
        <v>293</v>
      </c>
      <c r="E121" s="235">
        <v>1</v>
      </c>
      <c r="F121" s="235" t="str">
        <f>IF(AND(ISNA(VLOOKUP(D121,A:A,1,FALSE())),ISNA(VLOOKUP(D121,BaseType!A:A,1,FALSE())),D121&lt;&gt;"Struct"),"N","Y")</f>
        <v>Y</v>
      </c>
      <c r="G121" s="183"/>
      <c r="H121" s="157"/>
      <c r="I121" s="157"/>
      <c r="J121" s="157"/>
      <c r="K121" s="157"/>
      <c r="L121" s="157"/>
      <c r="M121" s="157"/>
      <c r="N121" s="236"/>
      <c r="O121" s="236"/>
      <c r="P121" s="236"/>
      <c r="Q121" s="236"/>
      <c r="R121" s="236"/>
      <c r="S121" s="236"/>
      <c r="T121" s="236"/>
    </row>
    <row r="122" spans="1:20" ht="15" customHeight="1" x14ac:dyDescent="0.2">
      <c r="A122" s="229"/>
      <c r="B122" s="235"/>
      <c r="C122" s="157" t="s">
        <v>3035</v>
      </c>
      <c r="D122" s="235" t="s">
        <v>225</v>
      </c>
      <c r="E122" s="235">
        <v>1</v>
      </c>
      <c r="F122" s="235" t="str">
        <f>IF(AND(ISNA(VLOOKUP(D122,A:A,1,FALSE())),ISNA(VLOOKUP(D122,BaseType!A:A,1,FALSE())),D122&lt;&gt;"Struct"),"N","Y")</f>
        <v>Y</v>
      </c>
      <c r="G122" s="183"/>
      <c r="H122" s="157"/>
      <c r="I122" s="157"/>
      <c r="J122" s="157"/>
      <c r="K122" s="157"/>
      <c r="L122" s="157"/>
      <c r="M122" s="157"/>
      <c r="N122" s="236"/>
      <c r="O122" s="236"/>
      <c r="P122" s="236"/>
      <c r="Q122" s="236"/>
      <c r="R122" s="236"/>
      <c r="S122" s="236"/>
      <c r="T122" s="236"/>
    </row>
    <row r="123" spans="1:20" ht="15" customHeight="1" x14ac:dyDescent="0.2">
      <c r="A123" s="229"/>
      <c r="B123" s="235"/>
      <c r="C123" s="157" t="s">
        <v>3036</v>
      </c>
      <c r="D123" s="235" t="s">
        <v>225</v>
      </c>
      <c r="E123" s="235">
        <v>1</v>
      </c>
      <c r="F123" s="235" t="str">
        <f>IF(AND(ISNA(VLOOKUP(D123,A:A,1,FALSE())),ISNA(VLOOKUP(D123,BaseType!A:A,1,FALSE())),D123&lt;&gt;"Struct"),"N","Y")</f>
        <v>Y</v>
      </c>
      <c r="G123" s="183"/>
      <c r="H123" s="157"/>
      <c r="I123" s="157"/>
      <c r="J123" s="157"/>
      <c r="K123" s="157"/>
      <c r="L123" s="157"/>
      <c r="M123" s="157"/>
      <c r="N123" s="236"/>
      <c r="O123" s="236"/>
      <c r="P123" s="236"/>
      <c r="Q123" s="236"/>
      <c r="R123" s="236"/>
      <c r="S123" s="236"/>
      <c r="T123" s="236"/>
    </row>
    <row r="124" spans="1:20" ht="15" customHeight="1" x14ac:dyDescent="0.2">
      <c r="A124" s="229"/>
      <c r="B124" s="235"/>
      <c r="C124" s="157" t="s">
        <v>3037</v>
      </c>
      <c r="D124" s="235" t="s">
        <v>225</v>
      </c>
      <c r="E124" s="235">
        <v>1</v>
      </c>
      <c r="F124" s="235" t="str">
        <f>IF(AND(ISNA(VLOOKUP(D124,A:A,1,FALSE())),ISNA(VLOOKUP(D124,BaseType!A:A,1,FALSE())),D124&lt;&gt;"Struct"),"N","Y")</f>
        <v>Y</v>
      </c>
      <c r="G124" s="183"/>
      <c r="H124" s="157"/>
      <c r="I124" s="157"/>
      <c r="J124" s="157"/>
      <c r="K124" s="157"/>
      <c r="L124" s="157"/>
      <c r="M124" s="157"/>
      <c r="N124" s="236"/>
      <c r="O124" s="236"/>
      <c r="P124" s="236"/>
      <c r="Q124" s="236"/>
      <c r="R124" s="236"/>
      <c r="S124" s="236"/>
      <c r="T124" s="236"/>
    </row>
    <row r="125" spans="1:20" ht="15" customHeight="1" x14ac:dyDescent="0.2">
      <c r="A125" s="229"/>
      <c r="B125" s="235"/>
      <c r="C125" s="157" t="s">
        <v>3038</v>
      </c>
      <c r="D125" s="235" t="s">
        <v>225</v>
      </c>
      <c r="E125" s="235">
        <v>1</v>
      </c>
      <c r="F125" s="235" t="str">
        <f>IF(AND(ISNA(VLOOKUP(D125,A:A,1,FALSE())),ISNA(VLOOKUP(D125,BaseType!A:A,1,FALSE())),D125&lt;&gt;"Struct"),"N","Y")</f>
        <v>Y</v>
      </c>
      <c r="G125" s="183"/>
      <c r="H125" s="157"/>
      <c r="I125" s="157"/>
      <c r="J125" s="157"/>
      <c r="K125" s="157"/>
      <c r="L125" s="157"/>
      <c r="M125" s="157"/>
      <c r="N125" s="236"/>
      <c r="O125" s="236"/>
      <c r="P125" s="236"/>
      <c r="Q125" s="236"/>
      <c r="R125" s="236"/>
      <c r="S125" s="236"/>
      <c r="T125" s="236"/>
    </row>
    <row r="126" spans="1:20" ht="15" customHeight="1" x14ac:dyDescent="0.2">
      <c r="A126" s="229"/>
      <c r="B126" s="235"/>
      <c r="C126" s="157" t="s">
        <v>3039</v>
      </c>
      <c r="D126" s="235" t="s">
        <v>225</v>
      </c>
      <c r="E126" s="235">
        <v>1</v>
      </c>
      <c r="F126" s="235" t="str">
        <f>IF(AND(ISNA(VLOOKUP(D126,A:A,1,FALSE())),ISNA(VLOOKUP(D126,BaseType!A:A,1,FALSE())),D126&lt;&gt;"Struct"),"N","Y")</f>
        <v>Y</v>
      </c>
      <c r="G126" s="183"/>
      <c r="H126" s="157"/>
      <c r="I126" s="157"/>
      <c r="J126" s="157"/>
      <c r="K126" s="157"/>
      <c r="L126" s="157"/>
      <c r="M126" s="157"/>
      <c r="N126" s="236"/>
      <c r="O126" s="236"/>
      <c r="P126" s="236"/>
      <c r="Q126" s="236"/>
      <c r="R126" s="236"/>
      <c r="S126" s="236"/>
      <c r="T126" s="236"/>
    </row>
    <row r="127" spans="1:20" ht="15" customHeight="1" x14ac:dyDescent="0.2">
      <c r="A127" s="229"/>
      <c r="B127" s="235"/>
      <c r="C127" s="157" t="s">
        <v>3040</v>
      </c>
      <c r="D127" s="235" t="s">
        <v>225</v>
      </c>
      <c r="E127" s="235">
        <v>1</v>
      </c>
      <c r="F127" s="235" t="str">
        <f>IF(AND(ISNA(VLOOKUP(D127,A:A,1,FALSE())),ISNA(VLOOKUP(D127,BaseType!A:A,1,FALSE())),D127&lt;&gt;"Struct"),"N","Y")</f>
        <v>Y</v>
      </c>
      <c r="G127" s="183"/>
      <c r="H127" s="157"/>
      <c r="I127" s="157"/>
      <c r="J127" s="157"/>
      <c r="K127" s="157"/>
      <c r="L127" s="157"/>
      <c r="M127" s="157"/>
      <c r="N127" s="236"/>
      <c r="O127" s="236"/>
      <c r="P127" s="236"/>
      <c r="Q127" s="236"/>
      <c r="R127" s="236"/>
      <c r="S127" s="236"/>
      <c r="T127" s="236"/>
    </row>
    <row r="128" spans="1:20" ht="15" customHeight="1" x14ac:dyDescent="0.2">
      <c r="A128" s="229"/>
      <c r="B128" s="235"/>
      <c r="C128" s="157" t="s">
        <v>3041</v>
      </c>
      <c r="D128" s="235" t="s">
        <v>298</v>
      </c>
      <c r="E128" s="235">
        <v>1</v>
      </c>
      <c r="F128" s="235" t="str">
        <f>IF(AND(ISNA(VLOOKUP(D128,A:A,1,FALSE())),ISNA(VLOOKUP(D128,BaseType!A:A,1,FALSE())),D128&lt;&gt;"Struct"),"N","Y")</f>
        <v>Y</v>
      </c>
      <c r="G128" s="183"/>
      <c r="H128" s="157"/>
      <c r="I128" s="157"/>
      <c r="J128" s="157"/>
      <c r="K128" s="157"/>
      <c r="L128" s="157"/>
      <c r="M128" s="157"/>
      <c r="N128" s="236"/>
      <c r="O128" s="236"/>
      <c r="P128" s="236"/>
      <c r="Q128" s="236"/>
      <c r="R128" s="236"/>
      <c r="S128" s="236"/>
      <c r="T128" s="236"/>
    </row>
    <row r="129" spans="1:20" ht="15" customHeight="1" x14ac:dyDescent="0.2">
      <c r="A129" s="229"/>
      <c r="B129" s="235"/>
      <c r="C129" s="157" t="s">
        <v>3042</v>
      </c>
      <c r="D129" s="235" t="s">
        <v>298</v>
      </c>
      <c r="E129" s="235">
        <v>1</v>
      </c>
      <c r="F129" s="235" t="str">
        <f>IF(AND(ISNA(VLOOKUP(D129,A:A,1,FALSE())),ISNA(VLOOKUP(D129,BaseType!A:A,1,FALSE())),D129&lt;&gt;"Struct"),"N","Y")</f>
        <v>Y</v>
      </c>
      <c r="G129" s="183"/>
      <c r="H129" s="157"/>
      <c r="I129" s="157"/>
      <c r="J129" s="157"/>
      <c r="K129" s="157"/>
      <c r="L129" s="157"/>
      <c r="M129" s="157"/>
      <c r="N129" s="236"/>
      <c r="O129" s="236"/>
      <c r="P129" s="236"/>
      <c r="Q129" s="236"/>
      <c r="R129" s="236"/>
      <c r="S129" s="236"/>
      <c r="T129" s="236"/>
    </row>
    <row r="130" spans="1:20" ht="15" customHeight="1" x14ac:dyDescent="0.2">
      <c r="A130" s="229"/>
      <c r="B130" s="235"/>
      <c r="C130" s="157" t="s">
        <v>3043</v>
      </c>
      <c r="D130" s="235" t="s">
        <v>298</v>
      </c>
      <c r="E130" s="235">
        <v>1</v>
      </c>
      <c r="F130" s="235" t="str">
        <f>IF(AND(ISNA(VLOOKUP(D130,A:A,1,FALSE())),ISNA(VLOOKUP(D130,BaseType!A:A,1,FALSE())),D130&lt;&gt;"Struct"),"N","Y")</f>
        <v>Y</v>
      </c>
      <c r="G130" s="183"/>
      <c r="H130" s="157"/>
      <c r="I130" s="157"/>
      <c r="J130" s="157"/>
      <c r="K130" s="157"/>
      <c r="L130" s="157"/>
      <c r="M130" s="157"/>
      <c r="N130" s="236"/>
      <c r="O130" s="236"/>
      <c r="P130" s="236"/>
      <c r="Q130" s="236"/>
      <c r="R130" s="236"/>
      <c r="S130" s="236"/>
      <c r="T130" s="236"/>
    </row>
    <row r="131" spans="1:20" ht="15" customHeight="1" x14ac:dyDescent="0.2">
      <c r="A131" s="229" t="s">
        <v>2869</v>
      </c>
      <c r="B131" s="235" t="str">
        <f>IF(ISBLANK(A131),"",IF(AND(ISNA(VLOOKUP(A131,Interface_T1GC!E:E,1,FALSE())),ISNA(VLOOKUP(A131,D:D,1,FALSE()))),"N","Y"))</f>
        <v>Y</v>
      </c>
      <c r="C131" s="157"/>
      <c r="D131" s="235" t="s">
        <v>484</v>
      </c>
      <c r="E131" s="235"/>
      <c r="F131" s="235" t="str">
        <f>IF(AND(ISNA(VLOOKUP(D131,A:A,1,FALSE())),ISNA(VLOOKUP(D131,BaseType!A:A,1,FALSE())),D131&lt;&gt;"Struct"),"N","Y")</f>
        <v>Y</v>
      </c>
      <c r="G131" s="183"/>
      <c r="H131" s="157"/>
      <c r="I131" s="157"/>
      <c r="J131" s="157"/>
      <c r="K131" s="157"/>
      <c r="L131" s="157"/>
      <c r="M131" s="157"/>
      <c r="N131" s="236"/>
      <c r="O131" s="236"/>
      <c r="P131" s="236"/>
      <c r="Q131" s="236"/>
      <c r="R131" s="236"/>
      <c r="S131" s="236"/>
      <c r="T131" s="236"/>
    </row>
    <row r="132" spans="1:20" ht="15" customHeight="1" x14ac:dyDescent="0.2">
      <c r="A132" s="229"/>
      <c r="B132" s="235"/>
      <c r="C132" s="157" t="s">
        <v>3044</v>
      </c>
      <c r="D132" s="235" t="s">
        <v>298</v>
      </c>
      <c r="E132" s="235">
        <v>1</v>
      </c>
      <c r="F132" s="235" t="str">
        <f>IF(AND(ISNA(VLOOKUP(D132,A:A,1,FALSE())),ISNA(VLOOKUP(D132,BaseType!A:A,1,FALSE())),D132&lt;&gt;"Struct"),"N","Y")</f>
        <v>Y</v>
      </c>
      <c r="G132" s="183"/>
      <c r="H132" s="157"/>
      <c r="I132" s="157"/>
      <c r="J132" s="157"/>
      <c r="K132" s="157"/>
      <c r="L132" s="157"/>
      <c r="M132" s="157"/>
      <c r="N132" s="236"/>
      <c r="O132" s="236"/>
      <c r="P132" s="236"/>
      <c r="Q132" s="236"/>
      <c r="R132" s="236"/>
      <c r="S132" s="236"/>
      <c r="T132" s="236"/>
    </row>
    <row r="133" spans="1:20" ht="15" customHeight="1" x14ac:dyDescent="0.2">
      <c r="A133" s="229"/>
      <c r="B133" s="235"/>
      <c r="C133" s="157" t="s">
        <v>3045</v>
      </c>
      <c r="D133" s="235" t="s">
        <v>298</v>
      </c>
      <c r="E133" s="235">
        <v>1</v>
      </c>
      <c r="F133" s="235" t="str">
        <f>IF(AND(ISNA(VLOOKUP(D133,A:A,1,FALSE())),ISNA(VLOOKUP(D133,BaseType!A:A,1,FALSE())),D133&lt;&gt;"Struct"),"N","Y")</f>
        <v>Y</v>
      </c>
      <c r="G133" s="183"/>
      <c r="H133" s="157"/>
      <c r="I133" s="157"/>
      <c r="J133" s="157"/>
      <c r="K133" s="157"/>
      <c r="L133" s="157"/>
      <c r="M133" s="157"/>
      <c r="N133" s="236"/>
      <c r="O133" s="236"/>
      <c r="P133" s="236"/>
      <c r="Q133" s="236"/>
      <c r="R133" s="236"/>
      <c r="S133" s="236"/>
      <c r="T133" s="236"/>
    </row>
    <row r="134" spans="1:20" ht="15" customHeight="1" x14ac:dyDescent="0.2">
      <c r="A134" s="229"/>
      <c r="B134" s="235"/>
      <c r="C134" s="157" t="s">
        <v>3046</v>
      </c>
      <c r="D134" s="235" t="s">
        <v>298</v>
      </c>
      <c r="E134" s="235">
        <v>1</v>
      </c>
      <c r="F134" s="235" t="str">
        <f>IF(AND(ISNA(VLOOKUP(D134,A:A,1,FALSE())),ISNA(VLOOKUP(D134,BaseType!A:A,1,FALSE())),D134&lt;&gt;"Struct"),"N","Y")</f>
        <v>Y</v>
      </c>
      <c r="G134" s="183"/>
      <c r="H134" s="157"/>
      <c r="I134" s="157"/>
      <c r="J134" s="157"/>
      <c r="K134" s="157"/>
      <c r="L134" s="157"/>
      <c r="M134" s="157"/>
      <c r="N134" s="236"/>
      <c r="O134" s="236"/>
      <c r="P134" s="236"/>
      <c r="Q134" s="236"/>
      <c r="R134" s="236"/>
      <c r="S134" s="236"/>
      <c r="T134" s="236"/>
    </row>
    <row r="135" spans="1:20" ht="15" customHeight="1" x14ac:dyDescent="0.2">
      <c r="A135" s="229"/>
      <c r="B135" s="235"/>
      <c r="C135" s="157" t="s">
        <v>1342</v>
      </c>
      <c r="D135" s="235" t="s">
        <v>631</v>
      </c>
      <c r="E135" s="235">
        <v>1</v>
      </c>
      <c r="F135" s="235" t="str">
        <f>IF(AND(ISNA(VLOOKUP(D135,A:A,1,FALSE())),ISNA(VLOOKUP(D135,BaseType!A:A,1,FALSE())),D135&lt;&gt;"Struct"),"N","Y")</f>
        <v>Y</v>
      </c>
      <c r="G135" s="183"/>
      <c r="H135" s="157"/>
      <c r="I135" s="157"/>
      <c r="J135" s="157"/>
      <c r="K135" s="157"/>
      <c r="L135" s="157"/>
      <c r="M135" s="157"/>
      <c r="N135" s="236"/>
      <c r="O135" s="236"/>
      <c r="P135" s="236"/>
      <c r="Q135" s="236"/>
      <c r="R135" s="236"/>
      <c r="S135" s="236"/>
      <c r="T135" s="236"/>
    </row>
    <row r="136" spans="1:20" ht="15" customHeight="1" x14ac:dyDescent="0.2">
      <c r="A136" s="229"/>
      <c r="B136" s="235"/>
      <c r="C136" s="157" t="s">
        <v>3047</v>
      </c>
      <c r="D136" s="235" t="s">
        <v>1249</v>
      </c>
      <c r="E136" s="235">
        <v>1</v>
      </c>
      <c r="F136" s="235" t="str">
        <f>IF(AND(ISNA(VLOOKUP(D136,A:A,1,FALSE())),ISNA(VLOOKUP(D136,BaseType!A:A,1,FALSE())),D136&lt;&gt;"Struct"),"N","Y")</f>
        <v>Y</v>
      </c>
      <c r="G136" s="183"/>
      <c r="H136" s="157"/>
      <c r="I136" s="157"/>
      <c r="J136" s="157"/>
      <c r="K136" s="157"/>
      <c r="L136" s="157"/>
      <c r="M136" s="157"/>
      <c r="N136" s="236"/>
      <c r="O136" s="236"/>
      <c r="P136" s="236"/>
      <c r="Q136" s="236"/>
      <c r="R136" s="236"/>
      <c r="S136" s="236"/>
      <c r="T136" s="236"/>
    </row>
    <row r="137" spans="1:20" ht="15" customHeight="1" x14ac:dyDescent="0.2">
      <c r="A137" s="229"/>
      <c r="B137" s="235"/>
      <c r="C137" s="157" t="s">
        <v>3048</v>
      </c>
      <c r="D137" s="235" t="s">
        <v>298</v>
      </c>
      <c r="E137" s="235">
        <v>1</v>
      </c>
      <c r="F137" s="235" t="str">
        <f>IF(AND(ISNA(VLOOKUP(D137,A:A,1,FALSE())),ISNA(VLOOKUP(D137,BaseType!A:A,1,FALSE())),D137&lt;&gt;"Struct"),"N","Y")</f>
        <v>Y</v>
      </c>
      <c r="G137" s="183"/>
      <c r="H137" s="157"/>
      <c r="I137" s="157"/>
      <c r="J137" s="157"/>
      <c r="K137" s="157"/>
      <c r="L137" s="157"/>
      <c r="M137" s="157"/>
      <c r="N137" s="236"/>
      <c r="O137" s="236"/>
      <c r="P137" s="236"/>
      <c r="Q137" s="236"/>
      <c r="R137" s="236"/>
      <c r="S137" s="236"/>
      <c r="T137" s="236"/>
    </row>
    <row r="138" spans="1:20" ht="15" customHeight="1" x14ac:dyDescent="0.2">
      <c r="A138" s="229"/>
      <c r="B138" s="235"/>
      <c r="C138" s="157" t="s">
        <v>3049</v>
      </c>
      <c r="D138" s="235" t="s">
        <v>298</v>
      </c>
      <c r="E138" s="235">
        <v>1</v>
      </c>
      <c r="F138" s="235" t="str">
        <f>IF(AND(ISNA(VLOOKUP(D138,A:A,1,FALSE())),ISNA(VLOOKUP(D138,BaseType!A:A,1,FALSE())),D138&lt;&gt;"Struct"),"N","Y")</f>
        <v>Y</v>
      </c>
      <c r="G138" s="183"/>
      <c r="H138" s="157"/>
      <c r="I138" s="157"/>
      <c r="J138" s="157"/>
      <c r="K138" s="157"/>
      <c r="L138" s="157"/>
      <c r="M138" s="157"/>
      <c r="N138" s="236"/>
      <c r="O138" s="236"/>
      <c r="P138" s="236"/>
      <c r="Q138" s="236"/>
      <c r="R138" s="236"/>
      <c r="S138" s="236"/>
      <c r="T138" s="236"/>
    </row>
    <row r="139" spans="1:20" ht="15" customHeight="1" x14ac:dyDescent="0.2">
      <c r="A139" s="229"/>
      <c r="B139" s="235"/>
      <c r="C139" s="157" t="s">
        <v>3050</v>
      </c>
      <c r="D139" s="229" t="s">
        <v>3006</v>
      </c>
      <c r="E139" s="235">
        <v>32</v>
      </c>
      <c r="F139" s="235" t="str">
        <f>IF(AND(ISNA(VLOOKUP(D139,A:A,1,FALSE())),ISNA(VLOOKUP(D139,BaseType!A:A,1,FALSE())),D139&lt;&gt;"Struct"),"N","Y")</f>
        <v>Y</v>
      </c>
      <c r="G139" s="183"/>
      <c r="H139" s="157"/>
      <c r="I139" s="157"/>
      <c r="J139" s="157"/>
      <c r="K139" s="157"/>
      <c r="L139" s="157"/>
      <c r="M139" s="157"/>
      <c r="N139" s="236"/>
      <c r="O139" s="236"/>
      <c r="P139" s="236"/>
      <c r="Q139" s="236"/>
      <c r="R139" s="236"/>
      <c r="S139" s="236"/>
      <c r="T139" s="236"/>
    </row>
    <row r="140" spans="1:20" ht="15" customHeight="1" x14ac:dyDescent="0.2">
      <c r="A140" s="229"/>
      <c r="B140" s="235"/>
      <c r="C140" s="157" t="s">
        <v>3051</v>
      </c>
      <c r="D140" s="229" t="s">
        <v>3031</v>
      </c>
      <c r="E140" s="235">
        <v>256</v>
      </c>
      <c r="F140" s="235" t="str">
        <f>IF(AND(ISNA(VLOOKUP(D140,A:A,1,FALSE())),ISNA(VLOOKUP(D140,BaseType!A:A,1,FALSE())),D140&lt;&gt;"Struct"),"N","Y")</f>
        <v>Y</v>
      </c>
      <c r="G140" s="183"/>
      <c r="H140" s="157"/>
      <c r="I140" s="157"/>
      <c r="J140" s="157"/>
      <c r="K140" s="157"/>
      <c r="L140" s="157"/>
      <c r="M140" s="157"/>
      <c r="N140" s="236"/>
      <c r="O140" s="236"/>
      <c r="P140" s="236"/>
      <c r="Q140" s="236"/>
      <c r="R140" s="236"/>
      <c r="S140" s="236"/>
      <c r="T140" s="236"/>
    </row>
    <row r="141" spans="1:20" ht="15" customHeight="1" x14ac:dyDescent="0.2">
      <c r="A141" s="229" t="s">
        <v>3052</v>
      </c>
      <c r="B141" s="235" t="str">
        <f>IF(ISBLANK(A141),"",IF(AND(ISNA(VLOOKUP(A141,Interface_T1GC!E:E,1,FALSE())),ISNA(VLOOKUP(A141,D:D,1,FALSE()))),"N","Y"))</f>
        <v>Y</v>
      </c>
      <c r="C141" s="157"/>
      <c r="D141" s="235" t="s">
        <v>484</v>
      </c>
      <c r="E141" s="235"/>
      <c r="F141" s="235" t="str">
        <f>IF(AND(ISNA(VLOOKUP(D141,A:A,1,FALSE())),ISNA(VLOOKUP(D141,BaseType!A:A,1,FALSE())),D141&lt;&gt;"Struct"),"N","Y")</f>
        <v>Y</v>
      </c>
      <c r="G141" s="183"/>
      <c r="H141" s="157"/>
      <c r="I141" s="157"/>
      <c r="J141" s="157"/>
      <c r="K141" s="157"/>
      <c r="L141" s="157"/>
      <c r="M141" s="157"/>
      <c r="N141" s="236"/>
      <c r="O141" s="236"/>
      <c r="P141" s="236"/>
      <c r="Q141" s="236"/>
      <c r="R141" s="236"/>
      <c r="S141" s="236"/>
      <c r="T141" s="236"/>
    </row>
    <row r="142" spans="1:20" ht="15" customHeight="1" x14ac:dyDescent="0.2">
      <c r="A142" s="229"/>
      <c r="B142" s="235"/>
      <c r="C142" s="157" t="s">
        <v>3053</v>
      </c>
      <c r="D142" s="235" t="s">
        <v>298</v>
      </c>
      <c r="E142" s="235">
        <v>1</v>
      </c>
      <c r="F142" s="235" t="str">
        <f>IF(AND(ISNA(VLOOKUP(D142,A:A,1,FALSE())),ISNA(VLOOKUP(D142,BaseType!A:A,1,FALSE())),D142&lt;&gt;"Struct"),"N","Y")</f>
        <v>Y</v>
      </c>
      <c r="G142" s="183"/>
      <c r="H142" s="157"/>
      <c r="I142" s="157"/>
      <c r="J142" s="157"/>
      <c r="K142" s="157"/>
      <c r="L142" s="157"/>
      <c r="M142" s="157"/>
      <c r="N142" s="236"/>
      <c r="O142" s="236"/>
      <c r="P142" s="236"/>
      <c r="Q142" s="236"/>
      <c r="R142" s="236"/>
      <c r="S142" s="236"/>
      <c r="T142" s="236"/>
    </row>
    <row r="143" spans="1:20" ht="15" customHeight="1" x14ac:dyDescent="0.2">
      <c r="A143" s="229"/>
      <c r="B143" s="235"/>
      <c r="C143" s="157" t="s">
        <v>1901</v>
      </c>
      <c r="D143" s="235" t="s">
        <v>298</v>
      </c>
      <c r="E143" s="235">
        <v>1</v>
      </c>
      <c r="F143" s="235" t="str">
        <f>IF(AND(ISNA(VLOOKUP(D143,A:A,1,FALSE())),ISNA(VLOOKUP(D143,BaseType!A:A,1,FALSE())),D143&lt;&gt;"Struct"),"N","Y")</f>
        <v>Y</v>
      </c>
      <c r="G143" s="183"/>
      <c r="H143" s="157"/>
      <c r="I143" s="157"/>
      <c r="J143" s="157"/>
      <c r="K143" s="157"/>
      <c r="L143" s="157"/>
      <c r="M143" s="157"/>
      <c r="N143" s="236"/>
      <c r="O143" s="236"/>
      <c r="P143" s="236"/>
      <c r="Q143" s="236"/>
      <c r="R143" s="236"/>
      <c r="S143" s="236"/>
      <c r="T143" s="236"/>
    </row>
    <row r="144" spans="1:20" ht="15" customHeight="1" x14ac:dyDescent="0.2">
      <c r="A144" s="229"/>
      <c r="B144" s="235"/>
      <c r="C144" s="157" t="s">
        <v>3054</v>
      </c>
      <c r="D144" s="235" t="s">
        <v>298</v>
      </c>
      <c r="E144" s="235">
        <v>1</v>
      </c>
      <c r="F144" s="235" t="str">
        <f>IF(AND(ISNA(VLOOKUP(D144,A:A,1,FALSE())),ISNA(VLOOKUP(D144,BaseType!A:A,1,FALSE())),D144&lt;&gt;"Struct"),"N","Y")</f>
        <v>Y</v>
      </c>
      <c r="G144" s="183"/>
      <c r="H144" s="157"/>
      <c r="I144" s="157"/>
      <c r="J144" s="157"/>
      <c r="K144" s="157"/>
      <c r="L144" s="157"/>
      <c r="M144" s="157"/>
      <c r="N144" s="236"/>
      <c r="O144" s="236"/>
      <c r="P144" s="236"/>
      <c r="Q144" s="236"/>
      <c r="R144" s="236"/>
      <c r="S144" s="236"/>
      <c r="T144" s="236"/>
    </row>
    <row r="145" spans="1:20" ht="15" customHeight="1" x14ac:dyDescent="0.2">
      <c r="A145" s="229"/>
      <c r="B145" s="235"/>
      <c r="C145" s="157" t="s">
        <v>3008</v>
      </c>
      <c r="D145" s="235" t="s">
        <v>225</v>
      </c>
      <c r="E145" s="235">
        <v>1</v>
      </c>
      <c r="F145" s="235" t="str">
        <f>IF(AND(ISNA(VLOOKUP(D145,A:A,1,FALSE())),ISNA(VLOOKUP(D145,BaseType!A:A,1,FALSE())),D145&lt;&gt;"Struct"),"N","Y")</f>
        <v>Y</v>
      </c>
      <c r="G145" s="183"/>
      <c r="H145" s="157"/>
      <c r="I145" s="157"/>
      <c r="J145" s="157"/>
      <c r="K145" s="157"/>
      <c r="L145" s="157"/>
      <c r="M145" s="157"/>
      <c r="N145" s="236"/>
      <c r="O145" s="236"/>
      <c r="P145" s="236"/>
      <c r="Q145" s="236"/>
      <c r="R145" s="236"/>
      <c r="S145" s="236"/>
      <c r="T145" s="236"/>
    </row>
    <row r="146" spans="1:20" ht="15" customHeight="1" x14ac:dyDescent="0.2">
      <c r="A146" s="229"/>
      <c r="B146" s="235"/>
      <c r="C146" s="157" t="s">
        <v>3009</v>
      </c>
      <c r="D146" s="235" t="s">
        <v>225</v>
      </c>
      <c r="E146" s="235">
        <v>1</v>
      </c>
      <c r="F146" s="235" t="str">
        <f>IF(AND(ISNA(VLOOKUP(D146,A:A,1,FALSE())),ISNA(VLOOKUP(D146,BaseType!A:A,1,FALSE())),D146&lt;&gt;"Struct"),"N","Y")</f>
        <v>Y</v>
      </c>
      <c r="G146" s="183"/>
      <c r="H146" s="157"/>
      <c r="I146" s="157"/>
      <c r="J146" s="157"/>
      <c r="K146" s="157"/>
      <c r="L146" s="157"/>
      <c r="M146" s="157"/>
      <c r="N146" s="236"/>
      <c r="O146" s="236"/>
      <c r="P146" s="236"/>
      <c r="Q146" s="236"/>
      <c r="R146" s="236"/>
      <c r="S146" s="236"/>
      <c r="T146" s="236"/>
    </row>
    <row r="147" spans="1:20" ht="15" customHeight="1" x14ac:dyDescent="0.2">
      <c r="A147" s="229"/>
      <c r="B147" s="235"/>
      <c r="C147" s="157" t="s">
        <v>3055</v>
      </c>
      <c r="D147" s="235" t="s">
        <v>225</v>
      </c>
      <c r="E147" s="235">
        <v>1</v>
      </c>
      <c r="F147" s="235" t="str">
        <f>IF(AND(ISNA(VLOOKUP(D147,A:A,1,FALSE())),ISNA(VLOOKUP(D147,BaseType!A:A,1,FALSE())),D147&lt;&gt;"Struct"),"N","Y")</f>
        <v>Y</v>
      </c>
      <c r="G147" s="183"/>
      <c r="H147" s="157"/>
      <c r="I147" s="157"/>
      <c r="J147" s="157"/>
      <c r="K147" s="157"/>
      <c r="L147" s="157"/>
      <c r="M147" s="157"/>
      <c r="N147" s="236"/>
      <c r="O147" s="236"/>
      <c r="P147" s="236"/>
      <c r="Q147" s="236"/>
      <c r="R147" s="236"/>
      <c r="S147" s="236"/>
      <c r="T147" s="236"/>
    </row>
    <row r="148" spans="1:20" ht="15" customHeight="1" x14ac:dyDescent="0.2">
      <c r="A148" s="229"/>
      <c r="B148" s="235"/>
      <c r="C148" t="s">
        <v>3056</v>
      </c>
      <c r="D148" s="235" t="s">
        <v>298</v>
      </c>
      <c r="E148" s="235">
        <v>1</v>
      </c>
      <c r="F148" s="235" t="str">
        <f>IF(AND(ISNA(VLOOKUP(D148,A:A,1,FALSE())),ISNA(VLOOKUP(D148,BaseType!A:A,1,FALSE())),D148&lt;&gt;"Struct"),"N","Y")</f>
        <v>Y</v>
      </c>
      <c r="G148" s="183"/>
      <c r="H148" s="157"/>
      <c r="I148" s="157"/>
      <c r="J148" s="157"/>
      <c r="K148" s="157"/>
      <c r="L148" s="157"/>
      <c r="M148" s="157"/>
      <c r="N148" s="236"/>
      <c r="O148" s="236"/>
      <c r="P148" s="236"/>
      <c r="Q148" s="236"/>
      <c r="R148" s="236"/>
      <c r="S148" s="236"/>
      <c r="T148" s="236"/>
    </row>
    <row r="149" spans="1:20" ht="15" customHeight="1" x14ac:dyDescent="0.2">
      <c r="A149" s="229"/>
      <c r="B149" s="235"/>
      <c r="C149" s="157" t="s">
        <v>3057</v>
      </c>
      <c r="D149" s="235" t="s">
        <v>298</v>
      </c>
      <c r="E149" s="235">
        <v>1</v>
      </c>
      <c r="F149" s="235" t="str">
        <f>IF(AND(ISNA(VLOOKUP(D149,A:A,1,FALSE())),ISNA(VLOOKUP(D149,BaseType!A:A,1,FALSE())),D149&lt;&gt;"Struct"),"N","Y")</f>
        <v>Y</v>
      </c>
      <c r="G149" s="183"/>
      <c r="H149" s="157"/>
      <c r="I149" s="157"/>
      <c r="J149" s="157"/>
      <c r="K149" s="157"/>
      <c r="L149" s="157"/>
      <c r="M149" s="157"/>
      <c r="N149" s="236"/>
      <c r="O149" s="236"/>
      <c r="P149" s="236"/>
      <c r="Q149" s="236"/>
      <c r="R149" s="236"/>
      <c r="S149" s="236"/>
      <c r="T149" s="236"/>
    </row>
    <row r="150" spans="1:20" ht="15" customHeight="1" x14ac:dyDescent="0.2">
      <c r="A150" s="229"/>
      <c r="B150" s="235"/>
      <c r="C150" s="157" t="s">
        <v>3058</v>
      </c>
      <c r="D150" s="235" t="s">
        <v>298</v>
      </c>
      <c r="E150" s="235">
        <v>1</v>
      </c>
      <c r="F150" s="235" t="str">
        <f>IF(AND(ISNA(VLOOKUP(D150,A:A,1,FALSE())),ISNA(VLOOKUP(D150,BaseType!A:A,1,FALSE())),D150&lt;&gt;"Struct"),"N","Y")</f>
        <v>Y</v>
      </c>
      <c r="G150" s="183"/>
      <c r="H150" s="157"/>
      <c r="I150" s="157"/>
      <c r="J150" s="157"/>
      <c r="K150" s="157"/>
      <c r="L150" s="157"/>
      <c r="M150" s="157"/>
      <c r="N150" s="236"/>
      <c r="O150" s="236"/>
      <c r="P150" s="236"/>
      <c r="Q150" s="236"/>
      <c r="R150" s="236"/>
      <c r="S150" s="236"/>
      <c r="T150" s="236"/>
    </row>
    <row r="151" spans="1:20" ht="15" customHeight="1" x14ac:dyDescent="0.2">
      <c r="A151" s="229"/>
      <c r="B151" s="235"/>
      <c r="C151" s="157" t="s">
        <v>3059</v>
      </c>
      <c r="D151" s="235" t="s">
        <v>298</v>
      </c>
      <c r="E151" s="235">
        <v>1</v>
      </c>
      <c r="F151" s="235" t="str">
        <f>IF(AND(ISNA(VLOOKUP(D151,A:A,1,FALSE())),ISNA(VLOOKUP(D151,BaseType!A:A,1,FALSE())),D151&lt;&gt;"Struct"),"N","Y")</f>
        <v>Y</v>
      </c>
      <c r="G151" s="183"/>
      <c r="H151" s="157"/>
      <c r="I151" s="157"/>
      <c r="J151" s="157"/>
      <c r="K151" s="157"/>
      <c r="L151" s="157"/>
      <c r="M151" s="157"/>
      <c r="N151" s="236"/>
      <c r="O151" s="236"/>
      <c r="P151" s="236"/>
      <c r="Q151" s="236"/>
      <c r="R151" s="236"/>
      <c r="S151" s="236"/>
      <c r="T151" s="236"/>
    </row>
    <row r="152" spans="1:20" ht="15" customHeight="1" x14ac:dyDescent="0.2">
      <c r="A152" s="229"/>
      <c r="B152" s="235"/>
      <c r="C152" s="157" t="s">
        <v>3060</v>
      </c>
      <c r="D152" s="235" t="s">
        <v>225</v>
      </c>
      <c r="E152" s="235">
        <v>1</v>
      </c>
      <c r="F152" s="235" t="str">
        <f>IF(AND(ISNA(VLOOKUP(D152,A:A,1,FALSE())),ISNA(VLOOKUP(D152,BaseType!A:A,1,FALSE())),D152&lt;&gt;"Struct"),"N","Y")</f>
        <v>Y</v>
      </c>
      <c r="G152" s="183"/>
      <c r="H152" s="157"/>
      <c r="I152" s="157"/>
      <c r="J152" s="157"/>
      <c r="K152" s="157"/>
      <c r="L152" s="157"/>
      <c r="M152" s="157"/>
      <c r="N152" s="236"/>
      <c r="O152" s="236"/>
      <c r="P152" s="236"/>
      <c r="Q152" s="236"/>
      <c r="R152" s="236"/>
      <c r="S152" s="236"/>
      <c r="T152" s="236"/>
    </row>
    <row r="153" spans="1:20" ht="15" customHeight="1" x14ac:dyDescent="0.2">
      <c r="A153" s="229"/>
      <c r="B153" s="235"/>
      <c r="C153" s="157" t="s">
        <v>3061</v>
      </c>
      <c r="D153" s="235" t="s">
        <v>298</v>
      </c>
      <c r="E153" s="235">
        <v>1</v>
      </c>
      <c r="F153" s="235" t="str">
        <f>IF(AND(ISNA(VLOOKUP(D153,A:A,1,FALSE())),ISNA(VLOOKUP(D153,BaseType!A:A,1,FALSE())),D153&lt;&gt;"Struct"),"N","Y")</f>
        <v>Y</v>
      </c>
      <c r="G153" s="183"/>
      <c r="H153" s="157"/>
      <c r="I153" s="157"/>
      <c r="J153" s="157"/>
      <c r="K153" s="157"/>
      <c r="L153" s="157"/>
      <c r="M153" s="157"/>
      <c r="N153" s="236"/>
      <c r="O153" s="236"/>
      <c r="P153" s="236"/>
      <c r="Q153" s="236"/>
      <c r="R153" s="236"/>
      <c r="S153" s="236"/>
      <c r="T153" s="236"/>
    </row>
    <row r="154" spans="1:20" ht="15" customHeight="1" x14ac:dyDescent="0.2">
      <c r="A154" s="229"/>
      <c r="B154" s="235"/>
      <c r="C154" s="157" t="s">
        <v>3062</v>
      </c>
      <c r="D154" s="235" t="s">
        <v>225</v>
      </c>
      <c r="E154" s="235">
        <v>1</v>
      </c>
      <c r="F154" s="235" t="str">
        <f>IF(AND(ISNA(VLOOKUP(D154,A:A,1,FALSE())),ISNA(VLOOKUP(D154,BaseType!A:A,1,FALSE())),D154&lt;&gt;"Struct"),"N","Y")</f>
        <v>Y</v>
      </c>
      <c r="G154" s="183"/>
      <c r="H154" s="157"/>
      <c r="I154" s="157"/>
      <c r="J154" s="157"/>
      <c r="K154" s="157"/>
      <c r="L154" s="157"/>
      <c r="M154" s="157"/>
      <c r="N154" s="236"/>
      <c r="O154" s="236"/>
      <c r="P154" s="236"/>
      <c r="Q154" s="236"/>
      <c r="R154" s="236"/>
      <c r="S154" s="236"/>
      <c r="T154" s="236"/>
    </row>
    <row r="155" spans="1:20" ht="15" customHeight="1" x14ac:dyDescent="0.2">
      <c r="A155" s="229"/>
      <c r="B155" s="235"/>
      <c r="C155" s="157" t="s">
        <v>3025</v>
      </c>
      <c r="D155" s="235" t="s">
        <v>225</v>
      </c>
      <c r="E155" s="235">
        <v>1</v>
      </c>
      <c r="F155" s="235" t="str">
        <f>IF(AND(ISNA(VLOOKUP(D155,A:A,1,FALSE())),ISNA(VLOOKUP(D155,BaseType!A:A,1,FALSE())),D155&lt;&gt;"Struct"),"N","Y")</f>
        <v>Y</v>
      </c>
      <c r="G155" s="183"/>
      <c r="H155" s="157"/>
      <c r="I155" s="157"/>
      <c r="J155" s="157"/>
      <c r="K155" s="157"/>
      <c r="L155" s="157"/>
      <c r="M155" s="157"/>
      <c r="N155" s="236"/>
      <c r="O155" s="236"/>
      <c r="P155" s="236"/>
      <c r="Q155" s="236"/>
      <c r="R155" s="236"/>
      <c r="S155" s="236"/>
      <c r="T155" s="236"/>
    </row>
    <row r="156" spans="1:20" ht="15" customHeight="1" x14ac:dyDescent="0.2">
      <c r="A156" s="229"/>
      <c r="B156" s="235"/>
      <c r="C156" s="157" t="s">
        <v>2313</v>
      </c>
      <c r="D156" s="235" t="s">
        <v>225</v>
      </c>
      <c r="E156" s="235">
        <v>1</v>
      </c>
      <c r="F156" s="235" t="str">
        <f>IF(AND(ISNA(VLOOKUP(D156,A:A,1,FALSE())),ISNA(VLOOKUP(D156,BaseType!A:A,1,FALSE())),D156&lt;&gt;"Struct"),"N","Y")</f>
        <v>Y</v>
      </c>
      <c r="G156" s="183"/>
      <c r="H156" s="157"/>
      <c r="I156" s="157"/>
      <c r="J156" s="157"/>
      <c r="K156" s="157"/>
      <c r="L156" s="157"/>
      <c r="M156" s="157"/>
      <c r="N156" s="236"/>
      <c r="O156" s="236"/>
      <c r="P156" s="236"/>
      <c r="Q156" s="236"/>
      <c r="R156" s="236"/>
      <c r="S156" s="236"/>
      <c r="T156" s="236"/>
    </row>
    <row r="157" spans="1:20" ht="15" customHeight="1" x14ac:dyDescent="0.2">
      <c r="A157" s="229"/>
      <c r="B157" s="235"/>
      <c r="C157" s="157" t="s">
        <v>3063</v>
      </c>
      <c r="D157" s="235" t="s">
        <v>225</v>
      </c>
      <c r="E157" s="235">
        <v>1</v>
      </c>
      <c r="F157" s="235" t="str">
        <f>IF(AND(ISNA(VLOOKUP(D157,A:A,1,FALSE())),ISNA(VLOOKUP(D157,BaseType!A:A,1,FALSE())),D157&lt;&gt;"Struct"),"N","Y")</f>
        <v>Y</v>
      </c>
      <c r="G157" s="183"/>
      <c r="H157" s="157"/>
      <c r="I157" s="157"/>
      <c r="J157" s="157"/>
      <c r="K157" s="157"/>
      <c r="L157" s="157"/>
      <c r="M157" s="157"/>
      <c r="N157" s="236"/>
      <c r="O157" s="236"/>
      <c r="P157" s="236"/>
      <c r="Q157" s="236"/>
      <c r="R157" s="236"/>
      <c r="S157" s="236"/>
      <c r="T157" s="236"/>
    </row>
    <row r="158" spans="1:20" ht="15" customHeight="1" x14ac:dyDescent="0.2">
      <c r="A158" s="229"/>
      <c r="B158" s="235"/>
      <c r="C158" s="157" t="s">
        <v>3064</v>
      </c>
      <c r="D158" s="235" t="s">
        <v>225</v>
      </c>
      <c r="E158" s="235">
        <v>1</v>
      </c>
      <c r="F158" s="235" t="str">
        <f>IF(AND(ISNA(VLOOKUP(D158,A:A,1,FALSE())),ISNA(VLOOKUP(D158,BaseType!A:A,1,FALSE())),D158&lt;&gt;"Struct"),"N","Y")</f>
        <v>Y</v>
      </c>
      <c r="G158" s="183"/>
      <c r="H158" s="157"/>
      <c r="I158" s="157"/>
      <c r="J158" s="157"/>
      <c r="K158" s="157"/>
      <c r="L158" s="157"/>
      <c r="M158" s="157"/>
      <c r="N158" s="236"/>
      <c r="O158" s="236"/>
      <c r="P158" s="236"/>
      <c r="Q158" s="236"/>
      <c r="R158" s="236"/>
      <c r="S158" s="236"/>
      <c r="T158" s="236"/>
    </row>
    <row r="159" spans="1:20" ht="15" customHeight="1" x14ac:dyDescent="0.2">
      <c r="A159" s="229"/>
      <c r="B159" s="235"/>
      <c r="C159" s="157" t="s">
        <v>3065</v>
      </c>
      <c r="D159" s="235" t="s">
        <v>225</v>
      </c>
      <c r="E159" s="235">
        <v>1</v>
      </c>
      <c r="F159" s="235" t="str">
        <f>IF(AND(ISNA(VLOOKUP(D159,A:A,1,FALSE())),ISNA(VLOOKUP(D159,BaseType!A:A,1,FALSE())),D159&lt;&gt;"Struct"),"N","Y")</f>
        <v>Y</v>
      </c>
      <c r="G159" s="183"/>
      <c r="H159" s="157"/>
      <c r="I159" s="157"/>
      <c r="J159" s="157"/>
      <c r="K159" s="157"/>
      <c r="L159" s="157"/>
      <c r="M159" s="157"/>
      <c r="N159" s="236"/>
      <c r="O159" s="236"/>
      <c r="P159" s="236"/>
      <c r="Q159" s="236"/>
      <c r="R159" s="236"/>
      <c r="S159" s="236"/>
      <c r="T159" s="236"/>
    </row>
    <row r="160" spans="1:20" ht="15" customHeight="1" x14ac:dyDescent="0.2">
      <c r="A160" s="229"/>
      <c r="B160" s="235"/>
      <c r="C160" s="157" t="s">
        <v>3066</v>
      </c>
      <c r="D160" s="235" t="s">
        <v>225</v>
      </c>
      <c r="E160" s="235">
        <v>1</v>
      </c>
      <c r="F160" s="235" t="str">
        <f>IF(AND(ISNA(VLOOKUP(D160,A:A,1,FALSE())),ISNA(VLOOKUP(D160,BaseType!A:A,1,FALSE())),D160&lt;&gt;"Struct"),"N","Y")</f>
        <v>Y</v>
      </c>
      <c r="G160" s="183"/>
      <c r="H160" s="157"/>
      <c r="I160" s="157"/>
      <c r="J160" s="157"/>
      <c r="K160" s="157"/>
      <c r="L160" s="157"/>
      <c r="M160" s="157"/>
      <c r="N160" s="236"/>
      <c r="O160" s="236"/>
      <c r="P160" s="236"/>
      <c r="Q160" s="236"/>
      <c r="R160" s="236"/>
      <c r="S160" s="236"/>
      <c r="T160" s="236"/>
    </row>
    <row r="161" spans="1:20" ht="15" customHeight="1" x14ac:dyDescent="0.2">
      <c r="A161" s="229"/>
      <c r="B161" s="235"/>
      <c r="C161" s="157" t="s">
        <v>3067</v>
      </c>
      <c r="D161" s="235" t="s">
        <v>225</v>
      </c>
      <c r="E161" s="235">
        <v>1</v>
      </c>
      <c r="F161" s="235" t="str">
        <f>IF(AND(ISNA(VLOOKUP(D161,A:A,1,FALSE())),ISNA(VLOOKUP(D161,BaseType!A:A,1,FALSE())),D161&lt;&gt;"Struct"),"N","Y")</f>
        <v>Y</v>
      </c>
      <c r="G161" s="183"/>
      <c r="H161" s="157"/>
      <c r="I161" s="157"/>
      <c r="J161" s="157"/>
      <c r="K161" s="157"/>
      <c r="L161" s="157"/>
      <c r="M161" s="157"/>
      <c r="N161" s="236"/>
      <c r="O161" s="236"/>
      <c r="P161" s="236"/>
      <c r="Q161" s="236"/>
      <c r="R161" s="236"/>
      <c r="S161" s="236"/>
      <c r="T161" s="236"/>
    </row>
    <row r="162" spans="1:20" ht="15" customHeight="1" x14ac:dyDescent="0.2">
      <c r="A162" s="229"/>
      <c r="B162" s="235"/>
      <c r="C162" s="157" t="s">
        <v>3068</v>
      </c>
      <c r="D162" s="235" t="s">
        <v>225</v>
      </c>
      <c r="E162" s="235">
        <v>1</v>
      </c>
      <c r="F162" s="235" t="str">
        <f>IF(AND(ISNA(VLOOKUP(D162,A:A,1,FALSE())),ISNA(VLOOKUP(D162,BaseType!A:A,1,FALSE())),D162&lt;&gt;"Struct"),"N","Y")</f>
        <v>Y</v>
      </c>
      <c r="G162" s="183"/>
      <c r="H162" s="157"/>
      <c r="I162" s="157"/>
      <c r="J162" s="157"/>
      <c r="K162" s="157"/>
      <c r="L162" s="157"/>
      <c r="M162" s="157"/>
      <c r="N162" s="236"/>
      <c r="O162" s="236"/>
      <c r="P162" s="236"/>
      <c r="Q162" s="236"/>
      <c r="R162" s="236"/>
      <c r="S162" s="236"/>
      <c r="T162" s="236"/>
    </row>
    <row r="163" spans="1:20" ht="15" customHeight="1" x14ac:dyDescent="0.2">
      <c r="A163" s="229"/>
      <c r="B163" s="235"/>
      <c r="C163" s="157" t="s">
        <v>3069</v>
      </c>
      <c r="D163" s="235" t="s">
        <v>225</v>
      </c>
      <c r="E163" s="235">
        <v>1</v>
      </c>
      <c r="F163" s="235" t="str">
        <f>IF(AND(ISNA(VLOOKUP(D163,A:A,1,FALSE())),ISNA(VLOOKUP(D163,BaseType!A:A,1,FALSE())),D163&lt;&gt;"Struct"),"N","Y")</f>
        <v>Y</v>
      </c>
      <c r="G163" s="183"/>
      <c r="H163" s="157"/>
      <c r="I163" s="157"/>
      <c r="J163" s="157"/>
      <c r="K163" s="157"/>
      <c r="L163" s="157"/>
      <c r="M163" s="157"/>
      <c r="N163" s="236"/>
      <c r="O163" s="236"/>
      <c r="P163" s="236"/>
      <c r="Q163" s="236"/>
      <c r="R163" s="236"/>
      <c r="S163" s="236"/>
      <c r="T163" s="236"/>
    </row>
    <row r="164" spans="1:20" ht="15" customHeight="1" x14ac:dyDescent="0.2">
      <c r="A164" s="229" t="s">
        <v>3070</v>
      </c>
      <c r="B164" s="235" t="str">
        <f>IF(ISBLANK(A164),"",IF(AND(ISNA(VLOOKUP(A164,Interface_T1GC!E:E,1,FALSE())),ISNA(VLOOKUP(A164,D:D,1,FALSE()))),"N","Y"))</f>
        <v>Y</v>
      </c>
      <c r="C164" s="157"/>
      <c r="D164" s="235" t="s">
        <v>484</v>
      </c>
      <c r="E164" s="235"/>
      <c r="F164" s="235" t="str">
        <f>IF(AND(ISNA(VLOOKUP(D164,A:A,1,FALSE())),ISNA(VLOOKUP(D164,BaseType!A:A,1,FALSE())),D164&lt;&gt;"Struct"),"N","Y")</f>
        <v>Y</v>
      </c>
      <c r="G164" s="183"/>
      <c r="H164" s="157"/>
      <c r="I164" s="157"/>
      <c r="J164" s="157"/>
      <c r="K164" s="157"/>
      <c r="L164" s="157"/>
      <c r="M164" s="157"/>
      <c r="N164" s="236"/>
      <c r="O164" s="236"/>
      <c r="P164" s="236"/>
      <c r="Q164" s="236"/>
      <c r="R164" s="236"/>
      <c r="S164" s="236"/>
      <c r="T164" s="236"/>
    </row>
    <row r="165" spans="1:20" ht="15" customHeight="1" x14ac:dyDescent="0.2">
      <c r="A165" s="229"/>
      <c r="B165" s="235"/>
      <c r="C165" s="157" t="s">
        <v>3071</v>
      </c>
      <c r="D165" s="235" t="s">
        <v>225</v>
      </c>
      <c r="E165" s="235">
        <v>1</v>
      </c>
      <c r="F165" s="235" t="str">
        <f>IF(AND(ISNA(VLOOKUP(D165,A:A,1,FALSE())),ISNA(VLOOKUP(D165,BaseType!A:A,1,FALSE())),D165&lt;&gt;"Struct"),"N","Y")</f>
        <v>Y</v>
      </c>
      <c r="G165" s="183"/>
      <c r="H165" s="157"/>
      <c r="I165" s="157"/>
      <c r="J165" s="157"/>
      <c r="K165" s="157"/>
      <c r="L165" s="157"/>
      <c r="M165" s="157"/>
      <c r="N165" s="236"/>
      <c r="O165" s="236"/>
      <c r="P165" s="236"/>
      <c r="Q165" s="236"/>
      <c r="R165" s="236"/>
      <c r="S165" s="236"/>
      <c r="T165" s="236"/>
    </row>
    <row r="166" spans="1:20" ht="15" customHeight="1" x14ac:dyDescent="0.2">
      <c r="A166" s="229"/>
      <c r="B166" s="235"/>
      <c r="C166" s="157" t="s">
        <v>3072</v>
      </c>
      <c r="D166" s="235" t="s">
        <v>225</v>
      </c>
      <c r="E166" s="235">
        <v>1</v>
      </c>
      <c r="F166" s="235" t="str">
        <f>IF(AND(ISNA(VLOOKUP(D166,A:A,1,FALSE())),ISNA(VLOOKUP(D166,BaseType!A:A,1,FALSE())),D166&lt;&gt;"Struct"),"N","Y")</f>
        <v>Y</v>
      </c>
      <c r="G166" s="183"/>
      <c r="H166" s="157"/>
      <c r="I166" s="157"/>
      <c r="J166" s="157"/>
      <c r="K166" s="157"/>
      <c r="L166" s="157"/>
      <c r="M166" s="157"/>
      <c r="N166" s="236"/>
      <c r="O166" s="236"/>
      <c r="P166" s="236"/>
      <c r="Q166" s="236"/>
      <c r="R166" s="236"/>
      <c r="S166" s="236"/>
      <c r="T166" s="236"/>
    </row>
    <row r="167" spans="1:20" ht="15" customHeight="1" x14ac:dyDescent="0.2">
      <c r="A167" s="229"/>
      <c r="B167" s="235"/>
      <c r="C167" s="157" t="s">
        <v>3073</v>
      </c>
      <c r="D167" s="235" t="s">
        <v>225</v>
      </c>
      <c r="E167" s="235">
        <v>1</v>
      </c>
      <c r="F167" s="235" t="str">
        <f>IF(AND(ISNA(VLOOKUP(D167,A:A,1,FALSE())),ISNA(VLOOKUP(D167,BaseType!A:A,1,FALSE())),D167&lt;&gt;"Struct"),"N","Y")</f>
        <v>Y</v>
      </c>
      <c r="G167" s="183"/>
      <c r="H167" s="157"/>
      <c r="I167" s="157"/>
      <c r="J167" s="157"/>
      <c r="K167" s="157"/>
      <c r="L167" s="157"/>
      <c r="M167" s="157"/>
      <c r="N167" s="236"/>
      <c r="O167" s="236"/>
      <c r="P167" s="236"/>
      <c r="Q167" s="236"/>
      <c r="R167" s="236"/>
      <c r="S167" s="236"/>
      <c r="T167" s="236"/>
    </row>
    <row r="168" spans="1:20" ht="15" customHeight="1" x14ac:dyDescent="0.2">
      <c r="A168" s="229"/>
      <c r="B168" s="235"/>
      <c r="C168" s="157" t="s">
        <v>3074</v>
      </c>
      <c r="D168" s="235" t="s">
        <v>225</v>
      </c>
      <c r="E168" s="235">
        <v>1</v>
      </c>
      <c r="F168" s="235" t="str">
        <f>IF(AND(ISNA(VLOOKUP(D168,A:A,1,FALSE())),ISNA(VLOOKUP(D168,BaseType!A:A,1,FALSE())),D168&lt;&gt;"Struct"),"N","Y")</f>
        <v>Y</v>
      </c>
      <c r="G168" s="183"/>
      <c r="H168" s="157"/>
      <c r="I168" s="157"/>
      <c r="J168" s="157"/>
      <c r="K168" s="157"/>
      <c r="L168" s="157"/>
      <c r="M168" s="157"/>
      <c r="N168" s="236"/>
      <c r="O168" s="236"/>
      <c r="P168" s="236"/>
      <c r="Q168" s="236"/>
      <c r="R168" s="236"/>
      <c r="S168" s="236"/>
      <c r="T168" s="236"/>
    </row>
    <row r="169" spans="1:20" ht="15" customHeight="1" x14ac:dyDescent="0.2">
      <c r="A169" s="229"/>
      <c r="B169" s="235"/>
      <c r="C169" s="157" t="s">
        <v>3075</v>
      </c>
      <c r="D169" s="235" t="s">
        <v>225</v>
      </c>
      <c r="E169" s="235">
        <v>1</v>
      </c>
      <c r="F169" s="235" t="str">
        <f>IF(AND(ISNA(VLOOKUP(D169,A:A,1,FALSE())),ISNA(VLOOKUP(D169,BaseType!A:A,1,FALSE())),D169&lt;&gt;"Struct"),"N","Y")</f>
        <v>Y</v>
      </c>
      <c r="G169" s="183"/>
      <c r="H169" s="157"/>
      <c r="I169" s="157"/>
      <c r="J169" s="157"/>
      <c r="K169" s="157"/>
      <c r="L169" s="157"/>
      <c r="M169" s="157"/>
      <c r="N169" s="236"/>
      <c r="O169" s="236"/>
      <c r="P169" s="236"/>
      <c r="Q169" s="236"/>
      <c r="R169" s="236"/>
      <c r="S169" s="236"/>
      <c r="T169" s="236"/>
    </row>
    <row r="170" spans="1:20" ht="15" customHeight="1" x14ac:dyDescent="0.2">
      <c r="A170" s="229"/>
      <c r="B170" s="235"/>
      <c r="C170" s="157" t="s">
        <v>3076</v>
      </c>
      <c r="D170" s="235" t="s">
        <v>225</v>
      </c>
      <c r="E170" s="235">
        <v>1</v>
      </c>
      <c r="F170" s="235" t="str">
        <f>IF(AND(ISNA(VLOOKUP(D170,A:A,1,FALSE())),ISNA(VLOOKUP(D170,BaseType!A:A,1,FALSE())),D170&lt;&gt;"Struct"),"N","Y")</f>
        <v>Y</v>
      </c>
      <c r="G170" s="183"/>
      <c r="H170" s="157"/>
      <c r="I170" s="157"/>
      <c r="J170" s="157"/>
      <c r="K170" s="157"/>
      <c r="L170" s="157"/>
      <c r="M170" s="157"/>
      <c r="N170" s="236"/>
      <c r="O170" s="236"/>
      <c r="P170" s="236"/>
      <c r="Q170" s="236"/>
      <c r="R170" s="236"/>
      <c r="S170" s="236"/>
      <c r="T170" s="236"/>
    </row>
    <row r="171" spans="1:20" ht="15" customHeight="1" x14ac:dyDescent="0.2">
      <c r="A171" s="229" t="s">
        <v>3077</v>
      </c>
      <c r="B171" s="235" t="str">
        <f>IF(ISBLANK(A171),"",IF(AND(ISNA(VLOOKUP(A171,Interface_T1GC!E:E,1,FALSE())),ISNA(VLOOKUP(A171,D:D,1,FALSE()))),"N","Y"))</f>
        <v>Y</v>
      </c>
      <c r="C171" s="157"/>
      <c r="D171" s="235" t="s">
        <v>484</v>
      </c>
      <c r="E171" s="235"/>
      <c r="F171" s="235" t="str">
        <f>IF(AND(ISNA(VLOOKUP(D171,A:A,1,FALSE())),ISNA(VLOOKUP(D171,BaseType!A:A,1,FALSE())),D171&lt;&gt;"Struct"),"N","Y")</f>
        <v>Y</v>
      </c>
      <c r="G171" s="183"/>
      <c r="H171" s="157"/>
      <c r="I171" s="157"/>
      <c r="J171" s="157"/>
      <c r="K171" s="157"/>
      <c r="L171" s="157"/>
      <c r="M171" s="157"/>
      <c r="N171" s="236"/>
      <c r="O171" s="236"/>
      <c r="P171" s="236"/>
      <c r="Q171" s="236"/>
      <c r="R171" s="236"/>
      <c r="S171" s="236"/>
      <c r="T171" s="236"/>
    </row>
    <row r="172" spans="1:20" ht="15" customHeight="1" x14ac:dyDescent="0.2">
      <c r="A172" s="229"/>
      <c r="B172" s="235"/>
      <c r="C172" s="157" t="s">
        <v>3078</v>
      </c>
      <c r="D172" s="235" t="s">
        <v>293</v>
      </c>
      <c r="E172" s="235">
        <v>1</v>
      </c>
      <c r="F172" s="235" t="str">
        <f>IF(AND(ISNA(VLOOKUP(D172,A:A,1,FALSE())),ISNA(VLOOKUP(D172,BaseType!A:A,1,FALSE())),D172&lt;&gt;"Struct"),"N","Y")</f>
        <v>Y</v>
      </c>
      <c r="G172" s="183"/>
      <c r="H172" s="157"/>
      <c r="I172" s="157"/>
      <c r="J172" s="157"/>
      <c r="K172" s="157"/>
      <c r="L172" s="157"/>
      <c r="M172" s="157"/>
      <c r="N172" s="236"/>
      <c r="O172" s="236"/>
      <c r="P172" s="236"/>
      <c r="Q172" s="236"/>
      <c r="R172" s="236"/>
      <c r="S172" s="236"/>
      <c r="T172" s="236"/>
    </row>
    <row r="173" spans="1:20" ht="15" customHeight="1" x14ac:dyDescent="0.2">
      <c r="A173" s="229"/>
      <c r="B173" s="235"/>
      <c r="C173" s="157" t="s">
        <v>3079</v>
      </c>
      <c r="D173" s="235" t="s">
        <v>1249</v>
      </c>
      <c r="E173" s="235">
        <v>1</v>
      </c>
      <c r="F173" s="235" t="str">
        <f>IF(AND(ISNA(VLOOKUP(D173,A:A,1,FALSE())),ISNA(VLOOKUP(D173,BaseType!A:A,1,FALSE())),D173&lt;&gt;"Struct"),"N","Y")</f>
        <v>Y</v>
      </c>
      <c r="G173" s="183"/>
      <c r="H173" s="157"/>
      <c r="I173" s="157"/>
      <c r="J173" s="157"/>
      <c r="K173" s="157"/>
      <c r="L173" s="157"/>
      <c r="M173" s="157"/>
      <c r="N173" s="236"/>
      <c r="O173" s="236"/>
      <c r="P173" s="236"/>
      <c r="Q173" s="236"/>
      <c r="R173" s="236"/>
      <c r="S173" s="236"/>
      <c r="T173" s="236"/>
    </row>
    <row r="174" spans="1:20" ht="15" customHeight="1" x14ac:dyDescent="0.2">
      <c r="A174" s="229" t="s">
        <v>2864</v>
      </c>
      <c r="B174" s="235" t="str">
        <f>IF(ISBLANK(A174),"",IF(AND(ISNA(VLOOKUP(A174,Interface_T1GC!E:E,1,FALSE())),ISNA(VLOOKUP(A174,D:D,1,FALSE()))),"N","Y"))</f>
        <v>Y</v>
      </c>
      <c r="C174" s="157"/>
      <c r="D174" s="235" t="s">
        <v>484</v>
      </c>
      <c r="E174" s="235"/>
      <c r="F174" s="235" t="str">
        <f>IF(AND(ISNA(VLOOKUP(D174,A:A,1,FALSE())),ISNA(VLOOKUP(D174,BaseType!A:A,1,FALSE())),D174&lt;&gt;"Struct"),"N","Y")</f>
        <v>Y</v>
      </c>
      <c r="G174" s="183"/>
      <c r="H174" s="157"/>
      <c r="I174" s="157"/>
      <c r="J174" s="157"/>
      <c r="K174" s="157"/>
      <c r="L174" s="157"/>
      <c r="M174" s="157"/>
      <c r="N174" s="236"/>
      <c r="O174" s="236"/>
      <c r="P174" s="236"/>
      <c r="Q174" s="236"/>
      <c r="R174" s="236"/>
      <c r="S174" s="236"/>
      <c r="T174" s="236"/>
    </row>
    <row r="175" spans="1:20" ht="15" customHeight="1" x14ac:dyDescent="0.2">
      <c r="A175" s="229"/>
      <c r="B175" s="235"/>
      <c r="C175" s="157" t="s">
        <v>1342</v>
      </c>
      <c r="D175" s="235" t="s">
        <v>631</v>
      </c>
      <c r="E175" s="235">
        <v>1</v>
      </c>
      <c r="F175" s="235" t="str">
        <f>IF(AND(ISNA(VLOOKUP(D175,A:A,1,FALSE())),ISNA(VLOOKUP(D175,BaseType!A:A,1,FALSE())),D175&lt;&gt;"Struct"),"N","Y")</f>
        <v>Y</v>
      </c>
      <c r="G175" s="183"/>
      <c r="H175" s="157"/>
      <c r="I175" s="157"/>
      <c r="J175" s="157"/>
      <c r="K175" s="157"/>
      <c r="L175" s="157"/>
      <c r="M175" s="157"/>
      <c r="N175" s="236"/>
      <c r="O175" s="236"/>
      <c r="P175" s="236"/>
      <c r="Q175" s="236"/>
      <c r="R175" s="236"/>
      <c r="S175" s="236"/>
      <c r="T175" s="236"/>
    </row>
    <row r="176" spans="1:20" ht="15" customHeight="1" x14ac:dyDescent="0.2">
      <c r="A176" s="229"/>
      <c r="B176" s="235"/>
      <c r="C176" s="157" t="s">
        <v>3080</v>
      </c>
      <c r="D176" s="235" t="s">
        <v>1249</v>
      </c>
      <c r="E176" s="235">
        <v>1</v>
      </c>
      <c r="F176" s="235" t="str">
        <f>IF(AND(ISNA(VLOOKUP(D176,A:A,1,FALSE())),ISNA(VLOOKUP(D176,BaseType!A:A,1,FALSE())),D176&lt;&gt;"Struct"),"N","Y")</f>
        <v>Y</v>
      </c>
      <c r="G176" s="183"/>
      <c r="H176" s="157"/>
      <c r="I176" s="157"/>
      <c r="J176" s="157"/>
      <c r="K176" s="157"/>
      <c r="L176" s="157"/>
      <c r="M176" s="157"/>
      <c r="N176" s="236"/>
      <c r="O176" s="236"/>
      <c r="P176" s="236"/>
      <c r="Q176" s="236"/>
      <c r="R176" s="236"/>
      <c r="S176" s="236"/>
      <c r="T176" s="236"/>
    </row>
    <row r="177" spans="1:20" ht="15" customHeight="1" x14ac:dyDescent="0.2">
      <c r="A177" s="229"/>
      <c r="B177" s="235"/>
      <c r="C177" s="157" t="s">
        <v>3081</v>
      </c>
      <c r="D177" s="235" t="s">
        <v>298</v>
      </c>
      <c r="E177" s="235">
        <v>1</v>
      </c>
      <c r="F177" s="235" t="str">
        <f>IF(AND(ISNA(VLOOKUP(D177,A:A,1,FALSE())),ISNA(VLOOKUP(D177,BaseType!A:A,1,FALSE())),D177&lt;&gt;"Struct"),"N","Y")</f>
        <v>Y</v>
      </c>
      <c r="G177" s="183"/>
      <c r="H177" s="157"/>
      <c r="I177" s="157"/>
      <c r="J177" s="157"/>
      <c r="K177" s="157"/>
      <c r="L177" s="157"/>
      <c r="M177" s="157"/>
      <c r="N177" s="236"/>
      <c r="O177" s="236"/>
      <c r="P177" s="236"/>
      <c r="Q177" s="236"/>
      <c r="R177" s="236"/>
      <c r="S177" s="236"/>
      <c r="T177" s="236"/>
    </row>
    <row r="178" spans="1:20" ht="15" customHeight="1" x14ac:dyDescent="0.2">
      <c r="A178" s="229"/>
      <c r="B178" s="235"/>
      <c r="C178" s="157" t="s">
        <v>3082</v>
      </c>
      <c r="D178" s="235" t="s">
        <v>298</v>
      </c>
      <c r="E178" s="235">
        <v>1</v>
      </c>
      <c r="F178" s="235" t="str">
        <f>IF(AND(ISNA(VLOOKUP(D178,A:A,1,FALSE())),ISNA(VLOOKUP(D178,BaseType!A:A,1,FALSE())),D178&lt;&gt;"Struct"),"N","Y")</f>
        <v>Y</v>
      </c>
      <c r="G178" s="183"/>
      <c r="H178" s="157"/>
      <c r="I178" s="157"/>
      <c r="J178" s="157"/>
      <c r="K178" s="157"/>
      <c r="L178" s="157"/>
      <c r="M178" s="157"/>
      <c r="N178" s="236"/>
      <c r="O178" s="236"/>
      <c r="P178" s="236"/>
      <c r="Q178" s="236"/>
      <c r="R178" s="236"/>
      <c r="S178" s="236"/>
      <c r="T178" s="236"/>
    </row>
    <row r="179" spans="1:20" ht="15" customHeight="1" x14ac:dyDescent="0.2">
      <c r="A179" s="229"/>
      <c r="B179" s="235"/>
      <c r="C179" s="157" t="s">
        <v>3083</v>
      </c>
      <c r="D179" s="235" t="s">
        <v>631</v>
      </c>
      <c r="E179" s="235">
        <v>1</v>
      </c>
      <c r="F179" s="235" t="str">
        <f>IF(AND(ISNA(VLOOKUP(D179,A:A,1,FALSE())),ISNA(VLOOKUP(D179,BaseType!A:A,1,FALSE())),D179&lt;&gt;"Struct"),"N","Y")</f>
        <v>Y</v>
      </c>
      <c r="G179" s="183"/>
      <c r="H179" s="157"/>
      <c r="I179" s="157"/>
      <c r="J179" s="157"/>
      <c r="K179" s="157"/>
      <c r="L179" s="157"/>
      <c r="M179" s="157"/>
      <c r="N179" s="236"/>
      <c r="O179" s="236"/>
      <c r="P179" s="236"/>
      <c r="Q179" s="236"/>
      <c r="R179" s="236"/>
      <c r="S179" s="236"/>
      <c r="T179" s="236"/>
    </row>
    <row r="180" spans="1:20" ht="15" customHeight="1" x14ac:dyDescent="0.2">
      <c r="A180" s="229"/>
      <c r="B180" s="235"/>
      <c r="C180" s="157" t="s">
        <v>3048</v>
      </c>
      <c r="D180" s="235" t="s">
        <v>631</v>
      </c>
      <c r="E180" s="235">
        <v>1</v>
      </c>
      <c r="F180" s="235" t="str">
        <f>IF(AND(ISNA(VLOOKUP(D180,A:A,1,FALSE())),ISNA(VLOOKUP(D180,BaseType!A:A,1,FALSE())),D180&lt;&gt;"Struct"),"N","Y")</f>
        <v>Y</v>
      </c>
      <c r="G180" s="183"/>
      <c r="H180" s="157"/>
      <c r="I180" s="157"/>
      <c r="J180" s="157"/>
      <c r="K180" s="157"/>
      <c r="L180" s="157"/>
      <c r="M180" s="157"/>
      <c r="N180" s="236"/>
      <c r="O180" s="236"/>
      <c r="P180" s="236"/>
      <c r="Q180" s="236"/>
      <c r="R180" s="236"/>
      <c r="S180" s="236"/>
      <c r="T180" s="236"/>
    </row>
    <row r="181" spans="1:20" ht="15" customHeight="1" x14ac:dyDescent="0.2">
      <c r="A181" s="229"/>
      <c r="B181" s="235"/>
      <c r="C181" s="240" t="s">
        <v>3084</v>
      </c>
      <c r="D181" s="229" t="s">
        <v>193</v>
      </c>
      <c r="E181" s="235">
        <v>1</v>
      </c>
      <c r="F181" s="235" t="str">
        <f>IF(AND(ISNA(VLOOKUP(D181,A:A,1,FALSE())),ISNA(VLOOKUP(D181,BaseType!A:A,1,FALSE())),D181&lt;&gt;"Struct"),"N","Y")</f>
        <v>Y</v>
      </c>
      <c r="G181" s="239" t="s">
        <v>3085</v>
      </c>
      <c r="H181" s="157"/>
      <c r="I181" s="157"/>
      <c r="J181" s="157"/>
      <c r="K181" s="157"/>
      <c r="L181" s="157"/>
      <c r="M181" s="157"/>
      <c r="N181" s="236"/>
      <c r="O181" s="236"/>
      <c r="P181" s="236"/>
      <c r="Q181" s="236"/>
      <c r="R181" s="236"/>
      <c r="S181" s="236"/>
      <c r="T181" s="236"/>
    </row>
    <row r="182" spans="1:20" ht="15" customHeight="1" x14ac:dyDescent="0.2">
      <c r="A182" s="229"/>
      <c r="B182" s="235"/>
      <c r="C182" s="240" t="s">
        <v>3086</v>
      </c>
      <c r="D182" s="229" t="s">
        <v>193</v>
      </c>
      <c r="E182" s="235">
        <v>1</v>
      </c>
      <c r="F182" s="235" t="str">
        <f>IF(AND(ISNA(VLOOKUP(D182,A:A,1,FALSE())),ISNA(VLOOKUP(D182,BaseType!A:A,1,FALSE())),D182&lt;&gt;"Struct"),"N","Y")</f>
        <v>Y</v>
      </c>
      <c r="G182" s="239" t="s">
        <v>3087</v>
      </c>
      <c r="H182" s="157"/>
      <c r="I182" s="157"/>
      <c r="J182" s="157"/>
      <c r="K182" s="157"/>
      <c r="L182" s="157"/>
      <c r="M182" s="157"/>
      <c r="N182" s="236"/>
      <c r="O182" s="236"/>
      <c r="P182" s="236"/>
      <c r="Q182" s="236"/>
      <c r="R182" s="236"/>
      <c r="S182" s="236"/>
      <c r="T182" s="236"/>
    </row>
    <row r="183" spans="1:20" ht="15" customHeight="1" x14ac:dyDescent="0.2">
      <c r="A183" s="229"/>
      <c r="B183" s="235"/>
      <c r="C183" s="240" t="s">
        <v>3088</v>
      </c>
      <c r="D183" s="229" t="s">
        <v>193</v>
      </c>
      <c r="E183" s="235">
        <v>1</v>
      </c>
      <c r="F183" s="235" t="str">
        <f>IF(AND(ISNA(VLOOKUP(D183,A:A,1,FALSE())),ISNA(VLOOKUP(D183,BaseType!A:A,1,FALSE())),D183&lt;&gt;"Struct"),"N","Y")</f>
        <v>Y</v>
      </c>
      <c r="G183" s="239" t="s">
        <v>3089</v>
      </c>
      <c r="H183" s="157"/>
      <c r="I183" s="157"/>
      <c r="J183" s="157"/>
      <c r="K183" s="157"/>
      <c r="L183" s="157"/>
      <c r="M183" s="157"/>
      <c r="N183" s="236"/>
      <c r="O183" s="236"/>
      <c r="P183" s="236"/>
      <c r="Q183" s="236"/>
      <c r="R183" s="236"/>
      <c r="S183" s="236"/>
      <c r="T183" s="236"/>
    </row>
    <row r="184" spans="1:20" ht="15" customHeight="1" x14ac:dyDescent="0.2">
      <c r="A184" s="229"/>
      <c r="B184" s="235"/>
      <c r="C184" s="240" t="s">
        <v>3090</v>
      </c>
      <c r="D184" s="229" t="s">
        <v>193</v>
      </c>
      <c r="E184" s="235">
        <v>1</v>
      </c>
      <c r="F184" s="235" t="str">
        <f>IF(AND(ISNA(VLOOKUP(D184,A:A,1,FALSE())),ISNA(VLOOKUP(D184,BaseType!A:A,1,FALSE())),D184&lt;&gt;"Struct"),"N","Y")</f>
        <v>Y</v>
      </c>
      <c r="G184" s="239" t="s">
        <v>3091</v>
      </c>
      <c r="H184" s="157"/>
      <c r="I184" s="157"/>
      <c r="J184" s="157"/>
      <c r="K184" s="157"/>
      <c r="L184" s="157"/>
      <c r="M184" s="157"/>
      <c r="N184" s="236"/>
      <c r="O184" s="236"/>
      <c r="P184" s="236"/>
      <c r="Q184" s="236"/>
      <c r="R184" s="236"/>
      <c r="S184" s="236"/>
      <c r="T184" s="236"/>
    </row>
    <row r="185" spans="1:20" ht="15" customHeight="1" x14ac:dyDescent="0.2">
      <c r="A185" s="229"/>
      <c r="B185" s="235"/>
      <c r="C185" s="240" t="s">
        <v>3092</v>
      </c>
      <c r="D185" s="235" t="s">
        <v>225</v>
      </c>
      <c r="E185" s="235">
        <v>1</v>
      </c>
      <c r="F185" s="235" t="str">
        <f>IF(AND(ISNA(VLOOKUP(D185,A:A,1,FALSE())),ISNA(VLOOKUP(D185,BaseType!A:A,1,FALSE())),D185&lt;&gt;"Struct"),"N","Y")</f>
        <v>Y</v>
      </c>
      <c r="G185" s="239" t="s">
        <v>3093</v>
      </c>
      <c r="H185" s="157"/>
      <c r="I185" s="157"/>
      <c r="J185" s="157"/>
      <c r="K185" s="157"/>
      <c r="L185" s="157"/>
      <c r="M185" s="157"/>
      <c r="N185" s="236"/>
      <c r="O185" s="236"/>
      <c r="P185" s="236"/>
      <c r="Q185" s="236"/>
      <c r="R185" s="236"/>
      <c r="S185" s="236"/>
      <c r="T185" s="236"/>
    </row>
    <row r="186" spans="1:20" ht="15" customHeight="1" x14ac:dyDescent="0.2">
      <c r="A186" s="229"/>
      <c r="B186" s="235"/>
      <c r="C186" s="157" t="s">
        <v>3094</v>
      </c>
      <c r="D186" s="229" t="s">
        <v>3077</v>
      </c>
      <c r="E186" s="235">
        <v>1</v>
      </c>
      <c r="F186" s="235" t="str">
        <f>IF(AND(ISNA(VLOOKUP(D186,A:A,1,FALSE())),ISNA(VLOOKUP(D186,BaseType!A:A,1,FALSE())),D186&lt;&gt;"Struct"),"N","Y")</f>
        <v>Y</v>
      </c>
      <c r="G186" s="183"/>
      <c r="H186" s="157"/>
      <c r="I186" s="157"/>
      <c r="J186" s="157"/>
      <c r="K186" s="157"/>
      <c r="L186" s="157"/>
      <c r="M186" s="157"/>
      <c r="N186" s="236"/>
      <c r="O186" s="236"/>
      <c r="P186" s="236"/>
      <c r="Q186" s="236"/>
      <c r="R186" s="236"/>
      <c r="S186" s="236"/>
      <c r="T186" s="236"/>
    </row>
    <row r="187" spans="1:20" ht="15" customHeight="1" x14ac:dyDescent="0.2">
      <c r="A187" s="229"/>
      <c r="B187" s="235"/>
      <c r="C187" s="157" t="s">
        <v>3095</v>
      </c>
      <c r="D187" s="229" t="s">
        <v>3052</v>
      </c>
      <c r="E187" s="248">
        <v>32</v>
      </c>
      <c r="F187" s="235" t="str">
        <f>IF(AND(ISNA(VLOOKUP(D187,A:A,1,FALSE())),ISNA(VLOOKUP(D187,BaseType!A:A,1,FALSE())),D187&lt;&gt;"Struct"),"N","Y")</f>
        <v>Y</v>
      </c>
      <c r="G187" s="183"/>
      <c r="H187" s="157"/>
      <c r="I187" s="157"/>
      <c r="J187" s="157"/>
      <c r="K187" s="157"/>
      <c r="L187" s="157"/>
      <c r="M187" s="157"/>
      <c r="N187" s="236"/>
      <c r="O187" s="236"/>
      <c r="P187" s="236"/>
      <c r="Q187" s="236"/>
      <c r="R187" s="236"/>
      <c r="S187" s="236"/>
      <c r="T187" s="236"/>
    </row>
    <row r="188" spans="1:20" ht="15" customHeight="1" x14ac:dyDescent="0.2">
      <c r="A188" s="229"/>
      <c r="B188" s="235"/>
      <c r="C188" s="157" t="s">
        <v>3096</v>
      </c>
      <c r="D188" s="229" t="s">
        <v>3070</v>
      </c>
      <c r="E188" s="235">
        <v>100</v>
      </c>
      <c r="F188" s="235" t="str">
        <f>IF(AND(ISNA(VLOOKUP(D188,A:A,1,FALSE())),ISNA(VLOOKUP(D188,BaseType!A:A,1,FALSE())),D188&lt;&gt;"Struct"),"N","Y")</f>
        <v>Y</v>
      </c>
      <c r="G188" s="183"/>
      <c r="H188" s="157"/>
      <c r="I188" s="157"/>
      <c r="J188" s="157"/>
      <c r="K188" s="157"/>
      <c r="L188" s="157"/>
      <c r="M188" s="157"/>
      <c r="N188" s="236"/>
      <c r="O188" s="236"/>
      <c r="P188" s="236"/>
      <c r="Q188" s="236"/>
      <c r="R188" s="236"/>
      <c r="S188" s="236"/>
      <c r="T188" s="236"/>
    </row>
    <row r="189" spans="1:20" ht="15" customHeight="1" x14ac:dyDescent="0.2">
      <c r="A189" s="229" t="s">
        <v>2848</v>
      </c>
      <c r="B189" s="235" t="str">
        <f>IF(ISBLANK(A189),"",IF(AND(ISNA(VLOOKUP(A189,Interface_T1GC!E:E,1,FALSE())),ISNA(VLOOKUP(A189,D:D,1,FALSE()))),"N","Y"))</f>
        <v>Y</v>
      </c>
      <c r="C189" s="157"/>
      <c r="D189" s="235" t="s">
        <v>484</v>
      </c>
      <c r="E189" s="235"/>
      <c r="F189" s="235" t="str">
        <f>IF(AND(ISNA(VLOOKUP(D189,A:A,1,FALSE())),ISNA(VLOOKUP(D189,BaseType!A:A,1,FALSE())),D189&lt;&gt;"Struct"),"N","Y")</f>
        <v>Y</v>
      </c>
      <c r="G189" s="183"/>
      <c r="H189" s="157"/>
      <c r="I189" s="157"/>
      <c r="J189" s="157"/>
      <c r="K189" s="157"/>
      <c r="L189" s="157"/>
      <c r="M189" s="157"/>
      <c r="N189" s="236"/>
      <c r="O189" s="236"/>
      <c r="P189" s="236"/>
      <c r="Q189" s="236"/>
      <c r="R189" s="236"/>
      <c r="S189" s="236"/>
      <c r="T189" s="236"/>
    </row>
    <row r="190" spans="1:20" ht="15" customHeight="1" x14ac:dyDescent="0.2">
      <c r="A190" s="229"/>
      <c r="B190" s="235"/>
      <c r="C190" s="157" t="s">
        <v>3097</v>
      </c>
      <c r="D190" s="235" t="s">
        <v>193</v>
      </c>
      <c r="E190" s="235">
        <v>1</v>
      </c>
      <c r="F190" s="235" t="str">
        <f>IF(AND(ISNA(VLOOKUP(D190,A:A,1,FALSE())),ISNA(VLOOKUP(D190,BaseType!A:A,1,FALSE())),D190&lt;&gt;"Struct"),"N","Y")</f>
        <v>Y</v>
      </c>
      <c r="G190" s="183"/>
      <c r="H190" s="157"/>
      <c r="I190" s="157"/>
      <c r="J190" s="157"/>
      <c r="K190" s="157"/>
      <c r="L190" s="157"/>
      <c r="M190" s="157"/>
      <c r="N190" s="236"/>
      <c r="O190" s="236"/>
      <c r="P190" s="236"/>
      <c r="Q190" s="236"/>
      <c r="R190" s="236"/>
      <c r="S190" s="236"/>
      <c r="T190" s="236"/>
    </row>
    <row r="191" spans="1:20" ht="15" customHeight="1" x14ac:dyDescent="0.2">
      <c r="A191" s="229"/>
      <c r="B191" s="235"/>
      <c r="C191" s="157" t="s">
        <v>3098</v>
      </c>
      <c r="D191" s="235" t="s">
        <v>193</v>
      </c>
      <c r="E191" s="235">
        <v>1</v>
      </c>
      <c r="F191" s="235" t="str">
        <f>IF(AND(ISNA(VLOOKUP(D191,A:A,1,FALSE())),ISNA(VLOOKUP(D191,BaseType!A:A,1,FALSE())),D191&lt;&gt;"Struct"),"N","Y")</f>
        <v>Y</v>
      </c>
      <c r="G191" s="183"/>
      <c r="H191" s="157"/>
      <c r="I191" s="157"/>
      <c r="J191" s="157"/>
      <c r="K191" s="157"/>
      <c r="L191" s="157"/>
      <c r="M191" s="157"/>
      <c r="N191" s="236"/>
      <c r="O191" s="236"/>
      <c r="P191" s="236"/>
      <c r="Q191" s="236"/>
      <c r="R191" s="236"/>
      <c r="S191" s="236"/>
      <c r="T191" s="236"/>
    </row>
    <row r="192" spans="1:20" ht="15" customHeight="1" x14ac:dyDescent="0.2">
      <c r="A192" s="229"/>
      <c r="B192" s="235"/>
      <c r="C192" s="157" t="s">
        <v>3099</v>
      </c>
      <c r="D192" s="235" t="s">
        <v>193</v>
      </c>
      <c r="E192" s="235">
        <v>1</v>
      </c>
      <c r="F192" s="235" t="str">
        <f>IF(AND(ISNA(VLOOKUP(D192,A:A,1,FALSE())),ISNA(VLOOKUP(D192,BaseType!A:A,1,FALSE())),D192&lt;&gt;"Struct"),"N","Y")</f>
        <v>Y</v>
      </c>
      <c r="G192" s="183"/>
      <c r="H192" s="157"/>
      <c r="I192" s="157"/>
      <c r="J192" s="157"/>
      <c r="K192" s="157"/>
      <c r="L192" s="157"/>
      <c r="M192" s="157"/>
      <c r="N192" s="236"/>
      <c r="O192" s="236"/>
      <c r="P192" s="236"/>
      <c r="Q192" s="236"/>
      <c r="R192" s="236"/>
      <c r="S192" s="236"/>
      <c r="T192" s="236"/>
    </row>
    <row r="193" spans="1:20" ht="15" customHeight="1" x14ac:dyDescent="0.2">
      <c r="A193" s="229"/>
      <c r="B193" s="235"/>
      <c r="C193" s="157" t="s">
        <v>3100</v>
      </c>
      <c r="D193" s="235" t="s">
        <v>193</v>
      </c>
      <c r="E193" s="235">
        <v>1</v>
      </c>
      <c r="F193" s="235" t="str">
        <f>IF(AND(ISNA(VLOOKUP(D193,A:A,1,FALSE())),ISNA(VLOOKUP(D193,BaseType!A:A,1,FALSE())),D193&lt;&gt;"Struct"),"N","Y")</f>
        <v>Y</v>
      </c>
      <c r="G193" s="183"/>
      <c r="H193" s="157"/>
      <c r="I193" s="157"/>
      <c r="J193" s="157"/>
      <c r="K193" s="157"/>
      <c r="L193" s="157"/>
      <c r="M193" s="157"/>
      <c r="N193" s="236"/>
      <c r="O193" s="236"/>
      <c r="P193" s="236"/>
      <c r="Q193" s="236"/>
      <c r="R193" s="236"/>
      <c r="S193" s="236"/>
      <c r="T193" s="236"/>
    </row>
    <row r="194" spans="1:20" ht="15" customHeight="1" x14ac:dyDescent="0.2">
      <c r="A194" s="229"/>
      <c r="B194" s="235"/>
      <c r="C194" s="157" t="s">
        <v>3101</v>
      </c>
      <c r="D194" s="235" t="s">
        <v>193</v>
      </c>
      <c r="E194" s="235">
        <v>1</v>
      </c>
      <c r="F194" s="235" t="str">
        <f>IF(AND(ISNA(VLOOKUP(D194,A:A,1,FALSE())),ISNA(VLOOKUP(D194,BaseType!A:A,1,FALSE())),D194&lt;&gt;"Struct"),"N","Y")</f>
        <v>Y</v>
      </c>
      <c r="G194" s="183"/>
      <c r="H194" s="157"/>
      <c r="I194" s="157"/>
      <c r="J194" s="157"/>
      <c r="K194" s="157"/>
      <c r="L194" s="157"/>
      <c r="M194" s="157"/>
      <c r="N194" s="236"/>
      <c r="O194" s="236"/>
      <c r="P194" s="236"/>
      <c r="Q194" s="236"/>
      <c r="R194" s="236"/>
      <c r="S194" s="236"/>
      <c r="T194" s="236"/>
    </row>
    <row r="195" spans="1:20" ht="15" customHeight="1" x14ac:dyDescent="0.2">
      <c r="A195" s="229"/>
      <c r="B195" s="235"/>
      <c r="C195" s="157" t="s">
        <v>3102</v>
      </c>
      <c r="D195" s="235" t="s">
        <v>193</v>
      </c>
      <c r="E195" s="235">
        <v>1</v>
      </c>
      <c r="F195" s="235" t="str">
        <f>IF(AND(ISNA(VLOOKUP(D195,A:A,1,FALSE())),ISNA(VLOOKUP(D195,BaseType!A:A,1,FALSE())),D195&lt;&gt;"Struct"),"N","Y")</f>
        <v>Y</v>
      </c>
      <c r="G195" s="183"/>
      <c r="H195" s="157"/>
      <c r="I195" s="157"/>
      <c r="J195" s="157"/>
      <c r="K195" s="157"/>
      <c r="L195" s="157"/>
      <c r="M195" s="157"/>
      <c r="N195" s="236"/>
      <c r="O195" s="236"/>
      <c r="P195" s="236"/>
      <c r="Q195" s="236"/>
      <c r="R195" s="236"/>
      <c r="S195" s="236"/>
      <c r="T195" s="236"/>
    </row>
    <row r="196" spans="1:20" ht="15" customHeight="1" x14ac:dyDescent="0.2">
      <c r="A196" s="229"/>
      <c r="B196" s="235"/>
      <c r="C196" s="157" t="s">
        <v>3103</v>
      </c>
      <c r="D196" s="235" t="s">
        <v>193</v>
      </c>
      <c r="E196" s="235">
        <v>1</v>
      </c>
      <c r="F196" s="235" t="str">
        <f>IF(AND(ISNA(VLOOKUP(D196,A:A,1,FALSE())),ISNA(VLOOKUP(D196,BaseType!A:A,1,FALSE())),D196&lt;&gt;"Struct"),"N","Y")</f>
        <v>Y</v>
      </c>
      <c r="G196" s="183"/>
      <c r="H196" s="157"/>
      <c r="I196" s="157"/>
      <c r="J196" s="157"/>
      <c r="K196" s="157"/>
      <c r="L196" s="157"/>
      <c r="M196" s="157"/>
      <c r="N196" s="236"/>
      <c r="O196" s="236"/>
      <c r="P196" s="236"/>
      <c r="Q196" s="236"/>
      <c r="R196" s="236"/>
      <c r="S196" s="236"/>
      <c r="T196" s="236"/>
    </row>
    <row r="197" spans="1:20" ht="15" customHeight="1" x14ac:dyDescent="0.2">
      <c r="A197" s="229"/>
      <c r="B197" s="235"/>
      <c r="C197" s="157" t="s">
        <v>3104</v>
      </c>
      <c r="D197" s="235" t="s">
        <v>193</v>
      </c>
      <c r="E197" s="235">
        <v>1</v>
      </c>
      <c r="F197" s="235" t="str">
        <f>IF(AND(ISNA(VLOOKUP(D197,A:A,1,FALSE())),ISNA(VLOOKUP(D197,BaseType!A:A,1,FALSE())),D197&lt;&gt;"Struct"),"N","Y")</f>
        <v>Y</v>
      </c>
      <c r="G197" s="183"/>
      <c r="H197" s="157"/>
      <c r="I197" s="157"/>
      <c r="J197" s="157"/>
      <c r="K197" s="157"/>
      <c r="L197" s="157"/>
      <c r="M197" s="157"/>
      <c r="N197" s="236"/>
      <c r="O197" s="236"/>
      <c r="P197" s="236"/>
      <c r="Q197" s="236"/>
      <c r="R197" s="236"/>
      <c r="S197" s="236"/>
      <c r="T197" s="236"/>
    </row>
    <row r="198" spans="1:20" ht="15" customHeight="1" x14ac:dyDescent="0.2">
      <c r="A198" s="229"/>
      <c r="B198" s="235"/>
      <c r="C198" s="157" t="s">
        <v>3105</v>
      </c>
      <c r="D198" s="235" t="s">
        <v>193</v>
      </c>
      <c r="E198" s="235">
        <v>1</v>
      </c>
      <c r="F198" s="235" t="str">
        <f>IF(AND(ISNA(VLOOKUP(D198,A:A,1,FALSE())),ISNA(VLOOKUP(D198,BaseType!A:A,1,FALSE())),D198&lt;&gt;"Struct"),"N","Y")</f>
        <v>Y</v>
      </c>
      <c r="G198" s="183"/>
      <c r="H198" s="157"/>
      <c r="I198" s="157"/>
      <c r="J198" s="157"/>
      <c r="K198" s="157"/>
      <c r="L198" s="157"/>
      <c r="M198" s="157"/>
      <c r="N198" s="236"/>
      <c r="O198" s="236"/>
      <c r="P198" s="236"/>
      <c r="Q198" s="236"/>
      <c r="R198" s="236"/>
      <c r="S198" s="236"/>
      <c r="T198" s="236"/>
    </row>
    <row r="199" spans="1:20" ht="15" customHeight="1" x14ac:dyDescent="0.2">
      <c r="A199" s="229"/>
      <c r="B199" s="235"/>
      <c r="C199" s="157" t="s">
        <v>3106</v>
      </c>
      <c r="D199" s="235" t="s">
        <v>193</v>
      </c>
      <c r="E199" s="235">
        <v>1</v>
      </c>
      <c r="F199" s="235" t="str">
        <f>IF(AND(ISNA(VLOOKUP(D199,A:A,1,FALSE())),ISNA(VLOOKUP(D199,BaseType!A:A,1,FALSE())),D199&lt;&gt;"Struct"),"N","Y")</f>
        <v>Y</v>
      </c>
      <c r="G199" s="183"/>
      <c r="H199" s="157"/>
      <c r="I199" s="157"/>
      <c r="J199" s="157"/>
      <c r="K199" s="157"/>
      <c r="L199" s="157"/>
      <c r="M199" s="157"/>
      <c r="N199" s="236"/>
      <c r="O199" s="236"/>
      <c r="P199" s="236"/>
      <c r="Q199" s="236"/>
      <c r="R199" s="236"/>
      <c r="S199" s="236"/>
      <c r="T199" s="236"/>
    </row>
    <row r="200" spans="1:20" ht="15" customHeight="1" x14ac:dyDescent="0.2">
      <c r="A200" s="229"/>
      <c r="B200" s="235"/>
      <c r="C200" s="157" t="s">
        <v>3107</v>
      </c>
      <c r="D200" s="235" t="s">
        <v>193</v>
      </c>
      <c r="E200" s="235">
        <v>1</v>
      </c>
      <c r="F200" s="235" t="str">
        <f>IF(AND(ISNA(VLOOKUP(D200,A:A,1,FALSE())),ISNA(VLOOKUP(D200,BaseType!A:A,1,FALSE())),D200&lt;&gt;"Struct"),"N","Y")</f>
        <v>Y</v>
      </c>
      <c r="G200" s="183"/>
      <c r="H200" s="157"/>
      <c r="I200" s="157"/>
      <c r="J200" s="157"/>
      <c r="K200" s="157"/>
      <c r="L200" s="157"/>
      <c r="M200" s="157"/>
      <c r="N200" s="236"/>
      <c r="O200" s="236"/>
      <c r="P200" s="236"/>
      <c r="Q200" s="236"/>
      <c r="R200" s="236"/>
      <c r="S200" s="236"/>
      <c r="T200" s="236"/>
    </row>
    <row r="201" spans="1:20" ht="15" customHeight="1" x14ac:dyDescent="0.2">
      <c r="A201" s="229"/>
      <c r="B201" s="235"/>
      <c r="C201" s="157" t="s">
        <v>3108</v>
      </c>
      <c r="D201" s="235" t="s">
        <v>193</v>
      </c>
      <c r="E201" s="235">
        <v>1</v>
      </c>
      <c r="F201" s="235" t="str">
        <f>IF(AND(ISNA(VLOOKUP(D201,A:A,1,FALSE())),ISNA(VLOOKUP(D201,BaseType!A:A,1,FALSE())),D201&lt;&gt;"Struct"),"N","Y")</f>
        <v>Y</v>
      </c>
      <c r="G201" s="183"/>
      <c r="H201" s="157"/>
      <c r="I201" s="157"/>
      <c r="J201" s="157"/>
      <c r="K201" s="157"/>
      <c r="L201" s="157"/>
      <c r="M201" s="157"/>
      <c r="N201" s="236"/>
      <c r="O201" s="236"/>
      <c r="P201" s="236"/>
      <c r="Q201" s="236"/>
      <c r="R201" s="236"/>
      <c r="S201" s="236"/>
      <c r="T201" s="236"/>
    </row>
    <row r="202" spans="1:20" ht="15" customHeight="1" x14ac:dyDescent="0.2">
      <c r="A202" s="229"/>
      <c r="B202" s="235"/>
      <c r="C202" s="157" t="s">
        <v>3109</v>
      </c>
      <c r="D202" s="235" t="s">
        <v>193</v>
      </c>
      <c r="E202" s="235">
        <v>1</v>
      </c>
      <c r="F202" s="235" t="str">
        <f>IF(AND(ISNA(VLOOKUP(D202,A:A,1,FALSE())),ISNA(VLOOKUP(D202,BaseType!A:A,1,FALSE())),D202&lt;&gt;"Struct"),"N","Y")</f>
        <v>Y</v>
      </c>
      <c r="G202" s="183"/>
      <c r="H202" s="157"/>
      <c r="I202" s="157"/>
      <c r="J202" s="157"/>
      <c r="K202" s="157"/>
      <c r="L202" s="157"/>
      <c r="M202" s="157"/>
      <c r="N202" s="236"/>
      <c r="O202" s="236"/>
      <c r="P202" s="236"/>
      <c r="Q202" s="236"/>
      <c r="R202" s="236"/>
      <c r="S202" s="236"/>
      <c r="T202" s="236"/>
    </row>
    <row r="203" spans="1:20" ht="15" customHeight="1" x14ac:dyDescent="0.2">
      <c r="A203" s="229"/>
      <c r="B203" s="235"/>
      <c r="C203" s="157" t="s">
        <v>3110</v>
      </c>
      <c r="D203" s="235" t="s">
        <v>193</v>
      </c>
      <c r="E203" s="235">
        <v>1</v>
      </c>
      <c r="F203" s="235" t="str">
        <f>IF(AND(ISNA(VLOOKUP(D203,A:A,1,FALSE())),ISNA(VLOOKUP(D203,BaseType!A:A,1,FALSE())),D203&lt;&gt;"Struct"),"N","Y")</f>
        <v>Y</v>
      </c>
      <c r="G203" s="183"/>
      <c r="H203" s="157"/>
      <c r="I203" s="157"/>
      <c r="J203" s="157"/>
      <c r="K203" s="157"/>
      <c r="L203" s="157"/>
      <c r="M203" s="157"/>
      <c r="N203" s="236"/>
      <c r="O203" s="236"/>
      <c r="P203" s="236"/>
      <c r="Q203" s="236"/>
      <c r="R203" s="236"/>
      <c r="S203" s="236"/>
      <c r="T203" s="236"/>
    </row>
    <row r="204" spans="1:20" ht="15" customHeight="1" x14ac:dyDescent="0.2">
      <c r="A204" s="229"/>
      <c r="B204" s="235"/>
      <c r="C204" s="157" t="s">
        <v>3111</v>
      </c>
      <c r="D204" s="235" t="s">
        <v>193</v>
      </c>
      <c r="E204" s="235">
        <v>1</v>
      </c>
      <c r="F204" s="235" t="str">
        <f>IF(AND(ISNA(VLOOKUP(D204,A:A,1,FALSE())),ISNA(VLOOKUP(D204,BaseType!A:A,1,FALSE())),D204&lt;&gt;"Struct"),"N","Y")</f>
        <v>Y</v>
      </c>
      <c r="G204" s="183"/>
      <c r="H204" s="157"/>
      <c r="I204" s="157"/>
      <c r="J204" s="157"/>
      <c r="K204" s="157"/>
      <c r="L204" s="157"/>
      <c r="M204" s="157"/>
      <c r="N204" s="236"/>
      <c r="O204" s="236"/>
      <c r="P204" s="236"/>
      <c r="Q204" s="236"/>
      <c r="R204" s="236"/>
      <c r="S204" s="236"/>
      <c r="T204" s="236"/>
    </row>
    <row r="205" spans="1:20" ht="15" customHeight="1" x14ac:dyDescent="0.2">
      <c r="A205" s="229"/>
      <c r="B205" s="235"/>
      <c r="C205" s="157" t="s">
        <v>3112</v>
      </c>
      <c r="D205" s="235" t="s">
        <v>193</v>
      </c>
      <c r="E205" s="235">
        <v>1</v>
      </c>
      <c r="F205" s="235" t="str">
        <f>IF(AND(ISNA(VLOOKUP(D205,A:A,1,FALSE())),ISNA(VLOOKUP(D205,BaseType!A:A,1,FALSE())),D205&lt;&gt;"Struct"),"N","Y")</f>
        <v>Y</v>
      </c>
      <c r="G205" s="183"/>
      <c r="H205" s="157"/>
      <c r="I205" s="157"/>
      <c r="J205" s="157"/>
      <c r="K205" s="157"/>
      <c r="L205" s="157"/>
      <c r="M205" s="157"/>
      <c r="N205" s="236"/>
      <c r="O205" s="236"/>
      <c r="P205" s="236"/>
      <c r="Q205" s="236"/>
      <c r="R205" s="236"/>
      <c r="S205" s="236"/>
      <c r="T205" s="236"/>
    </row>
    <row r="206" spans="1:20" ht="15" customHeight="1" x14ac:dyDescent="0.2">
      <c r="A206" s="229"/>
      <c r="B206" s="235"/>
      <c r="C206" s="157" t="s">
        <v>3113</v>
      </c>
      <c r="D206" s="235" t="s">
        <v>193</v>
      </c>
      <c r="E206" s="235">
        <v>1</v>
      </c>
      <c r="F206" s="235" t="str">
        <f>IF(AND(ISNA(VLOOKUP(D206,A:A,1,FALSE())),ISNA(VLOOKUP(D206,BaseType!A:A,1,FALSE())),D206&lt;&gt;"Struct"),"N","Y")</f>
        <v>Y</v>
      </c>
      <c r="G206" s="183"/>
      <c r="H206" s="157"/>
      <c r="I206" s="157"/>
      <c r="J206" s="157"/>
      <c r="K206" s="157"/>
      <c r="L206" s="157"/>
      <c r="M206" s="157"/>
      <c r="N206" s="236"/>
      <c r="O206" s="236"/>
      <c r="P206" s="236"/>
      <c r="Q206" s="236"/>
      <c r="R206" s="236"/>
      <c r="S206" s="236"/>
      <c r="T206" s="236"/>
    </row>
    <row r="207" spans="1:20" ht="15" customHeight="1" x14ac:dyDescent="0.2">
      <c r="A207" s="229"/>
      <c r="B207" s="235"/>
      <c r="C207" s="157" t="s">
        <v>3114</v>
      </c>
      <c r="D207" s="235" t="s">
        <v>193</v>
      </c>
      <c r="E207" s="235">
        <v>1</v>
      </c>
      <c r="F207" s="235" t="str">
        <f>IF(AND(ISNA(VLOOKUP(D207,A:A,1,FALSE())),ISNA(VLOOKUP(D207,BaseType!A:A,1,FALSE())),D207&lt;&gt;"Struct"),"N","Y")</f>
        <v>Y</v>
      </c>
      <c r="G207" s="183"/>
      <c r="H207" s="157"/>
      <c r="I207" s="157"/>
      <c r="J207" s="157"/>
      <c r="K207" s="157"/>
      <c r="L207" s="157"/>
      <c r="M207" s="157"/>
      <c r="N207" s="236"/>
      <c r="O207" s="236"/>
      <c r="P207" s="236"/>
      <c r="Q207" s="236"/>
      <c r="R207" s="236"/>
      <c r="S207" s="236"/>
      <c r="T207" s="236"/>
    </row>
    <row r="208" spans="1:20" ht="15" customHeight="1" x14ac:dyDescent="0.2">
      <c r="A208" s="229"/>
      <c r="B208" s="235"/>
      <c r="C208" s="157" t="s">
        <v>3115</v>
      </c>
      <c r="D208" s="235" t="s">
        <v>193</v>
      </c>
      <c r="E208" s="235">
        <v>1</v>
      </c>
      <c r="F208" s="235" t="str">
        <f>IF(AND(ISNA(VLOOKUP(D208,A:A,1,FALSE())),ISNA(VLOOKUP(D208,BaseType!A:A,1,FALSE())),D208&lt;&gt;"Struct"),"N","Y")</f>
        <v>Y</v>
      </c>
      <c r="G208" s="183"/>
      <c r="H208" s="157"/>
      <c r="I208" s="157"/>
      <c r="J208" s="157"/>
      <c r="K208" s="157"/>
      <c r="L208" s="157"/>
      <c r="M208" s="157"/>
      <c r="N208" s="236"/>
      <c r="O208" s="236"/>
      <c r="P208" s="236"/>
      <c r="Q208" s="236"/>
      <c r="R208" s="236"/>
      <c r="S208" s="236"/>
      <c r="T208" s="236"/>
    </row>
    <row r="209" spans="1:20" ht="15" customHeight="1" x14ac:dyDescent="0.2">
      <c r="A209" s="229"/>
      <c r="B209" s="235"/>
      <c r="C209" s="157" t="s">
        <v>3116</v>
      </c>
      <c r="D209" s="235" t="s">
        <v>193</v>
      </c>
      <c r="E209" s="235">
        <v>1</v>
      </c>
      <c r="F209" s="235" t="str">
        <f>IF(AND(ISNA(VLOOKUP(D209,A:A,1,FALSE())),ISNA(VLOOKUP(D209,BaseType!A:A,1,FALSE())),D209&lt;&gt;"Struct"),"N","Y")</f>
        <v>Y</v>
      </c>
      <c r="G209" s="183"/>
      <c r="H209" s="157"/>
      <c r="I209" s="157"/>
      <c r="J209" s="157"/>
      <c r="K209" s="157"/>
      <c r="L209" s="157"/>
      <c r="M209" s="157"/>
      <c r="N209" s="236"/>
      <c r="O209" s="236"/>
      <c r="P209" s="236"/>
      <c r="Q209" s="236"/>
      <c r="R209" s="236"/>
      <c r="S209" s="236"/>
      <c r="T209" s="236"/>
    </row>
    <row r="210" spans="1:20" ht="15" customHeight="1" x14ac:dyDescent="0.2">
      <c r="A210" s="229"/>
      <c r="B210" s="235"/>
      <c r="C210" s="157" t="s">
        <v>3117</v>
      </c>
      <c r="D210" s="235" t="s">
        <v>193</v>
      </c>
      <c r="E210" s="235">
        <v>1</v>
      </c>
      <c r="F210" s="235" t="str">
        <f>IF(AND(ISNA(VLOOKUP(D210,A:A,1,FALSE())),ISNA(VLOOKUP(D210,BaseType!A:A,1,FALSE())),D210&lt;&gt;"Struct"),"N","Y")</f>
        <v>Y</v>
      </c>
      <c r="G210" s="183"/>
      <c r="H210" s="157"/>
      <c r="I210" s="157"/>
      <c r="J210" s="157"/>
      <c r="K210" s="157"/>
      <c r="L210" s="157"/>
      <c r="M210" s="157"/>
      <c r="N210" s="236"/>
      <c r="O210" s="236"/>
      <c r="P210" s="236"/>
      <c r="Q210" s="236"/>
      <c r="R210" s="236"/>
      <c r="S210" s="236"/>
      <c r="T210" s="236"/>
    </row>
    <row r="211" spans="1:20" ht="15" customHeight="1" x14ac:dyDescent="0.2">
      <c r="A211" s="229" t="s">
        <v>2850</v>
      </c>
      <c r="B211" s="235" t="str">
        <f>IF(ISBLANK(A211),"",IF(AND(ISNA(VLOOKUP(A211,Interface_T1GC!E:E,1,FALSE())),ISNA(VLOOKUP(A211,D:D,1,FALSE()))),"N","Y"))</f>
        <v>Y</v>
      </c>
      <c r="C211" s="157"/>
      <c r="D211" s="235" t="s">
        <v>484</v>
      </c>
      <c r="E211" s="235"/>
      <c r="F211" s="235" t="str">
        <f>IF(AND(ISNA(VLOOKUP(D211,A:A,1,FALSE())),ISNA(VLOOKUP(D211,BaseType!A:A,1,FALSE())),D211&lt;&gt;"Struct"),"N","Y")</f>
        <v>Y</v>
      </c>
      <c r="G211" s="183"/>
      <c r="H211" s="157"/>
      <c r="I211" s="157"/>
      <c r="J211" s="157"/>
      <c r="K211" s="157"/>
      <c r="L211" s="157"/>
      <c r="M211" s="157"/>
      <c r="N211" s="236"/>
      <c r="O211" s="236"/>
      <c r="P211" s="236"/>
      <c r="Q211" s="236"/>
      <c r="R211" s="236"/>
      <c r="S211" s="236"/>
      <c r="T211" s="236"/>
    </row>
    <row r="212" spans="1:20" ht="15" customHeight="1" x14ac:dyDescent="0.2">
      <c r="A212" s="229"/>
      <c r="B212" s="235"/>
      <c r="C212" s="157" t="s">
        <v>3118</v>
      </c>
      <c r="D212" s="235" t="s">
        <v>193</v>
      </c>
      <c r="E212" s="235">
        <v>1</v>
      </c>
      <c r="F212" s="235" t="str">
        <f>IF(AND(ISNA(VLOOKUP(D212,A:A,1,FALSE())),ISNA(VLOOKUP(D212,BaseType!A:A,1,FALSE())),D212&lt;&gt;"Struct"),"N","Y")</f>
        <v>Y</v>
      </c>
      <c r="G212" s="183"/>
      <c r="H212" s="157"/>
      <c r="I212" s="157"/>
      <c r="J212" s="157"/>
      <c r="K212" s="157"/>
      <c r="L212" s="157"/>
      <c r="M212" s="157"/>
      <c r="N212" s="236"/>
      <c r="O212" s="236"/>
      <c r="P212" s="236"/>
      <c r="Q212" s="236"/>
      <c r="R212" s="236"/>
      <c r="S212" s="236"/>
      <c r="T212" s="236"/>
    </row>
    <row r="213" spans="1:20" ht="15" customHeight="1" x14ac:dyDescent="0.2">
      <c r="A213" s="229"/>
      <c r="B213" s="235"/>
      <c r="C213" s="157" t="s">
        <v>3119</v>
      </c>
      <c r="D213" s="235" t="s">
        <v>193</v>
      </c>
      <c r="E213" s="235">
        <v>1</v>
      </c>
      <c r="F213" s="235" t="str">
        <f>IF(AND(ISNA(VLOOKUP(D213,A:A,1,FALSE())),ISNA(VLOOKUP(D213,BaseType!A:A,1,FALSE())),D213&lt;&gt;"Struct"),"N","Y")</f>
        <v>Y</v>
      </c>
      <c r="G213" s="183"/>
      <c r="H213" s="157"/>
      <c r="I213" s="157"/>
      <c r="J213" s="157"/>
      <c r="K213" s="157"/>
      <c r="L213" s="157"/>
      <c r="M213" s="157"/>
      <c r="N213" s="236"/>
      <c r="O213" s="236"/>
      <c r="P213" s="236"/>
      <c r="Q213" s="236"/>
      <c r="R213" s="236"/>
      <c r="S213" s="236"/>
      <c r="T213" s="236"/>
    </row>
    <row r="214" spans="1:20" ht="15" customHeight="1" x14ac:dyDescent="0.2">
      <c r="A214" s="229"/>
      <c r="B214" s="235"/>
      <c r="C214" s="157" t="s">
        <v>3120</v>
      </c>
      <c r="D214" s="235" t="s">
        <v>193</v>
      </c>
      <c r="E214" s="235">
        <v>1</v>
      </c>
      <c r="F214" s="235" t="str">
        <f>IF(AND(ISNA(VLOOKUP(D214,A:A,1,FALSE())),ISNA(VLOOKUP(D214,BaseType!A:A,1,FALSE())),D214&lt;&gt;"Struct"),"N","Y")</f>
        <v>Y</v>
      </c>
      <c r="G214" s="183"/>
      <c r="H214" s="157"/>
      <c r="I214" s="157"/>
      <c r="J214" s="157"/>
      <c r="K214" s="157"/>
      <c r="L214" s="157"/>
      <c r="M214" s="157"/>
      <c r="N214" s="236"/>
      <c r="O214" s="236"/>
      <c r="P214" s="236"/>
      <c r="Q214" s="236"/>
      <c r="R214" s="236"/>
      <c r="S214" s="236"/>
      <c r="T214" s="236"/>
    </row>
    <row r="215" spans="1:20" ht="15" customHeight="1" x14ac:dyDescent="0.2">
      <c r="A215" s="229"/>
      <c r="B215" s="235"/>
      <c r="C215" s="157" t="s">
        <v>3121</v>
      </c>
      <c r="D215" s="235" t="s">
        <v>193</v>
      </c>
      <c r="E215" s="235">
        <v>1</v>
      </c>
      <c r="F215" s="235" t="str">
        <f>IF(AND(ISNA(VLOOKUP(D215,A:A,1,FALSE())),ISNA(VLOOKUP(D215,BaseType!A:A,1,FALSE())),D215&lt;&gt;"Struct"),"N","Y")</f>
        <v>Y</v>
      </c>
      <c r="G215" s="183"/>
      <c r="H215" s="157"/>
      <c r="I215" s="157"/>
      <c r="J215" s="157"/>
      <c r="K215" s="157"/>
      <c r="L215" s="157"/>
      <c r="M215" s="157"/>
      <c r="N215" s="236"/>
      <c r="O215" s="236"/>
      <c r="P215" s="236"/>
      <c r="Q215" s="236"/>
      <c r="R215" s="236"/>
      <c r="S215" s="236"/>
      <c r="T215" s="236"/>
    </row>
    <row r="216" spans="1:20" ht="15" customHeight="1" x14ac:dyDescent="0.2">
      <c r="A216" s="229"/>
      <c r="B216" s="235"/>
      <c r="C216" s="157" t="s">
        <v>3122</v>
      </c>
      <c r="D216" s="235" t="s">
        <v>193</v>
      </c>
      <c r="E216" s="235">
        <v>1</v>
      </c>
      <c r="F216" s="235" t="str">
        <f>IF(AND(ISNA(VLOOKUP(D216,A:A,1,FALSE())),ISNA(VLOOKUP(D216,BaseType!A:A,1,FALSE())),D216&lt;&gt;"Struct"),"N","Y")</f>
        <v>Y</v>
      </c>
      <c r="G216" s="183"/>
      <c r="H216" s="157"/>
      <c r="I216" s="157"/>
      <c r="J216" s="157"/>
      <c r="K216" s="157"/>
      <c r="L216" s="157"/>
      <c r="M216" s="157"/>
      <c r="N216" s="236"/>
      <c r="O216" s="236"/>
      <c r="P216" s="236"/>
      <c r="Q216" s="236"/>
      <c r="R216" s="236"/>
      <c r="S216" s="236"/>
      <c r="T216" s="236"/>
    </row>
    <row r="217" spans="1:20" ht="15" customHeight="1" x14ac:dyDescent="0.2">
      <c r="A217" s="229"/>
      <c r="B217" s="235"/>
      <c r="C217" s="157" t="s">
        <v>3123</v>
      </c>
      <c r="D217" s="235" t="s">
        <v>193</v>
      </c>
      <c r="E217" s="235">
        <v>1</v>
      </c>
      <c r="F217" s="235" t="str">
        <f>IF(AND(ISNA(VLOOKUP(D217,A:A,1,FALSE())),ISNA(VLOOKUP(D217,BaseType!A:A,1,FALSE())),D217&lt;&gt;"Struct"),"N","Y")</f>
        <v>Y</v>
      </c>
      <c r="G217" s="183"/>
      <c r="H217" s="157"/>
      <c r="I217" s="157"/>
      <c r="J217" s="157"/>
      <c r="K217" s="157"/>
      <c r="L217" s="157"/>
      <c r="M217" s="157"/>
      <c r="N217" s="236"/>
      <c r="O217" s="236"/>
      <c r="P217" s="236"/>
      <c r="Q217" s="236"/>
      <c r="R217" s="236"/>
      <c r="S217" s="236"/>
      <c r="T217" s="236"/>
    </row>
    <row r="218" spans="1:20" ht="15" customHeight="1" x14ac:dyDescent="0.2">
      <c r="A218" s="229"/>
      <c r="B218" s="235"/>
      <c r="C218" s="157" t="s">
        <v>3124</v>
      </c>
      <c r="D218" s="235" t="s">
        <v>193</v>
      </c>
      <c r="E218" s="235">
        <v>1</v>
      </c>
      <c r="F218" s="235" t="str">
        <f>IF(AND(ISNA(VLOOKUP(D218,A:A,1,FALSE())),ISNA(VLOOKUP(D218,BaseType!A:A,1,FALSE())),D218&lt;&gt;"Struct"),"N","Y")</f>
        <v>Y</v>
      </c>
      <c r="G218" s="183"/>
      <c r="H218" s="157"/>
      <c r="I218" s="157"/>
      <c r="J218" s="157"/>
      <c r="K218" s="157"/>
      <c r="L218" s="157"/>
      <c r="M218" s="157"/>
      <c r="N218" s="236"/>
      <c r="O218" s="236"/>
      <c r="P218" s="236"/>
      <c r="Q218" s="236"/>
      <c r="R218" s="236"/>
      <c r="S218" s="236"/>
      <c r="T218" s="236"/>
    </row>
    <row r="219" spans="1:20" ht="15" customHeight="1" x14ac:dyDescent="0.2">
      <c r="A219" s="229"/>
      <c r="B219" s="235"/>
      <c r="C219" s="157" t="s">
        <v>3125</v>
      </c>
      <c r="D219" s="235" t="s">
        <v>193</v>
      </c>
      <c r="E219" s="235">
        <v>1</v>
      </c>
      <c r="F219" s="235" t="str">
        <f>IF(AND(ISNA(VLOOKUP(D219,A:A,1,FALSE())),ISNA(VLOOKUP(D219,BaseType!A:A,1,FALSE())),D219&lt;&gt;"Struct"),"N","Y")</f>
        <v>Y</v>
      </c>
      <c r="G219" s="183"/>
      <c r="H219" s="157"/>
      <c r="I219" s="157"/>
      <c r="J219" s="157"/>
      <c r="K219" s="157"/>
      <c r="L219" s="157"/>
      <c r="M219" s="157"/>
      <c r="N219" s="236"/>
      <c r="O219" s="236"/>
      <c r="P219" s="236"/>
      <c r="Q219" s="236"/>
      <c r="R219" s="236"/>
      <c r="S219" s="236"/>
      <c r="T219" s="236"/>
    </row>
    <row r="220" spans="1:20" ht="15" customHeight="1" x14ac:dyDescent="0.2">
      <c r="A220" s="229"/>
      <c r="B220" s="235"/>
      <c r="C220" s="157" t="s">
        <v>3126</v>
      </c>
      <c r="D220" s="235" t="s">
        <v>193</v>
      </c>
      <c r="E220" s="235">
        <v>1</v>
      </c>
      <c r="F220" s="235" t="str">
        <f>IF(AND(ISNA(VLOOKUP(D220,A:A,1,FALSE())),ISNA(VLOOKUP(D220,BaseType!A:A,1,FALSE())),D220&lt;&gt;"Struct"),"N","Y")</f>
        <v>Y</v>
      </c>
      <c r="G220" s="183"/>
      <c r="H220" s="157"/>
      <c r="I220" s="157"/>
      <c r="J220" s="157"/>
      <c r="K220" s="157"/>
      <c r="L220" s="157"/>
      <c r="M220" s="157"/>
      <c r="N220" s="236"/>
      <c r="O220" s="236"/>
      <c r="P220" s="236"/>
      <c r="Q220" s="236"/>
      <c r="R220" s="236"/>
      <c r="S220" s="236"/>
      <c r="T220" s="236"/>
    </row>
    <row r="221" spans="1:20" ht="15" customHeight="1" x14ac:dyDescent="0.2">
      <c r="A221" s="229"/>
      <c r="B221" s="235"/>
      <c r="C221" s="157" t="s">
        <v>3127</v>
      </c>
      <c r="D221" s="235" t="s">
        <v>193</v>
      </c>
      <c r="E221" s="235">
        <v>1</v>
      </c>
      <c r="F221" s="235" t="str">
        <f>IF(AND(ISNA(VLOOKUP(D221,A:A,1,FALSE())),ISNA(VLOOKUP(D221,BaseType!A:A,1,FALSE())),D221&lt;&gt;"Struct"),"N","Y")</f>
        <v>Y</v>
      </c>
      <c r="G221" s="183"/>
      <c r="H221" s="157"/>
      <c r="I221" s="157"/>
      <c r="J221" s="157"/>
      <c r="K221" s="157"/>
      <c r="L221" s="157"/>
      <c r="M221" s="157"/>
      <c r="N221" s="236"/>
      <c r="O221" s="236"/>
      <c r="P221" s="236"/>
      <c r="Q221" s="236"/>
      <c r="R221" s="236"/>
      <c r="S221" s="236"/>
      <c r="T221" s="236"/>
    </row>
    <row r="222" spans="1:20" ht="15" customHeight="1" x14ac:dyDescent="0.2">
      <c r="A222" s="229"/>
      <c r="B222" s="235"/>
      <c r="C222" s="157" t="s">
        <v>3128</v>
      </c>
      <c r="D222" s="235" t="s">
        <v>193</v>
      </c>
      <c r="E222" s="235">
        <v>1</v>
      </c>
      <c r="F222" s="235" t="str">
        <f>IF(AND(ISNA(VLOOKUP(D222,A:A,1,FALSE())),ISNA(VLOOKUP(D222,BaseType!A:A,1,FALSE())),D222&lt;&gt;"Struct"),"N","Y")</f>
        <v>Y</v>
      </c>
      <c r="G222" s="183"/>
      <c r="H222" s="157"/>
      <c r="I222" s="157"/>
      <c r="J222" s="157"/>
      <c r="K222" s="157"/>
      <c r="L222" s="157"/>
      <c r="M222" s="157"/>
      <c r="N222" s="236"/>
      <c r="O222" s="236"/>
      <c r="P222" s="236"/>
      <c r="Q222" s="236"/>
      <c r="R222" s="236"/>
      <c r="S222" s="236"/>
      <c r="T222" s="236"/>
    </row>
    <row r="223" spans="1:20" ht="15" customHeight="1" x14ac:dyDescent="0.2">
      <c r="A223" s="229"/>
      <c r="B223" s="235"/>
      <c r="C223" s="157" t="s">
        <v>3129</v>
      </c>
      <c r="D223" s="235" t="s">
        <v>193</v>
      </c>
      <c r="E223" s="235">
        <v>1</v>
      </c>
      <c r="F223" s="235" t="str">
        <f>IF(AND(ISNA(VLOOKUP(D223,A:A,1,FALSE())),ISNA(VLOOKUP(D223,BaseType!A:A,1,FALSE())),D223&lt;&gt;"Struct"),"N","Y")</f>
        <v>Y</v>
      </c>
      <c r="G223" s="183"/>
      <c r="H223" s="157"/>
      <c r="I223" s="157"/>
      <c r="J223" s="157"/>
      <c r="K223" s="157"/>
      <c r="L223" s="157"/>
      <c r="M223" s="157"/>
      <c r="N223" s="236"/>
      <c r="O223" s="236"/>
      <c r="P223" s="236"/>
      <c r="Q223" s="236"/>
      <c r="R223" s="236"/>
      <c r="S223" s="236"/>
      <c r="T223" s="236"/>
    </row>
    <row r="224" spans="1:20" ht="15" customHeight="1" x14ac:dyDescent="0.2">
      <c r="A224" s="229"/>
      <c r="B224" s="235"/>
      <c r="C224" s="157" t="s">
        <v>3130</v>
      </c>
      <c r="D224" s="235" t="s">
        <v>193</v>
      </c>
      <c r="E224" s="235">
        <v>1</v>
      </c>
      <c r="F224" s="235" t="str">
        <f>IF(AND(ISNA(VLOOKUP(D224,A:A,1,FALSE())),ISNA(VLOOKUP(D224,BaseType!A:A,1,FALSE())),D224&lt;&gt;"Struct"),"N","Y")</f>
        <v>Y</v>
      </c>
      <c r="G224" s="183"/>
      <c r="H224" s="157"/>
      <c r="I224" s="157"/>
      <c r="J224" s="157"/>
      <c r="K224" s="157"/>
      <c r="L224" s="157"/>
      <c r="M224" s="157"/>
      <c r="N224" s="236"/>
      <c r="O224" s="236"/>
      <c r="P224" s="236"/>
      <c r="Q224" s="236"/>
      <c r="R224" s="236"/>
      <c r="S224" s="236"/>
      <c r="T224" s="236"/>
    </row>
    <row r="225" spans="1:20" ht="15" customHeight="1" x14ac:dyDescent="0.2">
      <c r="A225" s="229"/>
      <c r="B225" s="235"/>
      <c r="C225" s="157" t="s">
        <v>3131</v>
      </c>
      <c r="D225" s="235" t="s">
        <v>193</v>
      </c>
      <c r="E225" s="235">
        <v>1</v>
      </c>
      <c r="F225" s="235" t="str">
        <f>IF(AND(ISNA(VLOOKUP(D225,A:A,1,FALSE())),ISNA(VLOOKUP(D225,BaseType!A:A,1,FALSE())),D225&lt;&gt;"Struct"),"N","Y")</f>
        <v>Y</v>
      </c>
      <c r="G225" s="183"/>
      <c r="H225" s="157"/>
      <c r="I225" s="157"/>
      <c r="J225" s="157"/>
      <c r="K225" s="157"/>
      <c r="L225" s="157"/>
      <c r="M225" s="157"/>
      <c r="N225" s="236"/>
      <c r="O225" s="236"/>
      <c r="P225" s="236"/>
      <c r="Q225" s="236"/>
      <c r="R225" s="236"/>
      <c r="S225" s="236"/>
      <c r="T225" s="236"/>
    </row>
    <row r="226" spans="1:20" ht="15" customHeight="1" x14ac:dyDescent="0.2">
      <c r="A226" s="229"/>
      <c r="B226" s="235"/>
      <c r="C226" s="157" t="s">
        <v>3132</v>
      </c>
      <c r="D226" s="235" t="s">
        <v>193</v>
      </c>
      <c r="E226" s="235">
        <v>1</v>
      </c>
      <c r="F226" s="235" t="str">
        <f>IF(AND(ISNA(VLOOKUP(D226,A:A,1,FALSE())),ISNA(VLOOKUP(D226,BaseType!A:A,1,FALSE())),D226&lt;&gt;"Struct"),"N","Y")</f>
        <v>Y</v>
      </c>
      <c r="G226" s="183"/>
      <c r="H226" s="157"/>
      <c r="I226" s="157"/>
      <c r="J226" s="157"/>
      <c r="K226" s="157"/>
      <c r="L226" s="157"/>
      <c r="M226" s="157"/>
      <c r="N226" s="236"/>
      <c r="O226" s="236"/>
      <c r="P226" s="236"/>
      <c r="Q226" s="236"/>
      <c r="R226" s="236"/>
      <c r="S226" s="236"/>
      <c r="T226" s="236"/>
    </row>
    <row r="227" spans="1:20" ht="15" customHeight="1" x14ac:dyDescent="0.2">
      <c r="A227" s="229" t="s">
        <v>2852</v>
      </c>
      <c r="B227" s="235" t="str">
        <f>IF(ISBLANK(A227),"",IF(AND(ISNA(VLOOKUP(A227,Interface_T1GC!E:E,1,FALSE())),ISNA(VLOOKUP(A227,D:D,1,FALSE()))),"N","Y"))</f>
        <v>Y</v>
      </c>
      <c r="C227" s="157"/>
      <c r="D227" s="235" t="s">
        <v>484</v>
      </c>
      <c r="E227" s="235"/>
      <c r="F227" s="235" t="str">
        <f>IF(AND(ISNA(VLOOKUP(D227,A:A,1,FALSE())),ISNA(VLOOKUP(D227,BaseType!A:A,1,FALSE())),D227&lt;&gt;"Struct"),"N","Y")</f>
        <v>Y</v>
      </c>
      <c r="G227" s="183"/>
      <c r="H227" s="157"/>
      <c r="I227" s="157"/>
      <c r="J227" s="157"/>
      <c r="K227" s="157"/>
      <c r="L227" s="157"/>
      <c r="M227" s="157"/>
      <c r="N227" s="236"/>
      <c r="O227" s="236"/>
      <c r="P227" s="236"/>
      <c r="Q227" s="236"/>
      <c r="R227" s="236"/>
      <c r="S227" s="236"/>
      <c r="T227" s="236"/>
    </row>
    <row r="228" spans="1:20" ht="15" customHeight="1" x14ac:dyDescent="0.2">
      <c r="A228" s="229"/>
      <c r="B228" s="235"/>
      <c r="C228" s="157" t="s">
        <v>3133</v>
      </c>
      <c r="D228" s="235" t="s">
        <v>193</v>
      </c>
      <c r="E228" s="235">
        <v>1</v>
      </c>
      <c r="F228" s="235" t="str">
        <f>IF(AND(ISNA(VLOOKUP(D228,A:A,1,FALSE())),ISNA(VLOOKUP(D228,BaseType!A:A,1,FALSE())),D228&lt;&gt;"Struct"),"N","Y")</f>
        <v>Y</v>
      </c>
      <c r="G228" s="183"/>
      <c r="H228" s="157"/>
      <c r="I228" s="157"/>
      <c r="J228" s="157"/>
      <c r="K228" s="157"/>
      <c r="L228" s="157"/>
      <c r="M228" s="157"/>
      <c r="N228" s="236"/>
      <c r="O228" s="236"/>
      <c r="P228" s="236"/>
      <c r="Q228" s="236"/>
      <c r="R228" s="236"/>
      <c r="S228" s="236"/>
      <c r="T228" s="236"/>
    </row>
    <row r="229" spans="1:20" ht="15" customHeight="1" x14ac:dyDescent="0.2">
      <c r="A229" s="229"/>
      <c r="B229" s="235"/>
      <c r="C229" s="157" t="s">
        <v>3134</v>
      </c>
      <c r="D229" s="235" t="s">
        <v>193</v>
      </c>
      <c r="E229" s="235">
        <v>1</v>
      </c>
      <c r="F229" s="235" t="str">
        <f>IF(AND(ISNA(VLOOKUP(D229,A:A,1,FALSE())),ISNA(VLOOKUP(D229,BaseType!A:A,1,FALSE())),D229&lt;&gt;"Struct"),"N","Y")</f>
        <v>Y</v>
      </c>
      <c r="G229" s="183"/>
      <c r="H229" s="157"/>
      <c r="I229" s="157"/>
      <c r="J229" s="157"/>
      <c r="K229" s="157"/>
      <c r="L229" s="157"/>
      <c r="M229" s="157"/>
      <c r="N229" s="236"/>
      <c r="O229" s="236"/>
      <c r="P229" s="236"/>
      <c r="Q229" s="236"/>
      <c r="R229" s="236"/>
      <c r="S229" s="236"/>
      <c r="T229" s="236"/>
    </row>
    <row r="230" spans="1:20" ht="15" customHeight="1" x14ac:dyDescent="0.2">
      <c r="A230" s="229"/>
      <c r="B230" s="235"/>
      <c r="C230" s="157" t="s">
        <v>3135</v>
      </c>
      <c r="D230" s="235" t="s">
        <v>193</v>
      </c>
      <c r="E230" s="235">
        <v>1</v>
      </c>
      <c r="F230" s="235" t="str">
        <f>IF(AND(ISNA(VLOOKUP(D230,A:A,1,FALSE())),ISNA(VLOOKUP(D230,BaseType!A:A,1,FALSE())),D230&lt;&gt;"Struct"),"N","Y")</f>
        <v>Y</v>
      </c>
      <c r="G230" s="183"/>
      <c r="H230" s="157"/>
      <c r="I230" s="157"/>
      <c r="J230" s="157"/>
      <c r="K230" s="157"/>
      <c r="L230" s="157"/>
      <c r="M230" s="157"/>
      <c r="N230" s="236"/>
      <c r="O230" s="236"/>
      <c r="P230" s="236"/>
      <c r="Q230" s="236"/>
      <c r="R230" s="236"/>
      <c r="S230" s="236"/>
      <c r="T230" s="236"/>
    </row>
    <row r="231" spans="1:20" ht="15" customHeight="1" x14ac:dyDescent="0.2">
      <c r="A231" s="229"/>
      <c r="B231" s="235"/>
      <c r="C231" s="157" t="s">
        <v>3136</v>
      </c>
      <c r="D231" s="235" t="s">
        <v>193</v>
      </c>
      <c r="E231" s="235">
        <v>1</v>
      </c>
      <c r="F231" s="235" t="str">
        <f>IF(AND(ISNA(VLOOKUP(D231,A:A,1,FALSE())),ISNA(VLOOKUP(D231,BaseType!A:A,1,FALSE())),D231&lt;&gt;"Struct"),"N","Y")</f>
        <v>Y</v>
      </c>
      <c r="G231" s="183"/>
      <c r="H231" s="157"/>
      <c r="I231" s="157"/>
      <c r="J231" s="157"/>
      <c r="K231" s="157"/>
      <c r="L231" s="157"/>
      <c r="M231" s="157"/>
      <c r="N231" s="236"/>
      <c r="O231" s="236"/>
      <c r="P231" s="236"/>
      <c r="Q231" s="236"/>
      <c r="R231" s="236"/>
      <c r="S231" s="236"/>
      <c r="T231" s="236"/>
    </row>
    <row r="232" spans="1:20" ht="15" customHeight="1" x14ac:dyDescent="0.2">
      <c r="A232" s="229"/>
      <c r="B232" s="235"/>
      <c r="C232" s="157" t="s">
        <v>3137</v>
      </c>
      <c r="D232" s="235" t="s">
        <v>193</v>
      </c>
      <c r="E232" s="235">
        <v>1</v>
      </c>
      <c r="F232" s="235" t="str">
        <f>IF(AND(ISNA(VLOOKUP(D232,A:A,1,FALSE())),ISNA(VLOOKUP(D232,BaseType!A:A,1,FALSE())),D232&lt;&gt;"Struct"),"N","Y")</f>
        <v>Y</v>
      </c>
      <c r="G232" s="183"/>
      <c r="H232" s="157"/>
      <c r="I232" s="157"/>
      <c r="J232" s="157"/>
      <c r="K232" s="157"/>
      <c r="L232" s="157"/>
      <c r="M232" s="157"/>
      <c r="N232" s="236"/>
      <c r="O232" s="236"/>
      <c r="P232" s="236"/>
      <c r="Q232" s="236"/>
      <c r="R232" s="236"/>
      <c r="S232" s="236"/>
      <c r="T232" s="236"/>
    </row>
    <row r="233" spans="1:20" ht="15" customHeight="1" x14ac:dyDescent="0.2">
      <c r="A233" s="229"/>
      <c r="B233" s="235"/>
      <c r="C233" s="157" t="s">
        <v>3138</v>
      </c>
      <c r="D233" s="235" t="s">
        <v>193</v>
      </c>
      <c r="E233" s="235">
        <v>1</v>
      </c>
      <c r="F233" s="235" t="str">
        <f>IF(AND(ISNA(VLOOKUP(D233,A:A,1,FALSE())),ISNA(VLOOKUP(D233,BaseType!A:A,1,FALSE())),D233&lt;&gt;"Struct"),"N","Y")</f>
        <v>Y</v>
      </c>
      <c r="G233" s="183"/>
      <c r="H233" s="157"/>
      <c r="I233" s="157"/>
      <c r="J233" s="157"/>
      <c r="K233" s="157"/>
      <c r="L233" s="157"/>
      <c r="M233" s="157"/>
      <c r="N233" s="236"/>
      <c r="O233" s="236"/>
      <c r="P233" s="236"/>
      <c r="Q233" s="236"/>
      <c r="R233" s="236"/>
      <c r="S233" s="236"/>
      <c r="T233" s="236"/>
    </row>
    <row r="234" spans="1:20" ht="15" customHeight="1" x14ac:dyDescent="0.2">
      <c r="A234" s="229"/>
      <c r="B234" s="235"/>
      <c r="C234" s="157" t="s">
        <v>3139</v>
      </c>
      <c r="D234" s="235" t="s">
        <v>193</v>
      </c>
      <c r="E234" s="235">
        <v>1</v>
      </c>
      <c r="F234" s="235" t="str">
        <f>IF(AND(ISNA(VLOOKUP(D234,A:A,1,FALSE())),ISNA(VLOOKUP(D234,BaseType!A:A,1,FALSE())),D234&lt;&gt;"Struct"),"N","Y")</f>
        <v>Y</v>
      </c>
      <c r="G234" s="183"/>
      <c r="H234" s="157"/>
      <c r="I234" s="157"/>
      <c r="J234" s="157"/>
      <c r="K234" s="157"/>
      <c r="L234" s="157"/>
      <c r="M234" s="157"/>
      <c r="N234" s="236"/>
      <c r="O234" s="236"/>
      <c r="P234" s="236"/>
      <c r="Q234" s="236"/>
      <c r="R234" s="236"/>
      <c r="S234" s="236"/>
      <c r="T234" s="236"/>
    </row>
    <row r="235" spans="1:20" ht="15" customHeight="1" x14ac:dyDescent="0.2">
      <c r="A235" s="229"/>
      <c r="B235" s="235"/>
      <c r="C235" s="157" t="s">
        <v>3140</v>
      </c>
      <c r="D235" s="235" t="s">
        <v>193</v>
      </c>
      <c r="E235" s="235">
        <v>1</v>
      </c>
      <c r="F235" s="235" t="str">
        <f>IF(AND(ISNA(VLOOKUP(D235,A:A,1,FALSE())),ISNA(VLOOKUP(D235,BaseType!A:A,1,FALSE())),D235&lt;&gt;"Struct"),"N","Y")</f>
        <v>Y</v>
      </c>
      <c r="G235" s="183"/>
      <c r="H235" s="157"/>
      <c r="I235" s="157"/>
      <c r="J235" s="157"/>
      <c r="K235" s="157"/>
      <c r="L235" s="157"/>
      <c r="M235" s="157"/>
      <c r="N235" s="236"/>
      <c r="O235" s="236"/>
      <c r="P235" s="236"/>
      <c r="Q235" s="236"/>
      <c r="R235" s="236"/>
      <c r="S235" s="236"/>
      <c r="T235" s="236"/>
    </row>
    <row r="236" spans="1:20" ht="15" customHeight="1" x14ac:dyDescent="0.2">
      <c r="A236" s="229"/>
      <c r="B236" s="235"/>
      <c r="C236" s="157" t="s">
        <v>3141</v>
      </c>
      <c r="D236" s="235" t="s">
        <v>193</v>
      </c>
      <c r="E236" s="235">
        <v>1</v>
      </c>
      <c r="F236" s="235" t="str">
        <f>IF(AND(ISNA(VLOOKUP(D236,A:A,1,FALSE())),ISNA(VLOOKUP(D236,BaseType!A:A,1,FALSE())),D236&lt;&gt;"Struct"),"N","Y")</f>
        <v>Y</v>
      </c>
      <c r="G236" s="183"/>
      <c r="H236" s="157"/>
      <c r="I236" s="157"/>
      <c r="J236" s="157"/>
      <c r="K236" s="157"/>
      <c r="L236" s="157"/>
      <c r="M236" s="157"/>
      <c r="N236" s="236"/>
      <c r="O236" s="236"/>
      <c r="P236" s="236"/>
      <c r="Q236" s="236"/>
      <c r="R236" s="236"/>
      <c r="S236" s="236"/>
      <c r="T236" s="236"/>
    </row>
    <row r="237" spans="1:20" ht="15" customHeight="1" x14ac:dyDescent="0.2">
      <c r="A237" s="229"/>
      <c r="B237" s="235"/>
      <c r="C237" s="157" t="s">
        <v>3142</v>
      </c>
      <c r="D237" s="235" t="s">
        <v>193</v>
      </c>
      <c r="E237" s="235">
        <v>1</v>
      </c>
      <c r="F237" s="235" t="str">
        <f>IF(AND(ISNA(VLOOKUP(D237,A:A,1,FALSE())),ISNA(VLOOKUP(D237,BaseType!A:A,1,FALSE())),D237&lt;&gt;"Struct"),"N","Y")</f>
        <v>Y</v>
      </c>
      <c r="G237" s="183"/>
      <c r="H237" s="157"/>
      <c r="I237" s="157"/>
      <c r="J237" s="157"/>
      <c r="K237" s="157"/>
      <c r="L237" s="157"/>
      <c r="M237" s="157"/>
      <c r="N237" s="236"/>
      <c r="O237" s="236"/>
      <c r="P237" s="236"/>
      <c r="Q237" s="236"/>
      <c r="R237" s="236"/>
      <c r="S237" s="236"/>
      <c r="T237" s="236"/>
    </row>
    <row r="238" spans="1:20" ht="15" customHeight="1" x14ac:dyDescent="0.2">
      <c r="A238" s="229"/>
      <c r="B238" s="235"/>
      <c r="C238" s="157" t="s">
        <v>3143</v>
      </c>
      <c r="D238" s="235" t="s">
        <v>193</v>
      </c>
      <c r="E238" s="235">
        <v>1</v>
      </c>
      <c r="F238" s="235" t="str">
        <f>IF(AND(ISNA(VLOOKUP(D238,A:A,1,FALSE())),ISNA(VLOOKUP(D238,BaseType!A:A,1,FALSE())),D238&lt;&gt;"Struct"),"N","Y")</f>
        <v>Y</v>
      </c>
      <c r="G238" s="183"/>
      <c r="H238" s="157"/>
      <c r="I238" s="157"/>
      <c r="J238" s="157"/>
      <c r="K238" s="157"/>
      <c r="L238" s="157"/>
      <c r="M238" s="157"/>
      <c r="N238" s="236"/>
      <c r="O238" s="236"/>
      <c r="P238" s="236"/>
      <c r="Q238" s="236"/>
      <c r="R238" s="236"/>
      <c r="S238" s="236"/>
      <c r="T238" s="236"/>
    </row>
    <row r="239" spans="1:20" ht="15" customHeight="1" x14ac:dyDescent="0.2">
      <c r="A239" s="229"/>
      <c r="B239" s="235"/>
      <c r="C239" s="157" t="s">
        <v>3144</v>
      </c>
      <c r="D239" s="235" t="s">
        <v>193</v>
      </c>
      <c r="E239" s="235">
        <v>1</v>
      </c>
      <c r="F239" s="235" t="str">
        <f>IF(AND(ISNA(VLOOKUP(D239,A:A,1,FALSE())),ISNA(VLOOKUP(D239,BaseType!A:A,1,FALSE())),D239&lt;&gt;"Struct"),"N","Y")</f>
        <v>Y</v>
      </c>
      <c r="G239" s="183"/>
      <c r="H239" s="157"/>
      <c r="I239" s="157"/>
      <c r="J239" s="157"/>
      <c r="K239" s="157"/>
      <c r="L239" s="157"/>
      <c r="M239" s="157"/>
      <c r="N239" s="236"/>
      <c r="O239" s="236"/>
      <c r="P239" s="236"/>
      <c r="Q239" s="236"/>
      <c r="R239" s="236"/>
      <c r="S239" s="236"/>
      <c r="T239" s="236"/>
    </row>
    <row r="240" spans="1:20" ht="15" customHeight="1" x14ac:dyDescent="0.2">
      <c r="A240" s="229"/>
      <c r="B240" s="235"/>
      <c r="C240" s="157" t="s">
        <v>3145</v>
      </c>
      <c r="D240" s="235" t="s">
        <v>193</v>
      </c>
      <c r="E240" s="235">
        <v>1</v>
      </c>
      <c r="F240" s="235" t="str">
        <f>IF(AND(ISNA(VLOOKUP(D240,A:A,1,FALSE())),ISNA(VLOOKUP(D240,BaseType!A:A,1,FALSE())),D240&lt;&gt;"Struct"),"N","Y")</f>
        <v>Y</v>
      </c>
      <c r="G240" s="183"/>
      <c r="H240" s="157"/>
      <c r="I240" s="157"/>
      <c r="J240" s="157"/>
      <c r="K240" s="157"/>
      <c r="L240" s="157"/>
      <c r="M240" s="157"/>
      <c r="N240" s="236"/>
      <c r="O240" s="236"/>
      <c r="P240" s="236"/>
      <c r="Q240" s="236"/>
      <c r="R240" s="236"/>
      <c r="S240" s="236"/>
      <c r="T240" s="236"/>
    </row>
    <row r="241" spans="1:20" ht="15" customHeight="1" x14ac:dyDescent="0.2">
      <c r="A241" s="229"/>
      <c r="B241" s="235"/>
      <c r="C241" s="157" t="s">
        <v>3146</v>
      </c>
      <c r="D241" s="235" t="s">
        <v>193</v>
      </c>
      <c r="E241" s="235">
        <v>1</v>
      </c>
      <c r="F241" s="235" t="str">
        <f>IF(AND(ISNA(VLOOKUP(D241,A:A,1,FALSE())),ISNA(VLOOKUP(D241,BaseType!A:A,1,FALSE())),D241&lt;&gt;"Struct"),"N","Y")</f>
        <v>Y</v>
      </c>
      <c r="G241" s="183"/>
      <c r="H241" s="157"/>
      <c r="I241" s="157"/>
      <c r="J241" s="157"/>
      <c r="K241" s="157"/>
      <c r="L241" s="157"/>
      <c r="M241" s="157"/>
      <c r="N241" s="236"/>
      <c r="O241" s="236"/>
      <c r="P241" s="236"/>
      <c r="Q241" s="236"/>
      <c r="R241" s="236"/>
      <c r="S241" s="236"/>
      <c r="T241" s="236"/>
    </row>
    <row r="242" spans="1:20" ht="15" customHeight="1" x14ac:dyDescent="0.2">
      <c r="A242" s="229"/>
      <c r="B242" s="235"/>
      <c r="C242" s="157" t="s">
        <v>3147</v>
      </c>
      <c r="D242" s="235" t="s">
        <v>193</v>
      </c>
      <c r="E242" s="235">
        <v>1</v>
      </c>
      <c r="F242" s="235" t="str">
        <f>IF(AND(ISNA(VLOOKUP(D242,A:A,1,FALSE())),ISNA(VLOOKUP(D242,BaseType!A:A,1,FALSE())),D242&lt;&gt;"Struct"),"N","Y")</f>
        <v>Y</v>
      </c>
      <c r="G242" s="183"/>
      <c r="H242" s="157"/>
      <c r="I242" s="157"/>
      <c r="J242" s="157"/>
      <c r="K242" s="157"/>
      <c r="L242" s="157"/>
      <c r="M242" s="157"/>
      <c r="N242" s="236"/>
      <c r="O242" s="236"/>
      <c r="P242" s="236"/>
      <c r="Q242" s="236"/>
      <c r="R242" s="236"/>
      <c r="S242" s="236"/>
      <c r="T242" s="236"/>
    </row>
    <row r="243" spans="1:20" ht="15" customHeight="1" x14ac:dyDescent="0.2">
      <c r="A243" s="229"/>
      <c r="B243" s="235"/>
      <c r="C243" s="157" t="s">
        <v>3148</v>
      </c>
      <c r="D243" s="235" t="s">
        <v>193</v>
      </c>
      <c r="E243" s="235">
        <v>1</v>
      </c>
      <c r="F243" s="235" t="str">
        <f>IF(AND(ISNA(VLOOKUP(D243,A:A,1,FALSE())),ISNA(VLOOKUP(D243,BaseType!A:A,1,FALSE())),D243&lt;&gt;"Struct"),"N","Y")</f>
        <v>Y</v>
      </c>
      <c r="G243" s="183"/>
      <c r="H243" s="157"/>
      <c r="I243" s="157"/>
      <c r="J243" s="157"/>
      <c r="K243" s="157"/>
      <c r="L243" s="157"/>
      <c r="M243" s="157"/>
      <c r="N243" s="236"/>
      <c r="O243" s="236"/>
      <c r="P243" s="236"/>
      <c r="Q243" s="236"/>
      <c r="R243" s="236"/>
      <c r="S243" s="236"/>
      <c r="T243" s="236"/>
    </row>
    <row r="244" spans="1:20" ht="15" customHeight="1" x14ac:dyDescent="0.2">
      <c r="A244" s="229"/>
      <c r="B244" s="235"/>
      <c r="C244" s="157" t="s">
        <v>3149</v>
      </c>
      <c r="D244" s="235" t="s">
        <v>193</v>
      </c>
      <c r="E244" s="235">
        <v>1</v>
      </c>
      <c r="F244" s="235" t="str">
        <f>IF(AND(ISNA(VLOOKUP(D244,A:A,1,FALSE())),ISNA(VLOOKUP(D244,BaseType!A:A,1,FALSE())),D244&lt;&gt;"Struct"),"N","Y")</f>
        <v>Y</v>
      </c>
      <c r="G244" s="183"/>
      <c r="H244" s="157"/>
      <c r="I244" s="157"/>
      <c r="J244" s="157"/>
      <c r="K244" s="157"/>
      <c r="L244" s="157"/>
      <c r="M244" s="157"/>
      <c r="N244" s="236"/>
      <c r="O244" s="236"/>
      <c r="P244" s="236"/>
      <c r="Q244" s="236"/>
      <c r="R244" s="236"/>
      <c r="S244" s="236"/>
      <c r="T244" s="236"/>
    </row>
    <row r="245" spans="1:20" ht="15" customHeight="1" x14ac:dyDescent="0.2">
      <c r="A245" s="229"/>
      <c r="B245" s="235"/>
      <c r="C245" s="157" t="s">
        <v>3150</v>
      </c>
      <c r="D245" s="235" t="s">
        <v>193</v>
      </c>
      <c r="E245" s="235">
        <v>1</v>
      </c>
      <c r="F245" s="235" t="str">
        <f>IF(AND(ISNA(VLOOKUP(D245,A:A,1,FALSE())),ISNA(VLOOKUP(D245,BaseType!A:A,1,FALSE())),D245&lt;&gt;"Struct"),"N","Y")</f>
        <v>Y</v>
      </c>
      <c r="G245" s="183"/>
      <c r="H245" s="157"/>
      <c r="I245" s="157"/>
      <c r="J245" s="157"/>
      <c r="K245" s="157"/>
      <c r="L245" s="157"/>
      <c r="M245" s="157"/>
      <c r="N245" s="236"/>
      <c r="O245" s="236"/>
      <c r="P245" s="236"/>
      <c r="Q245" s="236"/>
      <c r="R245" s="236"/>
      <c r="S245" s="236"/>
      <c r="T245" s="236"/>
    </row>
    <row r="246" spans="1:20" ht="15" customHeight="1" x14ac:dyDescent="0.2">
      <c r="A246" s="229"/>
      <c r="B246" s="235"/>
      <c r="C246" s="157" t="s">
        <v>3151</v>
      </c>
      <c r="D246" s="235" t="s">
        <v>193</v>
      </c>
      <c r="E246" s="235">
        <v>1</v>
      </c>
      <c r="F246" s="235" t="str">
        <f>IF(AND(ISNA(VLOOKUP(D246,A:A,1,FALSE())),ISNA(VLOOKUP(D246,BaseType!A:A,1,FALSE())),D246&lt;&gt;"Struct"),"N","Y")</f>
        <v>Y</v>
      </c>
      <c r="G246" s="183"/>
      <c r="H246" s="157"/>
      <c r="I246" s="157"/>
      <c r="J246" s="157"/>
      <c r="K246" s="157"/>
      <c r="L246" s="157"/>
      <c r="M246" s="157"/>
      <c r="N246" s="236"/>
      <c r="O246" s="236"/>
      <c r="P246" s="236"/>
      <c r="Q246" s="236"/>
      <c r="R246" s="236"/>
      <c r="S246" s="236"/>
      <c r="T246" s="236"/>
    </row>
    <row r="247" spans="1:20" ht="15" customHeight="1" x14ac:dyDescent="0.2">
      <c r="A247" s="229"/>
      <c r="B247" s="235"/>
      <c r="C247" s="157" t="s">
        <v>3152</v>
      </c>
      <c r="D247" s="235" t="s">
        <v>193</v>
      </c>
      <c r="E247" s="235">
        <v>1</v>
      </c>
      <c r="F247" s="235" t="str">
        <f>IF(AND(ISNA(VLOOKUP(D247,A:A,1,FALSE())),ISNA(VLOOKUP(D247,BaseType!A:A,1,FALSE())),D247&lt;&gt;"Struct"),"N","Y")</f>
        <v>Y</v>
      </c>
      <c r="G247" s="183"/>
      <c r="H247" s="157"/>
      <c r="I247" s="157"/>
      <c r="J247" s="157"/>
      <c r="K247" s="157"/>
      <c r="L247" s="157"/>
      <c r="M247" s="157"/>
      <c r="N247" s="236"/>
      <c r="O247" s="236"/>
      <c r="P247" s="236"/>
      <c r="Q247" s="236"/>
      <c r="R247" s="236"/>
      <c r="S247" s="236"/>
      <c r="T247" s="236"/>
    </row>
    <row r="248" spans="1:20" ht="15" customHeight="1" x14ac:dyDescent="0.2">
      <c r="A248" s="229"/>
      <c r="B248" s="235"/>
      <c r="C248" s="157" t="s">
        <v>3153</v>
      </c>
      <c r="D248" s="235" t="s">
        <v>193</v>
      </c>
      <c r="E248" s="235">
        <v>1</v>
      </c>
      <c r="F248" s="235" t="str">
        <f>IF(AND(ISNA(VLOOKUP(D248,A:A,1,FALSE())),ISNA(VLOOKUP(D248,BaseType!A:A,1,FALSE())),D248&lt;&gt;"Struct"),"N","Y")</f>
        <v>Y</v>
      </c>
      <c r="G248" s="183"/>
      <c r="H248" s="157"/>
      <c r="I248" s="157"/>
      <c r="J248" s="157"/>
      <c r="K248" s="157"/>
      <c r="L248" s="157"/>
      <c r="M248" s="157"/>
      <c r="N248" s="236"/>
      <c r="O248" s="236"/>
      <c r="P248" s="236"/>
      <c r="Q248" s="236"/>
      <c r="R248" s="236"/>
      <c r="S248" s="236"/>
      <c r="T248" s="236"/>
    </row>
    <row r="249" spans="1:20" ht="15" customHeight="1" x14ac:dyDescent="0.2">
      <c r="A249" s="229"/>
      <c r="B249" s="235"/>
      <c r="C249" s="157" t="s">
        <v>3154</v>
      </c>
      <c r="D249" s="235" t="s">
        <v>193</v>
      </c>
      <c r="E249" s="235">
        <v>1</v>
      </c>
      <c r="F249" s="235" t="str">
        <f>IF(AND(ISNA(VLOOKUP(D249,A:A,1,FALSE())),ISNA(VLOOKUP(D249,BaseType!A:A,1,FALSE())),D249&lt;&gt;"Struct"),"N","Y")</f>
        <v>Y</v>
      </c>
      <c r="G249" s="183"/>
      <c r="H249" s="157"/>
      <c r="I249" s="157"/>
      <c r="J249" s="157"/>
      <c r="K249" s="157"/>
      <c r="L249" s="157"/>
      <c r="M249" s="157"/>
      <c r="N249" s="236"/>
      <c r="O249" s="236"/>
      <c r="P249" s="236"/>
      <c r="Q249" s="236"/>
      <c r="R249" s="236"/>
      <c r="S249" s="236"/>
      <c r="T249" s="236"/>
    </row>
    <row r="250" spans="1:20" ht="15" customHeight="1" x14ac:dyDescent="0.2">
      <c r="A250" s="229"/>
      <c r="B250" s="235"/>
      <c r="C250" s="157" t="s">
        <v>3155</v>
      </c>
      <c r="D250" s="235" t="s">
        <v>193</v>
      </c>
      <c r="E250" s="235">
        <v>1</v>
      </c>
      <c r="F250" s="235" t="str">
        <f>IF(AND(ISNA(VLOOKUP(D250,A:A,1,FALSE())),ISNA(VLOOKUP(D250,BaseType!A:A,1,FALSE())),D250&lt;&gt;"Struct"),"N","Y")</f>
        <v>Y</v>
      </c>
      <c r="G250" s="183"/>
      <c r="H250" s="157"/>
      <c r="I250" s="157"/>
      <c r="J250" s="157"/>
      <c r="K250" s="157"/>
      <c r="L250" s="157"/>
      <c r="M250" s="157"/>
      <c r="N250" s="236"/>
      <c r="O250" s="236"/>
      <c r="P250" s="236"/>
      <c r="Q250" s="236"/>
      <c r="R250" s="236"/>
      <c r="S250" s="236"/>
      <c r="T250" s="236"/>
    </row>
    <row r="251" spans="1:20" ht="15" customHeight="1" x14ac:dyDescent="0.2">
      <c r="A251" s="229"/>
      <c r="B251" s="235"/>
      <c r="C251" s="157" t="s">
        <v>3156</v>
      </c>
      <c r="D251" s="235" t="s">
        <v>193</v>
      </c>
      <c r="E251" s="235">
        <v>1</v>
      </c>
      <c r="F251" s="235" t="str">
        <f>IF(AND(ISNA(VLOOKUP(D251,A:A,1,FALSE())),ISNA(VLOOKUP(D251,BaseType!A:A,1,FALSE())),D251&lt;&gt;"Struct"),"N","Y")</f>
        <v>Y</v>
      </c>
      <c r="G251" s="183"/>
      <c r="H251" s="157"/>
      <c r="I251" s="157"/>
      <c r="J251" s="157"/>
      <c r="K251" s="157"/>
      <c r="L251" s="157"/>
      <c r="M251" s="157"/>
      <c r="N251" s="236"/>
      <c r="O251" s="236"/>
      <c r="P251" s="236"/>
      <c r="Q251" s="236"/>
      <c r="R251" s="236"/>
      <c r="S251" s="236"/>
      <c r="T251" s="236"/>
    </row>
    <row r="252" spans="1:20" ht="15" customHeight="1" x14ac:dyDescent="0.2">
      <c r="A252" s="229"/>
      <c r="B252" s="235"/>
      <c r="C252" s="157" t="s">
        <v>3157</v>
      </c>
      <c r="D252" s="235" t="s">
        <v>193</v>
      </c>
      <c r="E252" s="235">
        <v>1</v>
      </c>
      <c r="F252" s="235" t="str">
        <f>IF(AND(ISNA(VLOOKUP(D252,A:A,1,FALSE())),ISNA(VLOOKUP(D252,BaseType!A:A,1,FALSE())),D252&lt;&gt;"Struct"),"N","Y")</f>
        <v>Y</v>
      </c>
      <c r="G252" s="183"/>
      <c r="H252" s="157"/>
      <c r="I252" s="157"/>
      <c r="J252" s="157"/>
      <c r="K252" s="157"/>
      <c r="L252" s="157"/>
      <c r="M252" s="157"/>
      <c r="N252" s="236"/>
      <c r="O252" s="236"/>
      <c r="P252" s="236"/>
      <c r="Q252" s="236"/>
      <c r="R252" s="236"/>
      <c r="S252" s="236"/>
      <c r="T252" s="236"/>
    </row>
    <row r="253" spans="1:20" ht="15" customHeight="1" x14ac:dyDescent="0.2">
      <c r="A253" s="229"/>
      <c r="B253" s="235"/>
      <c r="C253" s="157" t="s">
        <v>3158</v>
      </c>
      <c r="D253" s="235" t="s">
        <v>193</v>
      </c>
      <c r="E253" s="235">
        <v>1</v>
      </c>
      <c r="F253" s="235" t="str">
        <f>IF(AND(ISNA(VLOOKUP(D253,A:A,1,FALSE())),ISNA(VLOOKUP(D253,BaseType!A:A,1,FALSE())),D253&lt;&gt;"Struct"),"N","Y")</f>
        <v>Y</v>
      </c>
      <c r="G253" s="183"/>
      <c r="H253" s="157"/>
      <c r="I253" s="157"/>
      <c r="J253" s="157"/>
      <c r="K253" s="157"/>
      <c r="L253" s="157"/>
      <c r="M253" s="157"/>
      <c r="N253" s="236"/>
      <c r="O253" s="236"/>
      <c r="P253" s="236"/>
      <c r="Q253" s="236"/>
      <c r="R253" s="236"/>
      <c r="S253" s="236"/>
      <c r="T253" s="236"/>
    </row>
    <row r="254" spans="1:20" ht="15" customHeight="1" x14ac:dyDescent="0.2">
      <c r="A254" s="229"/>
      <c r="B254" s="235"/>
      <c r="C254" s="157" t="s">
        <v>3159</v>
      </c>
      <c r="D254" s="235" t="s">
        <v>193</v>
      </c>
      <c r="E254" s="235">
        <v>1</v>
      </c>
      <c r="F254" s="235" t="str">
        <f>IF(AND(ISNA(VLOOKUP(D254,A:A,1,FALSE())),ISNA(VLOOKUP(D254,BaseType!A:A,1,FALSE())),D254&lt;&gt;"Struct"),"N","Y")</f>
        <v>Y</v>
      </c>
      <c r="G254" s="183"/>
      <c r="H254" s="157"/>
      <c r="I254" s="157"/>
      <c r="J254" s="157"/>
      <c r="K254" s="157"/>
      <c r="L254" s="157"/>
      <c r="M254" s="157"/>
      <c r="N254" s="236"/>
      <c r="O254" s="236"/>
      <c r="P254" s="236"/>
      <c r="Q254" s="236"/>
      <c r="R254" s="236"/>
      <c r="S254" s="236"/>
      <c r="T254" s="236"/>
    </row>
    <row r="255" spans="1:20" ht="15" customHeight="1" x14ac:dyDescent="0.2">
      <c r="A255" s="229"/>
      <c r="B255" s="235"/>
      <c r="C255" s="157" t="s">
        <v>3160</v>
      </c>
      <c r="D255" s="235" t="s">
        <v>193</v>
      </c>
      <c r="E255" s="235">
        <v>1</v>
      </c>
      <c r="F255" s="235" t="str">
        <f>IF(AND(ISNA(VLOOKUP(D255,A:A,1,FALSE())),ISNA(VLOOKUP(D255,BaseType!A:A,1,FALSE())),D255&lt;&gt;"Struct"),"N","Y")</f>
        <v>Y</v>
      </c>
      <c r="G255" s="183"/>
      <c r="H255" s="157"/>
      <c r="I255" s="157"/>
      <c r="J255" s="157"/>
      <c r="K255" s="157"/>
      <c r="L255" s="157"/>
      <c r="M255" s="157"/>
      <c r="N255" s="236"/>
      <c r="O255" s="236"/>
      <c r="P255" s="236"/>
      <c r="Q255" s="236"/>
      <c r="R255" s="236"/>
      <c r="S255" s="236"/>
      <c r="T255" s="236"/>
    </row>
    <row r="256" spans="1:20" ht="15" customHeight="1" x14ac:dyDescent="0.2">
      <c r="A256" s="229"/>
      <c r="B256" s="235"/>
      <c r="C256" s="157" t="s">
        <v>3161</v>
      </c>
      <c r="D256" s="235" t="s">
        <v>193</v>
      </c>
      <c r="E256" s="235">
        <v>1</v>
      </c>
      <c r="F256" s="235" t="str">
        <f>IF(AND(ISNA(VLOOKUP(D256,A:A,1,FALSE())),ISNA(VLOOKUP(D256,BaseType!A:A,1,FALSE())),D256&lt;&gt;"Struct"),"N","Y")</f>
        <v>Y</v>
      </c>
      <c r="G256" s="183"/>
      <c r="H256" s="157"/>
      <c r="I256" s="157"/>
      <c r="J256" s="157"/>
      <c r="K256" s="157"/>
      <c r="L256" s="157"/>
      <c r="M256" s="157"/>
      <c r="N256" s="236"/>
      <c r="O256" s="236"/>
      <c r="P256" s="236"/>
      <c r="Q256" s="236"/>
      <c r="R256" s="236"/>
      <c r="S256" s="236"/>
      <c r="T256" s="236"/>
    </row>
    <row r="257" spans="1:20" ht="15" customHeight="1" x14ac:dyDescent="0.2">
      <c r="A257" s="229"/>
      <c r="B257" s="235"/>
      <c r="C257" s="157" t="s">
        <v>3162</v>
      </c>
      <c r="D257" s="235" t="s">
        <v>193</v>
      </c>
      <c r="E257" s="235">
        <v>1</v>
      </c>
      <c r="F257" s="235" t="str">
        <f>IF(AND(ISNA(VLOOKUP(D257,A:A,1,FALSE())),ISNA(VLOOKUP(D257,BaseType!A:A,1,FALSE())),D257&lt;&gt;"Struct"),"N","Y")</f>
        <v>Y</v>
      </c>
      <c r="G257" s="183"/>
      <c r="H257" s="157"/>
      <c r="I257" s="157"/>
      <c r="J257" s="157"/>
      <c r="K257" s="157"/>
      <c r="L257" s="157"/>
      <c r="M257" s="157"/>
      <c r="N257" s="236"/>
      <c r="O257" s="236"/>
      <c r="P257" s="236"/>
      <c r="Q257" s="236"/>
      <c r="R257" s="236"/>
      <c r="S257" s="236"/>
      <c r="T257" s="236"/>
    </row>
    <row r="258" spans="1:20" ht="15" customHeight="1" x14ac:dyDescent="0.2">
      <c r="A258" s="229"/>
      <c r="B258" s="235"/>
      <c r="C258" s="157" t="s">
        <v>3163</v>
      </c>
      <c r="D258" s="235" t="s">
        <v>193</v>
      </c>
      <c r="E258" s="235">
        <v>1</v>
      </c>
      <c r="F258" s="235" t="str">
        <f>IF(AND(ISNA(VLOOKUP(D258,A:A,1,FALSE())),ISNA(VLOOKUP(D258,BaseType!A:A,1,FALSE())),D258&lt;&gt;"Struct"),"N","Y")</f>
        <v>Y</v>
      </c>
      <c r="G258" s="183"/>
      <c r="H258" s="157"/>
      <c r="I258" s="157"/>
      <c r="J258" s="157"/>
      <c r="K258" s="157"/>
      <c r="L258" s="157"/>
      <c r="M258" s="157"/>
      <c r="N258" s="236"/>
      <c r="O258" s="236"/>
      <c r="P258" s="236"/>
      <c r="Q258" s="236"/>
      <c r="R258" s="236"/>
      <c r="S258" s="236"/>
      <c r="T258" s="236"/>
    </row>
    <row r="259" spans="1:20" ht="15" customHeight="1" x14ac:dyDescent="0.2">
      <c r="A259" s="229"/>
      <c r="B259" s="235"/>
      <c r="C259" s="157" t="s">
        <v>3164</v>
      </c>
      <c r="D259" s="235" t="s">
        <v>193</v>
      </c>
      <c r="E259" s="235">
        <v>1</v>
      </c>
      <c r="F259" s="235" t="str">
        <f>IF(AND(ISNA(VLOOKUP(D259,A:A,1,FALSE())),ISNA(VLOOKUP(D259,BaseType!A:A,1,FALSE())),D259&lt;&gt;"Struct"),"N","Y")</f>
        <v>Y</v>
      </c>
      <c r="G259" s="183"/>
      <c r="H259" s="157"/>
      <c r="I259" s="157"/>
      <c r="J259" s="157"/>
      <c r="K259" s="157"/>
      <c r="L259" s="157"/>
      <c r="M259" s="157"/>
      <c r="N259" s="236"/>
      <c r="O259" s="236"/>
      <c r="P259" s="236"/>
      <c r="Q259" s="236"/>
      <c r="R259" s="236"/>
      <c r="S259" s="236"/>
      <c r="T259" s="236"/>
    </row>
    <row r="260" spans="1:20" ht="15" customHeight="1" x14ac:dyDescent="0.2">
      <c r="A260" s="229"/>
      <c r="B260" s="235"/>
      <c r="C260" s="157" t="s">
        <v>3165</v>
      </c>
      <c r="D260" s="235" t="s">
        <v>193</v>
      </c>
      <c r="E260" s="235">
        <v>1</v>
      </c>
      <c r="F260" s="235" t="str">
        <f>IF(AND(ISNA(VLOOKUP(D260,A:A,1,FALSE())),ISNA(VLOOKUP(D260,BaseType!A:A,1,FALSE())),D260&lt;&gt;"Struct"),"N","Y")</f>
        <v>Y</v>
      </c>
      <c r="G260" s="183"/>
      <c r="H260" s="157"/>
      <c r="I260" s="157"/>
      <c r="J260" s="157"/>
      <c r="K260" s="157"/>
      <c r="L260" s="157"/>
      <c r="M260" s="157"/>
      <c r="N260" s="236"/>
      <c r="O260" s="236"/>
      <c r="P260" s="236"/>
      <c r="Q260" s="236"/>
      <c r="R260" s="236"/>
      <c r="S260" s="236"/>
      <c r="T260" s="236"/>
    </row>
    <row r="261" spans="1:20" ht="15" customHeight="1" x14ac:dyDescent="0.2">
      <c r="A261" s="229"/>
      <c r="B261" s="235"/>
      <c r="C261" s="157" t="s">
        <v>3166</v>
      </c>
      <c r="D261" s="235" t="s">
        <v>193</v>
      </c>
      <c r="E261" s="235">
        <v>1</v>
      </c>
      <c r="F261" s="235" t="str">
        <f>IF(AND(ISNA(VLOOKUP(D261,A:A,1,FALSE())),ISNA(VLOOKUP(D261,BaseType!A:A,1,FALSE())),D261&lt;&gt;"Struct"),"N","Y")</f>
        <v>Y</v>
      </c>
      <c r="G261" s="183"/>
      <c r="H261" s="157"/>
      <c r="I261" s="157"/>
      <c r="J261" s="157"/>
      <c r="K261" s="157"/>
      <c r="L261" s="157"/>
      <c r="M261" s="157"/>
      <c r="N261" s="236"/>
      <c r="O261" s="236"/>
      <c r="P261" s="236"/>
      <c r="Q261" s="236"/>
      <c r="R261" s="236"/>
      <c r="S261" s="236"/>
      <c r="T261" s="236"/>
    </row>
    <row r="262" spans="1:20" ht="15" customHeight="1" x14ac:dyDescent="0.2">
      <c r="A262" s="238" t="s">
        <v>2854</v>
      </c>
      <c r="B262" s="235" t="str">
        <f>IF(ISBLANK(A262),"",IF(AND(ISNA(VLOOKUP(A262,Interface_T1GC!E:E,1,FALSE())),ISNA(VLOOKUP(A262,D:D,1,FALSE()))),"N","Y"))</f>
        <v>Y</v>
      </c>
      <c r="C262" s="157"/>
      <c r="D262" s="235" t="s">
        <v>484</v>
      </c>
      <c r="E262" s="235"/>
      <c r="F262" s="235" t="str">
        <f>IF(AND(ISNA(VLOOKUP(D262,A:A,1,FALSE())),ISNA(VLOOKUP(D262,BaseType!A:A,1,FALSE())),D262&lt;&gt;"Struct"),"N","Y")</f>
        <v>Y</v>
      </c>
      <c r="G262" s="183"/>
      <c r="H262" s="157"/>
      <c r="I262" s="157"/>
      <c r="J262" s="157"/>
      <c r="K262" s="157"/>
      <c r="L262" s="157"/>
      <c r="M262" s="157"/>
      <c r="N262" s="236"/>
      <c r="O262" s="236"/>
      <c r="P262" s="236"/>
      <c r="Q262" s="236"/>
      <c r="R262" s="236"/>
      <c r="S262" s="236"/>
      <c r="T262" s="236"/>
    </row>
    <row r="263" spans="1:20" ht="15" customHeight="1" x14ac:dyDescent="0.2">
      <c r="A263" s="229"/>
      <c r="B263" s="235"/>
      <c r="C263" s="157" t="s">
        <v>3167</v>
      </c>
      <c r="D263" s="235" t="s">
        <v>193</v>
      </c>
      <c r="E263" s="235">
        <v>1</v>
      </c>
      <c r="F263" s="235" t="str">
        <f>IF(AND(ISNA(VLOOKUP(D263,A:A,1,FALSE())),ISNA(VLOOKUP(D263,BaseType!A:A,1,FALSE())),D263&lt;&gt;"Struct"),"N","Y")</f>
        <v>Y</v>
      </c>
      <c r="G263" s="183"/>
      <c r="H263" s="157"/>
      <c r="I263" s="157"/>
      <c r="J263" s="157"/>
      <c r="K263" s="157"/>
      <c r="L263" s="157"/>
      <c r="M263" s="157"/>
      <c r="N263" s="236"/>
      <c r="O263" s="236"/>
      <c r="P263" s="236"/>
      <c r="Q263" s="236"/>
      <c r="R263" s="236"/>
      <c r="S263" s="236"/>
      <c r="T263" s="236"/>
    </row>
    <row r="264" spans="1:20" ht="15" customHeight="1" x14ac:dyDescent="0.2">
      <c r="A264" s="229"/>
      <c r="B264" s="235"/>
      <c r="C264" s="157" t="s">
        <v>3168</v>
      </c>
      <c r="D264" s="235" t="s">
        <v>764</v>
      </c>
      <c r="E264" s="235">
        <v>1</v>
      </c>
      <c r="F264" s="235" t="str">
        <f>IF(AND(ISNA(VLOOKUP(D264,A:A,1,FALSE())),ISNA(VLOOKUP(D264,BaseType!A:A,1,FALSE())),D264&lt;&gt;"Struct"),"N","Y")</f>
        <v>Y</v>
      </c>
      <c r="G264" s="183"/>
      <c r="H264" s="157"/>
      <c r="I264" s="157"/>
      <c r="J264" s="157"/>
      <c r="K264" s="157"/>
      <c r="L264" s="157"/>
      <c r="M264" s="157"/>
      <c r="N264" s="236"/>
      <c r="O264" s="236"/>
      <c r="P264" s="236"/>
      <c r="Q264" s="236"/>
      <c r="R264" s="236"/>
      <c r="S264" s="236"/>
      <c r="T264" s="236"/>
    </row>
    <row r="265" spans="1:20" ht="15" customHeight="1" x14ac:dyDescent="0.2">
      <c r="A265" s="229"/>
      <c r="B265" s="235"/>
      <c r="C265" s="157" t="s">
        <v>3169</v>
      </c>
      <c r="D265" s="235" t="s">
        <v>193</v>
      </c>
      <c r="E265" s="235">
        <v>1</v>
      </c>
      <c r="F265" s="235" t="str">
        <f>IF(AND(ISNA(VLOOKUP(D265,A:A,1,FALSE())),ISNA(VLOOKUP(D265,BaseType!A:A,1,FALSE())),D265&lt;&gt;"Struct"),"N","Y")</f>
        <v>Y</v>
      </c>
      <c r="G265" s="183"/>
      <c r="H265" s="157"/>
      <c r="I265" s="157"/>
      <c r="J265" s="157"/>
      <c r="K265" s="157"/>
      <c r="L265" s="157"/>
      <c r="M265" s="157"/>
      <c r="N265" s="236"/>
      <c r="O265" s="236"/>
      <c r="P265" s="236"/>
      <c r="Q265" s="236"/>
      <c r="R265" s="236"/>
      <c r="S265" s="236"/>
      <c r="T265" s="236"/>
    </row>
    <row r="266" spans="1:20" ht="15" customHeight="1" x14ac:dyDescent="0.2">
      <c r="A266" s="229"/>
      <c r="B266" s="235"/>
      <c r="C266" s="157" t="s">
        <v>3170</v>
      </c>
      <c r="D266" s="235" t="s">
        <v>193</v>
      </c>
      <c r="E266" s="235">
        <v>1</v>
      </c>
      <c r="F266" s="235" t="str">
        <f>IF(AND(ISNA(VLOOKUP(D266,A:A,1,FALSE())),ISNA(VLOOKUP(D266,BaseType!A:A,1,FALSE())),D266&lt;&gt;"Struct"),"N","Y")</f>
        <v>Y</v>
      </c>
      <c r="G266" s="183"/>
      <c r="H266" s="157"/>
      <c r="I266" s="157"/>
      <c r="J266" s="157"/>
      <c r="K266" s="157"/>
      <c r="L266" s="157"/>
      <c r="M266" s="157"/>
      <c r="N266" s="236"/>
      <c r="O266" s="236"/>
      <c r="P266" s="236"/>
      <c r="Q266" s="236"/>
      <c r="R266" s="236"/>
      <c r="S266" s="236"/>
      <c r="T266" s="236"/>
    </row>
    <row r="267" spans="1:20" ht="15" customHeight="1" x14ac:dyDescent="0.2">
      <c r="A267" s="229"/>
      <c r="B267" s="235"/>
      <c r="C267" s="157" t="s">
        <v>3171</v>
      </c>
      <c r="D267" s="235" t="s">
        <v>193</v>
      </c>
      <c r="E267" s="235">
        <v>1</v>
      </c>
      <c r="F267" s="235" t="str">
        <f>IF(AND(ISNA(VLOOKUP(D267,A:A,1,FALSE())),ISNA(VLOOKUP(D267,BaseType!A:A,1,FALSE())),D267&lt;&gt;"Struct"),"N","Y")</f>
        <v>Y</v>
      </c>
      <c r="G267" s="183"/>
      <c r="H267" s="157"/>
      <c r="I267" s="157"/>
      <c r="J267" s="157"/>
      <c r="K267" s="157"/>
      <c r="L267" s="157"/>
      <c r="M267" s="157"/>
      <c r="N267" s="236"/>
      <c r="O267" s="236"/>
      <c r="P267" s="236"/>
      <c r="Q267" s="236"/>
      <c r="R267" s="236"/>
      <c r="S267" s="236"/>
      <c r="T267" s="236"/>
    </row>
    <row r="268" spans="1:20" ht="15" customHeight="1" x14ac:dyDescent="0.2">
      <c r="A268" s="229"/>
      <c r="B268" s="235"/>
      <c r="C268" s="157" t="s">
        <v>3172</v>
      </c>
      <c r="D268" s="235" t="s">
        <v>193</v>
      </c>
      <c r="E268" s="235">
        <v>1</v>
      </c>
      <c r="F268" s="235" t="str">
        <f>IF(AND(ISNA(VLOOKUP(D268,A:A,1,FALSE())),ISNA(VLOOKUP(D268,BaseType!A:A,1,FALSE())),D268&lt;&gt;"Struct"),"N","Y")</f>
        <v>Y</v>
      </c>
      <c r="G268" s="183"/>
      <c r="H268" s="157"/>
      <c r="I268" s="157"/>
      <c r="J268" s="157"/>
      <c r="K268" s="157"/>
      <c r="L268" s="157"/>
      <c r="M268" s="157"/>
      <c r="N268" s="236"/>
      <c r="O268" s="236"/>
      <c r="P268" s="236"/>
      <c r="Q268" s="236"/>
      <c r="R268" s="236"/>
      <c r="S268" s="236"/>
      <c r="T268" s="236"/>
    </row>
    <row r="269" spans="1:20" ht="15" customHeight="1" x14ac:dyDescent="0.2">
      <c r="A269" s="229"/>
      <c r="B269" s="235"/>
      <c r="C269" s="157" t="s">
        <v>3173</v>
      </c>
      <c r="D269" s="235" t="s">
        <v>193</v>
      </c>
      <c r="E269" s="235">
        <v>1</v>
      </c>
      <c r="F269" s="235" t="str">
        <f>IF(AND(ISNA(VLOOKUP(D269,A:A,1,FALSE())),ISNA(VLOOKUP(D269,BaseType!A:A,1,FALSE())),D269&lt;&gt;"Struct"),"N","Y")</f>
        <v>Y</v>
      </c>
      <c r="G269" s="183"/>
      <c r="H269" s="157"/>
      <c r="I269" s="157"/>
      <c r="J269" s="157"/>
      <c r="K269" s="157"/>
      <c r="L269" s="157"/>
      <c r="M269" s="157"/>
      <c r="N269" s="236"/>
      <c r="O269" s="236"/>
      <c r="P269" s="236"/>
      <c r="Q269" s="236"/>
      <c r="R269" s="236"/>
      <c r="S269" s="236"/>
      <c r="T269" s="236"/>
    </row>
    <row r="270" spans="1:20" ht="15" customHeight="1" x14ac:dyDescent="0.2">
      <c r="A270" s="229"/>
      <c r="B270" s="235"/>
      <c r="C270" s="157" t="s">
        <v>2570</v>
      </c>
      <c r="D270" s="235" t="s">
        <v>193</v>
      </c>
      <c r="E270" s="235">
        <v>1</v>
      </c>
      <c r="F270" s="235" t="str">
        <f>IF(AND(ISNA(VLOOKUP(D270,A:A,1,FALSE())),ISNA(VLOOKUP(D270,BaseType!A:A,1,FALSE())),D270&lt;&gt;"Struct"),"N","Y")</f>
        <v>Y</v>
      </c>
      <c r="G270" s="183"/>
      <c r="H270" s="157"/>
      <c r="I270" s="157"/>
      <c r="J270" s="157"/>
      <c r="K270" s="157"/>
      <c r="L270" s="157"/>
      <c r="M270" s="157"/>
      <c r="N270" s="236"/>
      <c r="O270" s="236"/>
      <c r="P270" s="236"/>
      <c r="Q270" s="236"/>
      <c r="R270" s="236"/>
      <c r="S270" s="236"/>
      <c r="T270" s="236"/>
    </row>
    <row r="271" spans="1:20" ht="15" customHeight="1" x14ac:dyDescent="0.2">
      <c r="A271" s="229"/>
      <c r="B271" s="235"/>
      <c r="C271" s="157" t="s">
        <v>3174</v>
      </c>
      <c r="D271" s="235" t="s">
        <v>193</v>
      </c>
      <c r="E271" s="235">
        <v>1</v>
      </c>
      <c r="F271" s="235" t="str">
        <f>IF(AND(ISNA(VLOOKUP(D271,A:A,1,FALSE())),ISNA(VLOOKUP(D271,BaseType!A:A,1,FALSE())),D271&lt;&gt;"Struct"),"N","Y")</f>
        <v>Y</v>
      </c>
      <c r="G271" s="183"/>
      <c r="H271" s="157"/>
      <c r="I271" s="157"/>
      <c r="J271" s="157"/>
      <c r="K271" s="157"/>
      <c r="L271" s="157"/>
      <c r="M271" s="157"/>
      <c r="N271" s="236"/>
      <c r="O271" s="236"/>
      <c r="P271" s="236"/>
      <c r="Q271" s="236"/>
      <c r="R271" s="236"/>
      <c r="S271" s="236"/>
      <c r="T271" s="236"/>
    </row>
    <row r="272" spans="1:20" ht="15" customHeight="1" x14ac:dyDescent="0.2">
      <c r="A272" s="229"/>
      <c r="B272" s="235"/>
      <c r="C272" s="157" t="s">
        <v>3175</v>
      </c>
      <c r="D272" s="235" t="s">
        <v>193</v>
      </c>
      <c r="E272" s="235">
        <v>1</v>
      </c>
      <c r="F272" s="235" t="str">
        <f>IF(AND(ISNA(VLOOKUP(D272,A:A,1,FALSE())),ISNA(VLOOKUP(D272,BaseType!A:A,1,FALSE())),D272&lt;&gt;"Struct"),"N","Y")</f>
        <v>Y</v>
      </c>
      <c r="G272" s="183"/>
      <c r="H272" s="157"/>
      <c r="I272" s="157"/>
      <c r="J272" s="157"/>
      <c r="K272" s="157"/>
      <c r="L272" s="157"/>
      <c r="M272" s="157"/>
      <c r="N272" s="236"/>
      <c r="O272" s="236"/>
      <c r="P272" s="236"/>
      <c r="Q272" s="236"/>
      <c r="R272" s="236"/>
      <c r="S272" s="236"/>
      <c r="T272" s="236"/>
    </row>
    <row r="273" spans="1:20" ht="15" customHeight="1" x14ac:dyDescent="0.2">
      <c r="A273" s="229"/>
      <c r="B273" s="235"/>
      <c r="C273" s="157" t="s">
        <v>3176</v>
      </c>
      <c r="D273" s="235" t="s">
        <v>193</v>
      </c>
      <c r="E273" s="235">
        <v>1</v>
      </c>
      <c r="F273" s="235" t="str">
        <f>IF(AND(ISNA(VLOOKUP(D273,A:A,1,FALSE())),ISNA(VLOOKUP(D273,BaseType!A:A,1,FALSE())),D273&lt;&gt;"Struct"),"N","Y")</f>
        <v>Y</v>
      </c>
      <c r="G273" s="183"/>
      <c r="H273" s="157"/>
      <c r="I273" s="157"/>
      <c r="J273" s="157"/>
      <c r="K273" s="157"/>
      <c r="L273" s="157"/>
      <c r="M273" s="157"/>
      <c r="N273" s="236"/>
      <c r="O273" s="236"/>
      <c r="P273" s="236"/>
      <c r="Q273" s="236"/>
      <c r="R273" s="236"/>
      <c r="S273" s="236"/>
      <c r="T273" s="236"/>
    </row>
    <row r="274" spans="1:20" ht="15" customHeight="1" x14ac:dyDescent="0.2">
      <c r="A274" s="229"/>
      <c r="B274" s="235"/>
      <c r="C274" s="157" t="s">
        <v>3177</v>
      </c>
      <c r="D274" s="235" t="s">
        <v>193</v>
      </c>
      <c r="E274" s="235">
        <v>1</v>
      </c>
      <c r="F274" s="235" t="str">
        <f>IF(AND(ISNA(VLOOKUP(D274,A:A,1,FALSE())),ISNA(VLOOKUP(D274,BaseType!A:A,1,FALSE())),D274&lt;&gt;"Struct"),"N","Y")</f>
        <v>Y</v>
      </c>
      <c r="G274" s="183"/>
      <c r="H274" s="157"/>
      <c r="I274" s="157"/>
      <c r="J274" s="157"/>
      <c r="K274" s="157"/>
      <c r="L274" s="157"/>
      <c r="M274" s="157"/>
      <c r="N274" s="236"/>
      <c r="O274" s="236"/>
      <c r="P274" s="236"/>
      <c r="Q274" s="236"/>
      <c r="R274" s="236"/>
      <c r="S274" s="236"/>
      <c r="T274" s="236"/>
    </row>
    <row r="275" spans="1:20" ht="15" customHeight="1" x14ac:dyDescent="0.2">
      <c r="A275" s="229"/>
      <c r="B275" s="235"/>
      <c r="C275" s="157" t="s">
        <v>3178</v>
      </c>
      <c r="D275" s="235" t="s">
        <v>193</v>
      </c>
      <c r="E275" s="235">
        <v>1</v>
      </c>
      <c r="F275" s="235" t="str">
        <f>IF(AND(ISNA(VLOOKUP(D275,A:A,1,FALSE())),ISNA(VLOOKUP(D275,BaseType!A:A,1,FALSE())),D275&lt;&gt;"Struct"),"N","Y")</f>
        <v>Y</v>
      </c>
      <c r="G275" s="183"/>
      <c r="H275" s="157"/>
      <c r="I275" s="157"/>
      <c r="J275" s="157"/>
      <c r="K275" s="157"/>
      <c r="L275" s="157"/>
      <c r="M275" s="157"/>
      <c r="N275" s="236"/>
      <c r="O275" s="236"/>
      <c r="P275" s="236"/>
      <c r="Q275" s="236"/>
      <c r="R275" s="236"/>
      <c r="S275" s="236"/>
      <c r="T275" s="236"/>
    </row>
    <row r="276" spans="1:20" ht="15" customHeight="1" x14ac:dyDescent="0.2">
      <c r="A276" s="229"/>
      <c r="B276" s="235"/>
      <c r="C276" s="157" t="s">
        <v>3179</v>
      </c>
      <c r="D276" s="235" t="s">
        <v>193</v>
      </c>
      <c r="E276" s="235">
        <v>1</v>
      </c>
      <c r="F276" s="235" t="str">
        <f>IF(AND(ISNA(VLOOKUP(D276,A:A,1,FALSE())),ISNA(VLOOKUP(D276,BaseType!A:A,1,FALSE())),D276&lt;&gt;"Struct"),"N","Y")</f>
        <v>Y</v>
      </c>
      <c r="G276" s="183"/>
      <c r="H276" s="157"/>
      <c r="I276" s="157"/>
      <c r="J276" s="157"/>
      <c r="K276" s="157"/>
      <c r="L276" s="157"/>
      <c r="M276" s="157"/>
      <c r="N276" s="236"/>
      <c r="O276" s="236"/>
      <c r="P276" s="236"/>
      <c r="Q276" s="236"/>
      <c r="R276" s="236"/>
      <c r="S276" s="236"/>
      <c r="T276" s="236"/>
    </row>
    <row r="277" spans="1:20" ht="15" customHeight="1" x14ac:dyDescent="0.2">
      <c r="A277" s="229"/>
      <c r="B277" s="235"/>
      <c r="C277" s="157" t="s">
        <v>1989</v>
      </c>
      <c r="D277" s="235" t="s">
        <v>193</v>
      </c>
      <c r="E277" s="235">
        <v>1</v>
      </c>
      <c r="F277" s="235" t="str">
        <f>IF(AND(ISNA(VLOOKUP(D277,A:A,1,FALSE())),ISNA(VLOOKUP(D277,BaseType!A:A,1,FALSE())),D277&lt;&gt;"Struct"),"N","Y")</f>
        <v>Y</v>
      </c>
      <c r="G277" s="183"/>
      <c r="H277" s="157"/>
      <c r="I277" s="157"/>
      <c r="J277" s="157"/>
      <c r="K277" s="157"/>
      <c r="L277" s="157"/>
      <c r="M277" s="157"/>
      <c r="N277" s="236"/>
      <c r="O277" s="236"/>
      <c r="P277" s="236"/>
      <c r="Q277" s="236"/>
      <c r="R277" s="236"/>
      <c r="S277" s="236"/>
      <c r="T277" s="236"/>
    </row>
    <row r="278" spans="1:20" ht="15" customHeight="1" x14ac:dyDescent="0.2">
      <c r="A278" s="229"/>
      <c r="B278" s="235"/>
      <c r="C278" s="157" t="s">
        <v>3180</v>
      </c>
      <c r="D278" s="235" t="s">
        <v>193</v>
      </c>
      <c r="E278" s="235">
        <v>1</v>
      </c>
      <c r="F278" s="235" t="str">
        <f>IF(AND(ISNA(VLOOKUP(D278,A:A,1,FALSE())),ISNA(VLOOKUP(D278,BaseType!A:A,1,FALSE())),D278&lt;&gt;"Struct"),"N","Y")</f>
        <v>Y</v>
      </c>
      <c r="G278" s="183"/>
      <c r="H278" s="157"/>
      <c r="I278" s="157"/>
      <c r="J278" s="157"/>
      <c r="K278" s="157"/>
      <c r="L278" s="157"/>
      <c r="M278" s="157"/>
      <c r="N278" s="236"/>
      <c r="O278" s="236"/>
      <c r="P278" s="236"/>
      <c r="Q278" s="236"/>
      <c r="R278" s="236"/>
      <c r="S278" s="236"/>
      <c r="T278" s="236"/>
    </row>
    <row r="279" spans="1:20" ht="15" customHeight="1" x14ac:dyDescent="0.2">
      <c r="A279" s="229" t="s">
        <v>2856</v>
      </c>
      <c r="B279" s="235" t="str">
        <f>IF(ISBLANK(A279),"",IF(AND(ISNA(VLOOKUP(A279,Interface_T1GC!E:E,1,FALSE())),ISNA(VLOOKUP(A279,D:D,1,FALSE()))),"N","Y"))</f>
        <v>Y</v>
      </c>
      <c r="C279" s="157"/>
      <c r="D279" s="235" t="s">
        <v>484</v>
      </c>
      <c r="E279" s="235"/>
      <c r="F279" s="235" t="str">
        <f>IF(AND(ISNA(VLOOKUP(D279,A:A,1,FALSE())),ISNA(VLOOKUP(D279,BaseType!A:A,1,FALSE())),D279&lt;&gt;"Struct"),"N","Y")</f>
        <v>Y</v>
      </c>
      <c r="G279" s="183"/>
      <c r="H279" s="157"/>
      <c r="I279" s="157"/>
      <c r="J279" s="157"/>
      <c r="K279" s="157"/>
      <c r="L279" s="157"/>
      <c r="M279" s="157"/>
      <c r="N279" s="236"/>
      <c r="O279" s="236"/>
      <c r="P279" s="236"/>
      <c r="Q279" s="236"/>
      <c r="R279" s="236"/>
      <c r="S279" s="236"/>
      <c r="T279" s="236"/>
    </row>
    <row r="280" spans="1:20" ht="15" customHeight="1" x14ac:dyDescent="0.2">
      <c r="A280" s="229"/>
      <c r="B280" s="235"/>
      <c r="C280" s="157" t="s">
        <v>3181</v>
      </c>
      <c r="D280" s="235" t="s">
        <v>193</v>
      </c>
      <c r="E280" s="235">
        <v>1</v>
      </c>
      <c r="F280" s="235" t="str">
        <f>IF(AND(ISNA(VLOOKUP(D280,A:A,1,FALSE())),ISNA(VLOOKUP(D280,BaseType!A:A,1,FALSE())),D280&lt;&gt;"Struct"),"N","Y")</f>
        <v>Y</v>
      </c>
      <c r="G280" s="183"/>
      <c r="H280" s="157"/>
      <c r="I280" s="157"/>
      <c r="J280" s="157"/>
      <c r="K280" s="157"/>
      <c r="L280" s="157"/>
      <c r="M280" s="157"/>
      <c r="N280" s="236"/>
      <c r="O280" s="236"/>
      <c r="P280" s="236"/>
      <c r="Q280" s="236"/>
      <c r="R280" s="236"/>
      <c r="S280" s="236"/>
      <c r="T280" s="236"/>
    </row>
    <row r="281" spans="1:20" ht="15" customHeight="1" x14ac:dyDescent="0.2">
      <c r="A281" s="229"/>
      <c r="B281" s="235"/>
      <c r="C281" s="157" t="s">
        <v>3182</v>
      </c>
      <c r="D281" s="235" t="s">
        <v>193</v>
      </c>
      <c r="E281" s="235">
        <v>1</v>
      </c>
      <c r="F281" s="235" t="str">
        <f>IF(AND(ISNA(VLOOKUP(D281,A:A,1,FALSE())),ISNA(VLOOKUP(D281,BaseType!A:A,1,FALSE())),D281&lt;&gt;"Struct"),"N","Y")</f>
        <v>Y</v>
      </c>
      <c r="G281" s="183"/>
      <c r="H281" s="157"/>
      <c r="I281" s="157"/>
      <c r="J281" s="157"/>
      <c r="K281" s="157"/>
      <c r="L281" s="157"/>
      <c r="M281" s="157"/>
      <c r="N281" s="236"/>
      <c r="O281" s="236"/>
      <c r="P281" s="236"/>
      <c r="Q281" s="236"/>
      <c r="R281" s="236"/>
      <c r="S281" s="236"/>
      <c r="T281" s="236"/>
    </row>
    <row r="282" spans="1:20" ht="15" customHeight="1" x14ac:dyDescent="0.2">
      <c r="A282" s="229"/>
      <c r="B282" s="235"/>
      <c r="C282" s="157" t="s">
        <v>3183</v>
      </c>
      <c r="D282" s="235" t="s">
        <v>193</v>
      </c>
      <c r="E282" s="235">
        <v>1</v>
      </c>
      <c r="F282" s="235" t="str">
        <f>IF(AND(ISNA(VLOOKUP(D282,A:A,1,FALSE())),ISNA(VLOOKUP(D282,BaseType!A:A,1,FALSE())),D282&lt;&gt;"Struct"),"N","Y")</f>
        <v>Y</v>
      </c>
      <c r="G282" s="183"/>
      <c r="H282" s="157"/>
      <c r="I282" s="157"/>
      <c r="J282" s="157"/>
      <c r="K282" s="157"/>
      <c r="L282" s="157"/>
      <c r="M282" s="157"/>
      <c r="N282" s="236"/>
      <c r="O282" s="236"/>
      <c r="P282" s="236"/>
      <c r="Q282" s="236"/>
      <c r="R282" s="236"/>
      <c r="S282" s="236"/>
      <c r="T282" s="236"/>
    </row>
    <row r="283" spans="1:20" ht="15" customHeight="1" x14ac:dyDescent="0.2">
      <c r="A283" s="229"/>
      <c r="B283" s="235"/>
      <c r="C283" s="157" t="s">
        <v>1983</v>
      </c>
      <c r="D283" s="235" t="s">
        <v>193</v>
      </c>
      <c r="E283" s="235">
        <v>1</v>
      </c>
      <c r="F283" s="235" t="str">
        <f>IF(AND(ISNA(VLOOKUP(D283,A:A,1,FALSE())),ISNA(VLOOKUP(D283,BaseType!A:A,1,FALSE())),D283&lt;&gt;"Struct"),"N","Y")</f>
        <v>Y</v>
      </c>
      <c r="G283" s="183"/>
      <c r="H283" s="157"/>
      <c r="I283" s="157"/>
      <c r="J283" s="157"/>
      <c r="K283" s="157"/>
      <c r="L283" s="157"/>
      <c r="M283" s="157"/>
      <c r="N283" s="236"/>
      <c r="O283" s="236"/>
      <c r="P283" s="236"/>
      <c r="Q283" s="236"/>
      <c r="R283" s="236"/>
      <c r="S283" s="236"/>
      <c r="T283" s="236"/>
    </row>
    <row r="284" spans="1:20" ht="15" customHeight="1" x14ac:dyDescent="0.2">
      <c r="A284" s="229"/>
      <c r="B284" s="235"/>
      <c r="C284" s="157" t="s">
        <v>1980</v>
      </c>
      <c r="D284" s="235" t="s">
        <v>764</v>
      </c>
      <c r="E284" s="235">
        <v>1</v>
      </c>
      <c r="F284" s="235" t="str">
        <f>IF(AND(ISNA(VLOOKUP(D284,A:A,1,FALSE())),ISNA(VLOOKUP(D284,BaseType!A:A,1,FALSE())),D284&lt;&gt;"Struct"),"N","Y")</f>
        <v>Y</v>
      </c>
      <c r="G284" s="183"/>
      <c r="H284" s="157"/>
      <c r="I284" s="157"/>
      <c r="J284" s="157"/>
      <c r="K284" s="157"/>
      <c r="L284" s="157"/>
      <c r="M284" s="157"/>
      <c r="N284" s="236"/>
      <c r="O284" s="236"/>
      <c r="P284" s="236"/>
      <c r="Q284" s="236"/>
      <c r="R284" s="236"/>
      <c r="S284" s="236"/>
      <c r="T284" s="236"/>
    </row>
    <row r="285" spans="1:20" ht="15" customHeight="1" x14ac:dyDescent="0.2">
      <c r="A285" s="229"/>
      <c r="B285" s="235"/>
      <c r="C285" s="157" t="s">
        <v>1987</v>
      </c>
      <c r="D285" s="235" t="s">
        <v>764</v>
      </c>
      <c r="E285" s="235">
        <v>1</v>
      </c>
      <c r="F285" s="235" t="str">
        <f>IF(AND(ISNA(VLOOKUP(D285,A:A,1,FALSE())),ISNA(VLOOKUP(D285,BaseType!A:A,1,FALSE())),D285&lt;&gt;"Struct"),"N","Y")</f>
        <v>Y</v>
      </c>
      <c r="G285" s="183"/>
      <c r="H285" s="157"/>
      <c r="I285" s="157"/>
      <c r="J285" s="157"/>
      <c r="K285" s="157"/>
      <c r="L285" s="157"/>
      <c r="M285" s="157"/>
      <c r="N285" s="236"/>
      <c r="O285" s="236"/>
      <c r="P285" s="236"/>
      <c r="Q285" s="236"/>
      <c r="R285" s="236"/>
      <c r="S285" s="236"/>
      <c r="T285" s="236"/>
    </row>
    <row r="286" spans="1:20" ht="15" customHeight="1" x14ac:dyDescent="0.2">
      <c r="A286" s="229"/>
      <c r="B286" s="235"/>
      <c r="C286" s="157" t="s">
        <v>1986</v>
      </c>
      <c r="D286" s="235" t="s">
        <v>193</v>
      </c>
      <c r="E286" s="235">
        <v>1</v>
      </c>
      <c r="F286" s="235" t="str">
        <f>IF(AND(ISNA(VLOOKUP(D286,A:A,1,FALSE())),ISNA(VLOOKUP(D286,BaseType!A:A,1,FALSE())),D286&lt;&gt;"Struct"),"N","Y")</f>
        <v>Y</v>
      </c>
      <c r="G286" s="183"/>
      <c r="H286" s="157"/>
      <c r="I286" s="157"/>
      <c r="J286" s="157"/>
      <c r="K286" s="157"/>
      <c r="L286" s="157"/>
      <c r="M286" s="157"/>
      <c r="N286" s="236"/>
      <c r="O286" s="236"/>
      <c r="P286" s="236"/>
      <c r="Q286" s="236"/>
      <c r="R286" s="236"/>
      <c r="S286" s="236"/>
      <c r="T286" s="236"/>
    </row>
    <row r="287" spans="1:20" ht="15" customHeight="1" x14ac:dyDescent="0.2">
      <c r="A287" s="229"/>
      <c r="B287" s="235"/>
      <c r="C287" s="157" t="s">
        <v>3184</v>
      </c>
      <c r="D287" s="235" t="s">
        <v>193</v>
      </c>
      <c r="E287" s="235">
        <v>1</v>
      </c>
      <c r="F287" s="235" t="str">
        <f>IF(AND(ISNA(VLOOKUP(D287,A:A,1,FALSE())),ISNA(VLOOKUP(D287,BaseType!A:A,1,FALSE())),D287&lt;&gt;"Struct"),"N","Y")</f>
        <v>Y</v>
      </c>
      <c r="G287" s="183"/>
      <c r="H287" s="157"/>
      <c r="I287" s="157"/>
      <c r="J287" s="157"/>
      <c r="K287" s="157"/>
      <c r="L287" s="157"/>
      <c r="M287" s="157"/>
      <c r="N287" s="236"/>
      <c r="O287" s="236"/>
      <c r="P287" s="236"/>
      <c r="Q287" s="236"/>
      <c r="R287" s="236"/>
      <c r="S287" s="236"/>
      <c r="T287" s="236"/>
    </row>
    <row r="288" spans="1:20" ht="15" customHeight="1" x14ac:dyDescent="0.2">
      <c r="A288" s="229"/>
      <c r="B288" s="235"/>
      <c r="C288" s="157" t="s">
        <v>3185</v>
      </c>
      <c r="D288" s="235" t="s">
        <v>193</v>
      </c>
      <c r="E288" s="235">
        <v>1</v>
      </c>
      <c r="F288" s="235" t="str">
        <f>IF(AND(ISNA(VLOOKUP(D288,A:A,1,FALSE())),ISNA(VLOOKUP(D288,BaseType!A:A,1,FALSE())),D288&lt;&gt;"Struct"),"N","Y")</f>
        <v>Y</v>
      </c>
      <c r="G288" s="183"/>
      <c r="H288" s="157"/>
      <c r="I288" s="157"/>
      <c r="J288" s="157"/>
      <c r="K288" s="157"/>
      <c r="L288" s="157"/>
      <c r="M288" s="157"/>
      <c r="N288" s="236"/>
      <c r="O288" s="236"/>
      <c r="P288" s="236"/>
      <c r="Q288" s="236"/>
      <c r="R288" s="236"/>
      <c r="S288" s="236"/>
      <c r="T288" s="236"/>
    </row>
    <row r="289" spans="1:20" ht="15" customHeight="1" x14ac:dyDescent="0.2">
      <c r="A289" s="229"/>
      <c r="B289" s="235"/>
      <c r="C289" s="157" t="s">
        <v>3186</v>
      </c>
      <c r="D289" s="235" t="s">
        <v>193</v>
      </c>
      <c r="E289" s="235">
        <v>1</v>
      </c>
      <c r="F289" s="235" t="str">
        <f>IF(AND(ISNA(VLOOKUP(D289,A:A,1,FALSE())),ISNA(VLOOKUP(D289,BaseType!A:A,1,FALSE())),D289&lt;&gt;"Struct"),"N","Y")</f>
        <v>Y</v>
      </c>
      <c r="G289" s="183"/>
      <c r="H289" s="157"/>
      <c r="I289" s="157"/>
      <c r="J289" s="157"/>
      <c r="K289" s="157"/>
      <c r="L289" s="157"/>
      <c r="M289" s="157"/>
      <c r="N289" s="236"/>
      <c r="O289" s="236"/>
      <c r="P289" s="236"/>
      <c r="Q289" s="236"/>
      <c r="R289" s="236"/>
      <c r="S289" s="236"/>
      <c r="T289" s="236"/>
    </row>
    <row r="290" spans="1:20" ht="15" customHeight="1" x14ac:dyDescent="0.2">
      <c r="A290" s="229"/>
      <c r="B290" s="235"/>
      <c r="C290" s="157" t="s">
        <v>3187</v>
      </c>
      <c r="D290" s="235" t="s">
        <v>193</v>
      </c>
      <c r="E290" s="235">
        <v>1</v>
      </c>
      <c r="F290" s="235" t="str">
        <f>IF(AND(ISNA(VLOOKUP(D290,A:A,1,FALSE())),ISNA(VLOOKUP(D290,BaseType!A:A,1,FALSE())),D290&lt;&gt;"Struct"),"N","Y")</f>
        <v>Y</v>
      </c>
      <c r="G290" s="183"/>
      <c r="H290" s="157"/>
      <c r="I290" s="157"/>
      <c r="J290" s="157"/>
      <c r="K290" s="157"/>
      <c r="L290" s="157"/>
      <c r="M290" s="157"/>
      <c r="N290" s="236"/>
      <c r="O290" s="236"/>
      <c r="P290" s="236"/>
      <c r="Q290" s="236"/>
      <c r="R290" s="236"/>
      <c r="S290" s="236"/>
      <c r="T290" s="236"/>
    </row>
    <row r="291" spans="1:20" ht="15" customHeight="1" x14ac:dyDescent="0.2">
      <c r="A291" s="229"/>
      <c r="B291" s="235"/>
      <c r="C291" s="157" t="s">
        <v>3188</v>
      </c>
      <c r="D291" s="235" t="s">
        <v>193</v>
      </c>
      <c r="E291" s="235">
        <v>1</v>
      </c>
      <c r="F291" s="235" t="str">
        <f>IF(AND(ISNA(VLOOKUP(D291,A:A,1,FALSE())),ISNA(VLOOKUP(D291,BaseType!A:A,1,FALSE())),D291&lt;&gt;"Struct"),"N","Y")</f>
        <v>Y</v>
      </c>
      <c r="G291" s="183"/>
      <c r="H291" s="157"/>
      <c r="I291" s="157"/>
      <c r="J291" s="157"/>
      <c r="K291" s="157"/>
      <c r="L291" s="157"/>
      <c r="M291" s="157"/>
      <c r="N291" s="236"/>
      <c r="O291" s="236"/>
      <c r="P291" s="236"/>
      <c r="Q291" s="236"/>
      <c r="R291" s="236"/>
      <c r="S291" s="236"/>
      <c r="T291" s="236"/>
    </row>
    <row r="292" spans="1:20" ht="15" customHeight="1" x14ac:dyDescent="0.2">
      <c r="A292" s="238" t="s">
        <v>2858</v>
      </c>
      <c r="B292" s="235" t="str">
        <f>IF(ISBLANK(A292),"",IF(AND(ISNA(VLOOKUP(A292,Interface_T1GC!E:E,1,FALSE())),ISNA(VLOOKUP(A292,D:D,1,FALSE()))),"N","Y"))</f>
        <v>Y</v>
      </c>
      <c r="C292" s="157"/>
      <c r="D292" s="237" t="s">
        <v>484</v>
      </c>
      <c r="E292" s="235"/>
      <c r="F292" s="235" t="str">
        <f>IF(AND(ISNA(VLOOKUP(D292,A:A,1,FALSE())),ISNA(VLOOKUP(D292,BaseType!A:A,1,FALSE())),D292&lt;&gt;"Struct"),"N","Y")</f>
        <v>Y</v>
      </c>
      <c r="G292" s="183"/>
      <c r="H292" s="157"/>
      <c r="I292" s="157"/>
      <c r="J292" s="157"/>
      <c r="K292" s="157"/>
      <c r="L292" s="157"/>
      <c r="M292" s="157"/>
      <c r="N292" s="236"/>
      <c r="O292" s="236"/>
      <c r="P292" s="236"/>
      <c r="Q292" s="236"/>
      <c r="R292" s="236"/>
      <c r="S292" s="236"/>
      <c r="T292" s="236"/>
    </row>
    <row r="293" spans="1:20" ht="15" customHeight="1" x14ac:dyDescent="0.2">
      <c r="A293" s="229"/>
      <c r="B293" s="235"/>
      <c r="C293" s="157" t="s">
        <v>3189</v>
      </c>
      <c r="D293" s="235" t="s">
        <v>193</v>
      </c>
      <c r="E293" s="235">
        <v>1</v>
      </c>
      <c r="F293" s="235" t="str">
        <f>IF(AND(ISNA(VLOOKUP(D293,A:A,1,FALSE())),ISNA(VLOOKUP(D293,BaseType!A:A,1,FALSE())),D293&lt;&gt;"Struct"),"N","Y")</f>
        <v>Y</v>
      </c>
      <c r="G293" s="183"/>
      <c r="H293" s="157"/>
      <c r="I293" s="157"/>
      <c r="J293" s="157"/>
      <c r="K293" s="157"/>
      <c r="L293" s="157"/>
      <c r="M293" s="157"/>
      <c r="N293" s="236"/>
      <c r="O293" s="236"/>
      <c r="P293" s="236"/>
      <c r="Q293" s="236"/>
      <c r="R293" s="236"/>
      <c r="S293" s="236"/>
      <c r="T293" s="236"/>
    </row>
    <row r="294" spans="1:20" ht="15" customHeight="1" x14ac:dyDescent="0.2">
      <c r="A294" s="229"/>
      <c r="B294" s="235"/>
      <c r="C294" s="157" t="s">
        <v>3190</v>
      </c>
      <c r="D294" s="235" t="s">
        <v>193</v>
      </c>
      <c r="E294" s="235">
        <v>1</v>
      </c>
      <c r="F294" s="235" t="str">
        <f>IF(AND(ISNA(VLOOKUP(D294,A:A,1,FALSE())),ISNA(VLOOKUP(D294,BaseType!A:A,1,FALSE())),D294&lt;&gt;"Struct"),"N","Y")</f>
        <v>Y</v>
      </c>
      <c r="G294" s="183"/>
      <c r="H294" s="157"/>
      <c r="I294" s="157"/>
      <c r="J294" s="157"/>
      <c r="K294" s="157"/>
      <c r="L294" s="157"/>
      <c r="M294" s="157"/>
      <c r="N294" s="236"/>
      <c r="O294" s="236"/>
      <c r="P294" s="236"/>
      <c r="Q294" s="236"/>
      <c r="R294" s="236"/>
      <c r="S294" s="236"/>
      <c r="T294" s="236"/>
    </row>
    <row r="295" spans="1:20" ht="15" customHeight="1" x14ac:dyDescent="0.2">
      <c r="A295" s="229"/>
      <c r="B295" s="235"/>
      <c r="C295" s="157" t="s">
        <v>3191</v>
      </c>
      <c r="D295" s="235" t="s">
        <v>193</v>
      </c>
      <c r="E295" s="235">
        <v>1</v>
      </c>
      <c r="F295" s="235" t="str">
        <f>IF(AND(ISNA(VLOOKUP(D295,A:A,1,FALSE())),ISNA(VLOOKUP(D295,BaseType!A:A,1,FALSE())),D295&lt;&gt;"Struct"),"N","Y")</f>
        <v>Y</v>
      </c>
      <c r="G295" s="183"/>
      <c r="H295" s="157"/>
      <c r="I295" s="157"/>
      <c r="J295" s="157"/>
      <c r="K295" s="157"/>
      <c r="L295" s="157"/>
      <c r="M295" s="157"/>
      <c r="N295" s="236"/>
      <c r="O295" s="236"/>
      <c r="P295" s="236"/>
      <c r="Q295" s="236"/>
      <c r="R295" s="236"/>
      <c r="S295" s="236"/>
      <c r="T295" s="236"/>
    </row>
    <row r="296" spans="1:20" ht="15" customHeight="1" x14ac:dyDescent="0.2">
      <c r="A296" s="229"/>
      <c r="B296" s="235"/>
      <c r="C296" s="157" t="s">
        <v>3192</v>
      </c>
      <c r="D296" s="235" t="s">
        <v>193</v>
      </c>
      <c r="E296" s="235">
        <v>1</v>
      </c>
      <c r="F296" s="235" t="str">
        <f>IF(AND(ISNA(VLOOKUP(D296,A:A,1,FALSE())),ISNA(VLOOKUP(D296,BaseType!A:A,1,FALSE())),D296&lt;&gt;"Struct"),"N","Y")</f>
        <v>Y</v>
      </c>
      <c r="G296" s="183"/>
      <c r="H296" s="157"/>
      <c r="I296" s="157"/>
      <c r="J296" s="157"/>
      <c r="K296" s="157"/>
      <c r="L296" s="157"/>
      <c r="M296" s="157"/>
      <c r="N296" s="236"/>
      <c r="O296" s="236"/>
      <c r="P296" s="236"/>
      <c r="Q296" s="236"/>
      <c r="R296" s="236"/>
      <c r="S296" s="236"/>
      <c r="T296" s="236"/>
    </row>
    <row r="297" spans="1:20" ht="15" customHeight="1" x14ac:dyDescent="0.2">
      <c r="A297" s="229"/>
      <c r="B297" s="235"/>
      <c r="C297" s="157" t="s">
        <v>3193</v>
      </c>
      <c r="D297" s="235" t="s">
        <v>193</v>
      </c>
      <c r="E297" s="235">
        <v>1</v>
      </c>
      <c r="F297" s="235" t="str">
        <f>IF(AND(ISNA(VLOOKUP(D297,A:A,1,FALSE())),ISNA(VLOOKUP(D297,BaseType!A:A,1,FALSE())),D297&lt;&gt;"Struct"),"N","Y")</f>
        <v>Y</v>
      </c>
      <c r="G297" s="183"/>
      <c r="H297" s="157"/>
      <c r="I297" s="157"/>
      <c r="J297" s="157"/>
      <c r="K297" s="157"/>
      <c r="L297" s="157"/>
      <c r="M297" s="157"/>
      <c r="N297" s="236"/>
      <c r="O297" s="236"/>
      <c r="P297" s="236"/>
      <c r="Q297" s="236"/>
      <c r="R297" s="236"/>
      <c r="S297" s="236"/>
      <c r="T297" s="236"/>
    </row>
    <row r="298" spans="1:20" ht="15" customHeight="1" x14ac:dyDescent="0.2">
      <c r="A298" s="229"/>
      <c r="B298" s="235"/>
      <c r="C298" s="157" t="s">
        <v>3194</v>
      </c>
      <c r="D298" s="235" t="s">
        <v>193</v>
      </c>
      <c r="E298" s="235">
        <v>1</v>
      </c>
      <c r="F298" s="235" t="str">
        <f>IF(AND(ISNA(VLOOKUP(D298,A:A,1,FALSE())),ISNA(VLOOKUP(D298,BaseType!A:A,1,FALSE())),D298&lt;&gt;"Struct"),"N","Y")</f>
        <v>Y</v>
      </c>
      <c r="G298" s="183"/>
      <c r="H298" s="157"/>
      <c r="I298" s="157"/>
      <c r="J298" s="157"/>
      <c r="K298" s="157"/>
      <c r="L298" s="157"/>
      <c r="M298" s="157"/>
      <c r="N298" s="236"/>
      <c r="O298" s="236"/>
      <c r="P298" s="236"/>
      <c r="Q298" s="236"/>
      <c r="R298" s="236"/>
      <c r="S298" s="236"/>
      <c r="T298" s="236"/>
    </row>
    <row r="299" spans="1:20" ht="15" customHeight="1" x14ac:dyDescent="0.2">
      <c r="A299" s="229"/>
      <c r="B299" s="235"/>
      <c r="C299" s="157" t="s">
        <v>3195</v>
      </c>
      <c r="D299" s="235" t="s">
        <v>193</v>
      </c>
      <c r="E299" s="235">
        <v>1</v>
      </c>
      <c r="F299" s="235" t="str">
        <f>IF(AND(ISNA(VLOOKUP(D299,A:A,1,FALSE())),ISNA(VLOOKUP(D299,BaseType!A:A,1,FALSE())),D299&lt;&gt;"Struct"),"N","Y")</f>
        <v>Y</v>
      </c>
      <c r="G299" s="183"/>
      <c r="H299" s="157"/>
      <c r="I299" s="157"/>
      <c r="J299" s="157"/>
      <c r="K299" s="157"/>
      <c r="L299" s="157"/>
      <c r="M299" s="157"/>
      <c r="N299" s="236"/>
      <c r="O299" s="236"/>
      <c r="P299" s="236"/>
      <c r="Q299" s="236"/>
      <c r="R299" s="236"/>
      <c r="S299" s="236"/>
      <c r="T299" s="236"/>
    </row>
    <row r="300" spans="1:20" ht="15" customHeight="1" x14ac:dyDescent="0.2">
      <c r="A300" s="229"/>
      <c r="B300" s="235"/>
      <c r="C300" s="157" t="s">
        <v>3196</v>
      </c>
      <c r="D300" s="235" t="s">
        <v>193</v>
      </c>
      <c r="E300" s="235">
        <v>1</v>
      </c>
      <c r="F300" s="235" t="str">
        <f>IF(AND(ISNA(VLOOKUP(D300,A:A,1,FALSE())),ISNA(VLOOKUP(D300,BaseType!A:A,1,FALSE())),D300&lt;&gt;"Struct"),"N","Y")</f>
        <v>Y</v>
      </c>
      <c r="G300" s="183"/>
      <c r="H300" s="157"/>
      <c r="I300" s="157"/>
      <c r="J300" s="157"/>
      <c r="K300" s="157"/>
      <c r="L300" s="157"/>
      <c r="M300" s="157"/>
      <c r="N300" s="236"/>
      <c r="O300" s="236"/>
      <c r="P300" s="236"/>
      <c r="Q300" s="236"/>
      <c r="R300" s="236"/>
      <c r="S300" s="236"/>
      <c r="T300" s="236"/>
    </row>
    <row r="301" spans="1:20" ht="15" customHeight="1" x14ac:dyDescent="0.2">
      <c r="A301" s="229"/>
      <c r="B301" s="235"/>
      <c r="C301" s="157" t="s">
        <v>3197</v>
      </c>
      <c r="D301" s="235" t="s">
        <v>193</v>
      </c>
      <c r="E301" s="235">
        <v>1</v>
      </c>
      <c r="F301" s="235" t="str">
        <f>IF(AND(ISNA(VLOOKUP(D301,A:A,1,FALSE())),ISNA(VLOOKUP(D301,BaseType!A:A,1,FALSE())),D301&lt;&gt;"Struct"),"N","Y")</f>
        <v>Y</v>
      </c>
      <c r="G301" s="183"/>
      <c r="H301" s="157"/>
      <c r="I301" s="157"/>
      <c r="J301" s="157"/>
      <c r="K301" s="157"/>
      <c r="L301" s="157"/>
      <c r="M301" s="157"/>
      <c r="N301" s="236"/>
      <c r="O301" s="236"/>
      <c r="P301" s="236"/>
      <c r="Q301" s="236"/>
      <c r="R301" s="236"/>
      <c r="S301" s="236"/>
      <c r="T301" s="236"/>
    </row>
    <row r="302" spans="1:20" ht="15" customHeight="1" x14ac:dyDescent="0.2">
      <c r="A302" s="229"/>
      <c r="B302" s="235"/>
      <c r="C302" s="157" t="s">
        <v>3198</v>
      </c>
      <c r="D302" s="235" t="s">
        <v>193</v>
      </c>
      <c r="E302" s="235">
        <v>1</v>
      </c>
      <c r="F302" s="235" t="str">
        <f>IF(AND(ISNA(VLOOKUP(D302,A:A,1,FALSE())),ISNA(VLOOKUP(D302,BaseType!A:A,1,FALSE())),D302&lt;&gt;"Struct"),"N","Y")</f>
        <v>Y</v>
      </c>
      <c r="G302" s="183"/>
      <c r="H302" s="157"/>
      <c r="I302" s="157"/>
      <c r="J302" s="157"/>
      <c r="K302" s="157"/>
      <c r="L302" s="157"/>
      <c r="M302" s="157"/>
      <c r="N302" s="236"/>
      <c r="O302" s="236"/>
      <c r="P302" s="236"/>
      <c r="Q302" s="236"/>
      <c r="R302" s="236"/>
      <c r="S302" s="236"/>
      <c r="T302" s="236"/>
    </row>
    <row r="303" spans="1:20" ht="15" customHeight="1" x14ac:dyDescent="0.2">
      <c r="A303" s="229"/>
      <c r="B303" s="235"/>
      <c r="C303" s="157" t="s">
        <v>3199</v>
      </c>
      <c r="D303" s="235" t="s">
        <v>193</v>
      </c>
      <c r="E303" s="235">
        <v>1</v>
      </c>
      <c r="F303" s="235" t="str">
        <f>IF(AND(ISNA(VLOOKUP(D303,A:A,1,FALSE())),ISNA(VLOOKUP(D303,BaseType!A:A,1,FALSE())),D303&lt;&gt;"Struct"),"N","Y")</f>
        <v>Y</v>
      </c>
      <c r="G303" s="183"/>
      <c r="H303" s="157"/>
      <c r="I303" s="157"/>
      <c r="J303" s="157"/>
      <c r="K303" s="157"/>
      <c r="L303" s="157"/>
      <c r="M303" s="157"/>
      <c r="N303" s="236"/>
      <c r="O303" s="236"/>
      <c r="P303" s="236"/>
      <c r="Q303" s="236"/>
      <c r="R303" s="236"/>
      <c r="S303" s="236"/>
      <c r="T303" s="236"/>
    </row>
    <row r="304" spans="1:20" ht="15" customHeight="1" x14ac:dyDescent="0.2">
      <c r="A304" s="229"/>
      <c r="B304" s="235"/>
      <c r="C304" s="157" t="s">
        <v>3200</v>
      </c>
      <c r="D304" s="235" t="s">
        <v>193</v>
      </c>
      <c r="E304" s="235">
        <v>1</v>
      </c>
      <c r="F304" s="235" t="str">
        <f>IF(AND(ISNA(VLOOKUP(D304,A:A,1,FALSE())),ISNA(VLOOKUP(D304,BaseType!A:A,1,FALSE())),D304&lt;&gt;"Struct"),"N","Y")</f>
        <v>Y</v>
      </c>
      <c r="G304" s="183"/>
      <c r="H304" s="157"/>
      <c r="I304" s="157"/>
      <c r="J304" s="157"/>
      <c r="K304" s="157"/>
      <c r="L304" s="157"/>
      <c r="M304" s="157"/>
      <c r="N304" s="236"/>
      <c r="O304" s="236"/>
      <c r="P304" s="236"/>
      <c r="Q304" s="236"/>
      <c r="R304" s="236"/>
      <c r="S304" s="236"/>
      <c r="T304" s="236"/>
    </row>
    <row r="305" spans="1:20" ht="15" customHeight="1" x14ac:dyDescent="0.2">
      <c r="A305" s="229"/>
      <c r="B305" s="235"/>
      <c r="C305" s="157" t="s">
        <v>3201</v>
      </c>
      <c r="D305" s="235" t="s">
        <v>193</v>
      </c>
      <c r="E305" s="235">
        <v>1</v>
      </c>
      <c r="F305" s="235" t="str">
        <f>IF(AND(ISNA(VLOOKUP(D305,A:A,1,FALSE())),ISNA(VLOOKUP(D305,BaseType!A:A,1,FALSE())),D305&lt;&gt;"Struct"),"N","Y")</f>
        <v>Y</v>
      </c>
      <c r="G305" s="183"/>
      <c r="H305" s="157"/>
      <c r="I305" s="157"/>
      <c r="J305" s="157"/>
      <c r="K305" s="157"/>
      <c r="L305" s="157"/>
      <c r="M305" s="157"/>
      <c r="N305" s="236"/>
      <c r="O305" s="236"/>
      <c r="P305" s="236"/>
      <c r="Q305" s="236"/>
      <c r="R305" s="236"/>
      <c r="S305" s="236"/>
      <c r="T305" s="236"/>
    </row>
    <row r="306" spans="1:20" ht="15" customHeight="1" x14ac:dyDescent="0.2">
      <c r="A306" s="229"/>
      <c r="B306" s="235"/>
      <c r="C306" s="157" t="s">
        <v>3202</v>
      </c>
      <c r="D306" s="235" t="s">
        <v>193</v>
      </c>
      <c r="E306" s="235">
        <v>1</v>
      </c>
      <c r="F306" s="235" t="str">
        <f>IF(AND(ISNA(VLOOKUP(D306,A:A,1,FALSE())),ISNA(VLOOKUP(D306,BaseType!A:A,1,FALSE())),D306&lt;&gt;"Struct"),"N","Y")</f>
        <v>Y</v>
      </c>
      <c r="G306" s="183"/>
      <c r="H306" s="157"/>
      <c r="I306" s="157"/>
      <c r="J306" s="157"/>
      <c r="K306" s="157"/>
      <c r="L306" s="157"/>
      <c r="M306" s="157"/>
      <c r="N306" s="236"/>
      <c r="O306" s="236"/>
      <c r="P306" s="236"/>
      <c r="Q306" s="236"/>
      <c r="R306" s="236"/>
      <c r="S306" s="236"/>
      <c r="T306" s="236"/>
    </row>
    <row r="307" spans="1:20" ht="15" customHeight="1" x14ac:dyDescent="0.2">
      <c r="A307" s="229"/>
      <c r="B307" s="235"/>
      <c r="C307" s="157" t="s">
        <v>3203</v>
      </c>
      <c r="D307" s="235" t="s">
        <v>193</v>
      </c>
      <c r="E307" s="235">
        <v>1</v>
      </c>
      <c r="F307" s="235" t="str">
        <f>IF(AND(ISNA(VLOOKUP(D307,A:A,1,FALSE())),ISNA(VLOOKUP(D307,BaseType!A:A,1,FALSE())),D307&lt;&gt;"Struct"),"N","Y")</f>
        <v>Y</v>
      </c>
      <c r="G307" s="183"/>
      <c r="H307" s="157"/>
      <c r="I307" s="157"/>
      <c r="J307" s="157"/>
      <c r="K307" s="157"/>
      <c r="L307" s="157"/>
      <c r="M307" s="157"/>
      <c r="N307" s="236"/>
      <c r="O307" s="236"/>
      <c r="P307" s="236"/>
      <c r="Q307" s="236"/>
      <c r="R307" s="236"/>
      <c r="S307" s="236"/>
      <c r="T307" s="236"/>
    </row>
    <row r="308" spans="1:20" ht="15" customHeight="1" x14ac:dyDescent="0.2">
      <c r="A308" s="229"/>
      <c r="B308" s="235"/>
      <c r="C308" s="157" t="s">
        <v>3204</v>
      </c>
      <c r="D308" s="235" t="s">
        <v>193</v>
      </c>
      <c r="E308" s="235">
        <v>1</v>
      </c>
      <c r="F308" s="235" t="str">
        <f>IF(AND(ISNA(VLOOKUP(D308,A:A,1,FALSE())),ISNA(VLOOKUP(D308,BaseType!A:A,1,FALSE())),D308&lt;&gt;"Struct"),"N","Y")</f>
        <v>Y</v>
      </c>
      <c r="G308" s="183"/>
      <c r="H308" s="157"/>
      <c r="I308" s="157"/>
      <c r="J308" s="157"/>
      <c r="K308" s="157"/>
      <c r="L308" s="157"/>
      <c r="M308" s="157"/>
      <c r="N308" s="236"/>
      <c r="O308" s="236"/>
      <c r="P308" s="236"/>
      <c r="Q308" s="236"/>
      <c r="R308" s="236"/>
      <c r="S308" s="236"/>
      <c r="T308" s="236"/>
    </row>
    <row r="309" spans="1:20" ht="15" customHeight="1" x14ac:dyDescent="0.2">
      <c r="A309" s="229"/>
      <c r="B309" s="235"/>
      <c r="C309" s="157" t="s">
        <v>3205</v>
      </c>
      <c r="D309" s="235" t="s">
        <v>193</v>
      </c>
      <c r="E309" s="235">
        <v>1</v>
      </c>
      <c r="F309" s="235" t="str">
        <f>IF(AND(ISNA(VLOOKUP(D309,A:A,1,FALSE())),ISNA(VLOOKUP(D309,BaseType!A:A,1,FALSE())),D309&lt;&gt;"Struct"),"N","Y")</f>
        <v>Y</v>
      </c>
      <c r="G309" s="183"/>
      <c r="H309" s="157"/>
      <c r="I309" s="157"/>
      <c r="J309" s="157"/>
      <c r="K309" s="157"/>
      <c r="L309" s="157"/>
      <c r="M309" s="157"/>
      <c r="N309" s="236"/>
      <c r="O309" s="236"/>
      <c r="P309" s="236"/>
      <c r="Q309" s="236"/>
      <c r="R309" s="236"/>
      <c r="S309" s="236"/>
      <c r="T309" s="236"/>
    </row>
    <row r="310" spans="1:20" ht="15" customHeight="1" x14ac:dyDescent="0.2">
      <c r="A310" s="229"/>
      <c r="B310" s="235"/>
      <c r="C310" s="157" t="s">
        <v>3206</v>
      </c>
      <c r="D310" s="235" t="s">
        <v>193</v>
      </c>
      <c r="E310" s="235">
        <v>1</v>
      </c>
      <c r="F310" s="235" t="str">
        <f>IF(AND(ISNA(VLOOKUP(D310,A:A,1,FALSE())),ISNA(VLOOKUP(D310,BaseType!A:A,1,FALSE())),D310&lt;&gt;"Struct"),"N","Y")</f>
        <v>Y</v>
      </c>
      <c r="G310" s="183"/>
      <c r="H310" s="157"/>
      <c r="I310" s="157"/>
      <c r="J310" s="157"/>
      <c r="K310" s="157"/>
      <c r="L310" s="157"/>
      <c r="M310" s="157"/>
      <c r="N310" s="236"/>
      <c r="O310" s="236"/>
      <c r="P310" s="236"/>
      <c r="Q310" s="236"/>
      <c r="R310" s="236"/>
      <c r="S310" s="236"/>
      <c r="T310" s="236"/>
    </row>
    <row r="311" spans="1:20" ht="15" customHeight="1" x14ac:dyDescent="0.2">
      <c r="A311" s="229"/>
      <c r="B311" s="235"/>
      <c r="C311" s="157" t="s">
        <v>3207</v>
      </c>
      <c r="D311" s="235" t="s">
        <v>193</v>
      </c>
      <c r="E311" s="235">
        <v>1</v>
      </c>
      <c r="F311" s="235" t="str">
        <f>IF(AND(ISNA(VLOOKUP(D311,A:A,1,FALSE())),ISNA(VLOOKUP(D311,BaseType!A:A,1,FALSE())),D311&lt;&gt;"Struct"),"N","Y")</f>
        <v>Y</v>
      </c>
      <c r="G311" s="183"/>
      <c r="H311" s="157"/>
      <c r="I311" s="157"/>
      <c r="J311" s="157"/>
      <c r="K311" s="157"/>
      <c r="L311" s="157"/>
      <c r="M311" s="157"/>
      <c r="N311" s="236"/>
      <c r="O311" s="236"/>
      <c r="P311" s="236"/>
      <c r="Q311" s="236"/>
      <c r="R311" s="236"/>
      <c r="S311" s="236"/>
      <c r="T311" s="236"/>
    </row>
    <row r="312" spans="1:20" ht="15" customHeight="1" x14ac:dyDescent="0.2">
      <c r="A312" s="229"/>
      <c r="B312" s="235"/>
      <c r="C312" s="157" t="s">
        <v>3208</v>
      </c>
      <c r="D312" s="235" t="s">
        <v>764</v>
      </c>
      <c r="E312" s="235">
        <v>1</v>
      </c>
      <c r="F312" s="235" t="str">
        <f>IF(AND(ISNA(VLOOKUP(D312,A:A,1,FALSE())),ISNA(VLOOKUP(D312,BaseType!A:A,1,FALSE())),D312&lt;&gt;"Struct"),"N","Y")</f>
        <v>Y</v>
      </c>
      <c r="G312" s="183"/>
      <c r="H312" s="157"/>
      <c r="I312" s="157"/>
      <c r="J312" s="157"/>
      <c r="K312" s="157"/>
      <c r="L312" s="157"/>
      <c r="M312" s="157"/>
      <c r="N312" s="236"/>
      <c r="O312" s="236"/>
      <c r="P312" s="236"/>
      <c r="Q312" s="236"/>
      <c r="R312" s="236"/>
      <c r="S312" s="236"/>
      <c r="T312" s="236"/>
    </row>
    <row r="313" spans="1:20" ht="15" customHeight="1" x14ac:dyDescent="0.2">
      <c r="A313" s="229" t="s">
        <v>2860</v>
      </c>
      <c r="B313" s="235" t="str">
        <f>IF(ISBLANK(A313),"",IF(AND(ISNA(VLOOKUP(A313,Interface_T1GC!E:E,1,FALSE())),ISNA(VLOOKUP(A313,D:D,1,FALSE()))),"N","Y"))</f>
        <v>Y</v>
      </c>
      <c r="C313" s="157"/>
      <c r="D313" s="237" t="s">
        <v>484</v>
      </c>
      <c r="E313" s="235"/>
      <c r="F313" s="235" t="str">
        <f>IF(AND(ISNA(VLOOKUP(D313,A:A,1,FALSE())),ISNA(VLOOKUP(D313,BaseType!A:A,1,FALSE())),D313&lt;&gt;"Struct"),"N","Y")</f>
        <v>Y</v>
      </c>
      <c r="G313" s="183"/>
      <c r="H313" s="157"/>
      <c r="I313" s="157"/>
      <c r="J313" s="157"/>
      <c r="K313" s="157"/>
      <c r="L313" s="157"/>
      <c r="M313" s="157"/>
      <c r="N313" s="236"/>
      <c r="O313" s="236"/>
      <c r="P313" s="236"/>
      <c r="Q313" s="236"/>
      <c r="R313" s="236"/>
      <c r="S313" s="236"/>
      <c r="T313" s="236"/>
    </row>
    <row r="314" spans="1:20" ht="15" customHeight="1" x14ac:dyDescent="0.2">
      <c r="A314" s="229"/>
      <c r="B314" s="235"/>
      <c r="C314" s="157" t="s">
        <v>3209</v>
      </c>
      <c r="D314" s="235" t="s">
        <v>193</v>
      </c>
      <c r="E314" s="235">
        <v>1</v>
      </c>
      <c r="F314" s="242" t="str">
        <f>IF(AND(ISNA(VLOOKUP(D314,A:A,1,FALSE())),ISNA(VLOOKUP(D314,BaseType!A:A,1,FALSE())),D314&lt;&gt;"Struct"),"N","Y")</f>
        <v>Y</v>
      </c>
      <c r="G314" s="183"/>
      <c r="H314" s="157"/>
      <c r="I314" s="157"/>
      <c r="J314" s="157"/>
      <c r="K314" s="157"/>
      <c r="L314" s="157"/>
      <c r="M314" s="157"/>
      <c r="N314" s="236"/>
      <c r="O314" s="236"/>
      <c r="P314" s="236"/>
      <c r="Q314" s="236"/>
      <c r="R314" s="236"/>
      <c r="S314" s="236"/>
      <c r="T314" s="236"/>
    </row>
    <row r="315" spans="1:20" ht="15" customHeight="1" x14ac:dyDescent="0.2">
      <c r="A315" s="229"/>
      <c r="B315" s="235"/>
      <c r="C315" s="157" t="s">
        <v>3210</v>
      </c>
      <c r="D315" s="235" t="s">
        <v>193</v>
      </c>
      <c r="E315" s="235">
        <v>1</v>
      </c>
      <c r="F315" s="242" t="str">
        <f>IF(AND(ISNA(VLOOKUP(D315,A:A,1,FALSE())),ISNA(VLOOKUP(D315,BaseType!A:A,1,FALSE())),D315&lt;&gt;"Struct"),"N","Y")</f>
        <v>Y</v>
      </c>
      <c r="G315" s="183" t="s">
        <v>3211</v>
      </c>
      <c r="H315" s="157"/>
      <c r="I315" s="157"/>
      <c r="J315" s="157"/>
      <c r="K315" s="157"/>
      <c r="L315" s="157"/>
      <c r="M315" s="157"/>
      <c r="N315" s="236"/>
      <c r="O315" s="236"/>
      <c r="P315" s="236"/>
      <c r="Q315" s="236"/>
      <c r="R315" s="236"/>
      <c r="S315" s="236"/>
      <c r="T315" s="236"/>
    </row>
    <row r="316" spans="1:20" ht="15" customHeight="1" x14ac:dyDescent="0.2">
      <c r="A316" s="229"/>
      <c r="B316" s="235"/>
      <c r="C316" s="157" t="s">
        <v>3212</v>
      </c>
      <c r="D316" s="235" t="s">
        <v>193</v>
      </c>
      <c r="E316" s="235">
        <v>1</v>
      </c>
      <c r="F316" s="242" t="str">
        <f>IF(AND(ISNA(VLOOKUP(D316,A:A,1,FALSE())),ISNA(VLOOKUP(D316,BaseType!A:A,1,FALSE())),D316&lt;&gt;"Struct"),"N","Y")</f>
        <v>Y</v>
      </c>
      <c r="G316" s="183" t="s">
        <v>3213</v>
      </c>
      <c r="H316" s="157"/>
      <c r="I316" s="157"/>
      <c r="J316" s="157"/>
      <c r="K316" s="157"/>
      <c r="L316" s="157"/>
      <c r="M316" s="157"/>
      <c r="N316" s="236"/>
      <c r="O316" s="236"/>
      <c r="P316" s="236"/>
      <c r="Q316" s="236"/>
      <c r="R316" s="236"/>
      <c r="S316" s="236"/>
      <c r="T316" s="236"/>
    </row>
    <row r="317" spans="1:20" ht="15" customHeight="1" x14ac:dyDescent="0.2">
      <c r="A317" s="229"/>
      <c r="B317" s="235"/>
      <c r="C317" s="157" t="s">
        <v>3214</v>
      </c>
      <c r="D317" s="235" t="s">
        <v>193</v>
      </c>
      <c r="E317" s="235">
        <v>1</v>
      </c>
      <c r="F317" s="242" t="str">
        <f>IF(AND(ISNA(VLOOKUP(D317,A:A,1,FALSE())),ISNA(VLOOKUP(D317,BaseType!A:A,1,FALSE())),D317&lt;&gt;"Struct"),"N","Y")</f>
        <v>Y</v>
      </c>
      <c r="G317" s="183" t="s">
        <v>3213</v>
      </c>
      <c r="H317" s="157"/>
      <c r="I317" s="157"/>
      <c r="J317" s="157"/>
      <c r="K317" s="157"/>
      <c r="L317" s="157"/>
      <c r="M317" s="157"/>
      <c r="N317" s="236"/>
      <c r="O317" s="236"/>
      <c r="P317" s="236"/>
      <c r="Q317" s="236"/>
      <c r="R317" s="236"/>
      <c r="S317" s="236"/>
      <c r="T317" s="236"/>
    </row>
    <row r="318" spans="1:20" ht="15" customHeight="1" x14ac:dyDescent="0.2">
      <c r="A318" s="229"/>
      <c r="B318" s="235"/>
      <c r="C318" s="157" t="s">
        <v>3215</v>
      </c>
      <c r="D318" s="235" t="s">
        <v>225</v>
      </c>
      <c r="E318" s="235">
        <v>1</v>
      </c>
      <c r="F318" s="242" t="str">
        <f>IF(AND(ISNA(VLOOKUP(D318,A:A,1,FALSE())),ISNA(VLOOKUP(D318,BaseType!A:A,1,FALSE())),D318&lt;&gt;"Struct"),"N","Y")</f>
        <v>Y</v>
      </c>
      <c r="G318" s="183"/>
      <c r="H318" s="157"/>
      <c r="I318" s="157"/>
      <c r="J318" s="157"/>
      <c r="K318" s="157"/>
      <c r="L318" s="157"/>
      <c r="M318" s="157"/>
      <c r="N318" s="236"/>
      <c r="O318" s="236"/>
      <c r="P318" s="236"/>
      <c r="Q318" s="236"/>
      <c r="R318" s="236"/>
      <c r="S318" s="236"/>
      <c r="T318" s="236"/>
    </row>
    <row r="319" spans="1:20" ht="15" customHeight="1" x14ac:dyDescent="0.2">
      <c r="A319" s="229"/>
      <c r="B319" s="235"/>
      <c r="C319" s="157" t="s">
        <v>3216</v>
      </c>
      <c r="D319" s="235" t="s">
        <v>193</v>
      </c>
      <c r="E319" s="235">
        <v>1</v>
      </c>
      <c r="F319" s="242" t="str">
        <f>IF(AND(ISNA(VLOOKUP(D319,A:A,1,FALSE())),ISNA(VLOOKUP(D319,BaseType!A:A,1,FALSE())),D319&lt;&gt;"Struct"),"N","Y")</f>
        <v>Y</v>
      </c>
      <c r="G319" s="183"/>
      <c r="H319" s="157"/>
      <c r="I319" s="157"/>
      <c r="J319" s="157"/>
      <c r="K319" s="157"/>
      <c r="L319" s="157"/>
      <c r="M319" s="157"/>
      <c r="N319" s="236"/>
      <c r="O319" s="236"/>
      <c r="P319" s="236"/>
      <c r="Q319" s="236"/>
      <c r="R319" s="236"/>
      <c r="S319" s="236"/>
      <c r="T319" s="236"/>
    </row>
    <row r="320" spans="1:20" ht="15" customHeight="1" x14ac:dyDescent="0.2">
      <c r="A320" s="229"/>
      <c r="B320" s="235"/>
      <c r="C320" s="157" t="s">
        <v>3217</v>
      </c>
      <c r="D320" s="235" t="s">
        <v>193</v>
      </c>
      <c r="E320" s="235">
        <v>1</v>
      </c>
      <c r="F320" s="242" t="str">
        <f>IF(AND(ISNA(VLOOKUP(D320,A:A,1,FALSE())),ISNA(VLOOKUP(D320,BaseType!A:A,1,FALSE())),D320&lt;&gt;"Struct"),"N","Y")</f>
        <v>Y</v>
      </c>
      <c r="G320" s="183" t="s">
        <v>3211</v>
      </c>
      <c r="H320" s="157"/>
      <c r="I320" s="157"/>
      <c r="J320" s="157"/>
      <c r="K320" s="157"/>
      <c r="L320" s="157"/>
      <c r="M320" s="157"/>
      <c r="N320" s="236"/>
      <c r="O320" s="236"/>
      <c r="P320" s="236"/>
      <c r="Q320" s="236"/>
      <c r="R320" s="236"/>
      <c r="S320" s="236"/>
      <c r="T320" s="236"/>
    </row>
    <row r="321" spans="1:20" ht="15" customHeight="1" x14ac:dyDescent="0.2">
      <c r="A321" s="229"/>
      <c r="B321" s="235"/>
      <c r="C321" s="157" t="s">
        <v>3218</v>
      </c>
      <c r="D321" s="235" t="s">
        <v>193</v>
      </c>
      <c r="E321" s="235">
        <v>1</v>
      </c>
      <c r="F321" s="242" t="str">
        <f>IF(AND(ISNA(VLOOKUP(D321,A:A,1,FALSE())),ISNA(VLOOKUP(D321,BaseType!A:A,1,FALSE())),D321&lt;&gt;"Struct"),"N","Y")</f>
        <v>Y</v>
      </c>
      <c r="G321" s="183"/>
      <c r="H321" s="157"/>
      <c r="I321" s="157"/>
      <c r="J321" s="157"/>
      <c r="K321" s="157"/>
      <c r="L321" s="157"/>
      <c r="M321" s="157"/>
      <c r="N321" s="236"/>
      <c r="O321" s="236"/>
      <c r="P321" s="236"/>
      <c r="Q321" s="236"/>
      <c r="R321" s="236"/>
      <c r="S321" s="236"/>
      <c r="T321" s="236"/>
    </row>
    <row r="322" spans="1:20" ht="15" customHeight="1" x14ac:dyDescent="0.2">
      <c r="A322" s="229"/>
      <c r="B322" s="235"/>
      <c r="C322" s="157" t="s">
        <v>3219</v>
      </c>
      <c r="D322" s="235" t="s">
        <v>225</v>
      </c>
      <c r="E322" s="235">
        <v>1</v>
      </c>
      <c r="F322" s="242" t="str">
        <f>IF(AND(ISNA(VLOOKUP(D322,A:A,1,FALSE())),ISNA(VLOOKUP(D322,BaseType!A:A,1,FALSE())),D322&lt;&gt;"Struct"),"N","Y")</f>
        <v>Y</v>
      </c>
      <c r="G322" s="183"/>
      <c r="H322" s="157"/>
      <c r="I322" s="157"/>
      <c r="J322" s="157"/>
      <c r="K322" s="157"/>
      <c r="L322" s="157"/>
      <c r="M322" s="157"/>
      <c r="N322" s="236"/>
      <c r="O322" s="236"/>
      <c r="P322" s="236"/>
      <c r="Q322" s="236"/>
      <c r="R322" s="236"/>
      <c r="S322" s="236"/>
      <c r="T322" s="236"/>
    </row>
    <row r="323" spans="1:20" ht="15" customHeight="1" x14ac:dyDescent="0.2">
      <c r="A323" s="229"/>
      <c r="B323" s="235"/>
      <c r="C323" s="157" t="s">
        <v>3220</v>
      </c>
      <c r="D323" s="235" t="s">
        <v>193</v>
      </c>
      <c r="E323" s="235">
        <v>1</v>
      </c>
      <c r="F323" s="242" t="str">
        <f>IF(AND(ISNA(VLOOKUP(D323,A:A,1,FALSE())),ISNA(VLOOKUP(D323,BaseType!A:A,1,FALSE())),D323&lt;&gt;"Struct"),"N","Y")</f>
        <v>Y</v>
      </c>
      <c r="G323" s="183"/>
      <c r="H323" s="157"/>
      <c r="I323" s="157"/>
      <c r="J323" s="157"/>
      <c r="K323" s="157"/>
      <c r="L323" s="157"/>
      <c r="M323" s="157"/>
      <c r="N323" s="236"/>
      <c r="O323" s="236"/>
      <c r="P323" s="236"/>
      <c r="Q323" s="236"/>
      <c r="R323" s="236"/>
      <c r="S323" s="236"/>
      <c r="T323" s="236"/>
    </row>
    <row r="324" spans="1:20" ht="15" customHeight="1" x14ac:dyDescent="0.2">
      <c r="A324" s="229"/>
      <c r="B324" s="235"/>
      <c r="C324" s="157" t="s">
        <v>3221</v>
      </c>
      <c r="D324" s="235" t="s">
        <v>193</v>
      </c>
      <c r="E324" s="235">
        <v>1</v>
      </c>
      <c r="F324" s="242" t="str">
        <f>IF(AND(ISNA(VLOOKUP(D324,A:A,1,FALSE())),ISNA(VLOOKUP(D324,BaseType!A:A,1,FALSE())),D324&lt;&gt;"Struct"),"N","Y")</f>
        <v>Y</v>
      </c>
      <c r="G324" s="183"/>
      <c r="H324" s="157"/>
      <c r="I324" s="157"/>
      <c r="J324" s="157"/>
      <c r="K324" s="157"/>
      <c r="L324" s="157"/>
      <c r="M324" s="157"/>
      <c r="N324" s="236"/>
      <c r="O324" s="236"/>
      <c r="P324" s="236"/>
      <c r="Q324" s="236"/>
      <c r="R324" s="236"/>
      <c r="S324" s="236"/>
      <c r="T324" s="236"/>
    </row>
    <row r="325" spans="1:20" ht="15" customHeight="1" x14ac:dyDescent="0.2">
      <c r="A325" s="229"/>
      <c r="B325" s="235"/>
      <c r="C325" s="157" t="s">
        <v>3222</v>
      </c>
      <c r="D325" s="235" t="s">
        <v>193</v>
      </c>
      <c r="E325" s="235">
        <v>1</v>
      </c>
      <c r="F325" s="242" t="str">
        <f>IF(AND(ISNA(VLOOKUP(D325,A:A,1,FALSE())),ISNA(VLOOKUP(D325,BaseType!A:A,1,FALSE())),D325&lt;&gt;"Struct"),"N","Y")</f>
        <v>Y</v>
      </c>
      <c r="G325" s="183"/>
      <c r="H325" s="157"/>
      <c r="I325" s="157"/>
      <c r="J325" s="157"/>
      <c r="K325" s="157"/>
      <c r="L325" s="157"/>
      <c r="M325" s="157"/>
      <c r="N325" s="236"/>
      <c r="O325" s="236"/>
      <c r="P325" s="236"/>
      <c r="Q325" s="236"/>
      <c r="R325" s="236"/>
      <c r="S325" s="236"/>
      <c r="T325" s="236"/>
    </row>
    <row r="326" spans="1:20" ht="14.25" x14ac:dyDescent="0.2">
      <c r="A326" s="103" t="s">
        <v>2867</v>
      </c>
      <c r="B326" s="235" t="str">
        <f>IF(ISBLANK(A326),"",IF(AND(ISNA(VLOOKUP(A326,Interface_T1GC!E:E,1,FALSE())),ISNA(VLOOKUP(A326,D:D,1,FALSE()))),"N","Y"))</f>
        <v>Y</v>
      </c>
      <c r="C326" s="157"/>
      <c r="D326" s="237" t="s">
        <v>484</v>
      </c>
      <c r="E326" s="235"/>
      <c r="F326" s="242" t="str">
        <f>IF(AND(ISNA(VLOOKUP(D326,A:A,1,FALSE())),ISNA(VLOOKUP(D326,BaseType!A:A,1,FALSE())),D326&lt;&gt;"Struct"),"N","Y")</f>
        <v>Y</v>
      </c>
      <c r="G326" s="183"/>
      <c r="H326" s="157"/>
      <c r="I326" s="157"/>
      <c r="J326" s="157"/>
      <c r="K326" s="157"/>
      <c r="L326" s="157"/>
      <c r="M326" s="157"/>
      <c r="N326" s="236"/>
      <c r="O326" s="236"/>
      <c r="P326" s="236"/>
      <c r="Q326" s="236"/>
      <c r="R326" s="236"/>
      <c r="S326" s="236"/>
      <c r="T326" s="236"/>
    </row>
    <row r="327" spans="1:20" ht="15" customHeight="1" x14ac:dyDescent="0.2">
      <c r="A327" s="229"/>
      <c r="B327" s="235"/>
      <c r="C327" s="157" t="s">
        <v>3223</v>
      </c>
      <c r="D327" s="235" t="s">
        <v>193</v>
      </c>
      <c r="E327" s="235">
        <v>1</v>
      </c>
      <c r="F327" s="242" t="str">
        <f>IF(AND(ISNA(VLOOKUP(D327,A:A,1,FALSE())),ISNA(VLOOKUP(D327,BaseType!A:A,1,FALSE())),D327&lt;&gt;"Struct"),"N","Y")</f>
        <v>Y</v>
      </c>
      <c r="G327" s="183" t="s">
        <v>3224</v>
      </c>
      <c r="H327" s="157"/>
      <c r="I327" s="157"/>
      <c r="J327" s="157"/>
      <c r="K327" s="157"/>
      <c r="L327" s="157"/>
      <c r="M327" s="157"/>
      <c r="N327" s="236"/>
      <c r="O327" s="236"/>
      <c r="P327" s="236"/>
      <c r="Q327" s="236"/>
      <c r="R327" s="236"/>
      <c r="S327" s="236"/>
      <c r="T327" s="236"/>
    </row>
    <row r="328" spans="1:20" ht="15" customHeight="1" x14ac:dyDescent="0.2">
      <c r="A328" s="229"/>
      <c r="B328" s="235"/>
      <c r="C328" s="157" t="s">
        <v>3225</v>
      </c>
      <c r="D328" s="235" t="s">
        <v>193</v>
      </c>
      <c r="E328" s="235">
        <v>1</v>
      </c>
      <c r="F328" s="242" t="str">
        <f>IF(AND(ISNA(VLOOKUP(D328,A:A,1,FALSE())),ISNA(VLOOKUP(D328,BaseType!A:A,1,FALSE())),D328&lt;&gt;"Struct"),"N","Y")</f>
        <v>Y</v>
      </c>
      <c r="G328" s="183" t="s">
        <v>3226</v>
      </c>
      <c r="H328" s="157"/>
      <c r="I328" s="157"/>
      <c r="J328" s="157"/>
      <c r="K328" s="157"/>
      <c r="L328" s="157"/>
      <c r="M328" s="157"/>
      <c r="N328" s="236"/>
      <c r="O328" s="236"/>
      <c r="P328" s="236"/>
      <c r="Q328" s="236"/>
      <c r="R328" s="236"/>
      <c r="S328" s="236"/>
      <c r="T328" s="236"/>
    </row>
    <row r="329" spans="1:20" ht="15" customHeight="1" x14ac:dyDescent="0.2">
      <c r="A329" s="103" t="s">
        <v>2862</v>
      </c>
      <c r="B329" s="235" t="str">
        <f>IF(ISBLANK(A329),"",IF(AND(ISNA(VLOOKUP(A329,Interface_T1GC!E:E,1,FALSE())),ISNA(VLOOKUP(A329,D:D,1,FALSE()))),"N","Y"))</f>
        <v>Y</v>
      </c>
      <c r="C329" s="157"/>
      <c r="D329" s="237" t="s">
        <v>484</v>
      </c>
      <c r="E329" s="235"/>
      <c r="F329" s="242" t="str">
        <f>IF(AND(ISNA(VLOOKUP(D329,A:A,1,FALSE())),ISNA(VLOOKUP(D329,BaseType!A:A,1,FALSE())),D329&lt;&gt;"Struct"),"N","Y")</f>
        <v>Y</v>
      </c>
      <c r="G329" s="183"/>
      <c r="H329" s="157"/>
      <c r="I329" s="157"/>
      <c r="J329" s="157"/>
      <c r="K329" s="157"/>
      <c r="L329" s="157"/>
      <c r="M329" s="157"/>
      <c r="N329" s="236"/>
      <c r="O329" s="236"/>
      <c r="P329" s="236"/>
      <c r="Q329" s="236"/>
      <c r="R329" s="236"/>
      <c r="S329" s="236"/>
      <c r="T329" s="236"/>
    </row>
    <row r="330" spans="1:20" ht="14.25" x14ac:dyDescent="0.2">
      <c r="A330" s="229"/>
      <c r="B330" s="235"/>
      <c r="C330" s="157" t="s">
        <v>3227</v>
      </c>
      <c r="D330" s="235" t="s">
        <v>764</v>
      </c>
      <c r="E330" s="235">
        <v>1</v>
      </c>
      <c r="F330" s="242" t="str">
        <f>IF(AND(ISNA(VLOOKUP(D330,A:A,1,FALSE())),ISNA(VLOOKUP(D330,BaseType!A:A,1,FALSE())),D330&lt;&gt;"Struct"),"N","Y")</f>
        <v>Y</v>
      </c>
      <c r="G330" s="183"/>
      <c r="H330" s="157"/>
      <c r="I330" s="157"/>
      <c r="J330" s="157"/>
      <c r="K330" s="157"/>
      <c r="L330" s="157"/>
      <c r="M330" s="157"/>
      <c r="N330" s="236"/>
      <c r="O330" s="236"/>
      <c r="P330" s="236"/>
      <c r="Q330" s="236"/>
      <c r="R330" s="236"/>
      <c r="S330" s="236"/>
      <c r="T330" s="236"/>
    </row>
    <row r="331" spans="1:20" ht="14.25" x14ac:dyDescent="0.2">
      <c r="A331" s="229"/>
      <c r="B331" s="235"/>
      <c r="C331" s="157" t="s">
        <v>3228</v>
      </c>
      <c r="D331" s="235" t="s">
        <v>225</v>
      </c>
      <c r="E331" s="235">
        <v>1</v>
      </c>
      <c r="F331" s="242" t="str">
        <f>IF(AND(ISNA(VLOOKUP(D331,A:A,1,FALSE())),ISNA(VLOOKUP(D331,BaseType!A:A,1,FALSE())),D331&lt;&gt;"Struct"),"N","Y")</f>
        <v>Y</v>
      </c>
      <c r="G331" s="183"/>
      <c r="H331" s="157"/>
      <c r="I331" s="157"/>
      <c r="J331" s="157"/>
      <c r="K331" s="157"/>
      <c r="L331" s="157"/>
      <c r="M331" s="157"/>
      <c r="N331" s="236"/>
      <c r="O331" s="236"/>
      <c r="P331" s="236"/>
      <c r="Q331" s="236"/>
      <c r="R331" s="236"/>
      <c r="S331" s="236"/>
      <c r="T331" s="236"/>
    </row>
    <row r="332" spans="1:20" ht="18.95" customHeight="1" x14ac:dyDescent="0.2">
      <c r="A332" s="229"/>
      <c r="B332" s="235"/>
      <c r="C332" s="157" t="s">
        <v>3229</v>
      </c>
      <c r="D332" s="235" t="s">
        <v>193</v>
      </c>
      <c r="E332" s="235">
        <v>1</v>
      </c>
      <c r="F332" s="242" t="str">
        <f>IF(AND(ISNA(VLOOKUP(D332,A:A,1,FALSE())),ISNA(VLOOKUP(D332,BaseType!A:A,1,FALSE())),D332&lt;&gt;"Struct"),"N","Y")</f>
        <v>Y</v>
      </c>
      <c r="G332" s="183"/>
      <c r="H332" s="157"/>
      <c r="I332" s="157"/>
      <c r="J332" s="157"/>
      <c r="K332" s="157"/>
      <c r="L332" s="157"/>
      <c r="M332" s="157"/>
      <c r="N332" s="236"/>
      <c r="O332" s="236"/>
      <c r="P332" s="236"/>
      <c r="Q332" s="236"/>
      <c r="R332" s="236"/>
      <c r="S332" s="236"/>
      <c r="T332" s="236"/>
    </row>
    <row r="333" spans="1:20" ht="18.95" customHeight="1" x14ac:dyDescent="0.2">
      <c r="A333" s="229"/>
      <c r="B333" s="235"/>
      <c r="C333" s="157" t="s">
        <v>3230</v>
      </c>
      <c r="D333" s="235" t="s">
        <v>193</v>
      </c>
      <c r="E333" s="235">
        <v>1</v>
      </c>
      <c r="F333" s="242" t="str">
        <f>IF(AND(ISNA(VLOOKUP(D333,A:A,1,FALSE())),ISNA(VLOOKUP(D333,BaseType!A:A,1,FALSE())),D333&lt;&gt;"Struct"),"N","Y")</f>
        <v>Y</v>
      </c>
      <c r="G333" s="183"/>
      <c r="H333" s="157"/>
      <c r="I333" s="157"/>
      <c r="J333" s="157"/>
      <c r="K333" s="157"/>
      <c r="L333" s="157"/>
      <c r="M333" s="157"/>
      <c r="N333" s="236"/>
      <c r="O333" s="236"/>
      <c r="P333" s="236"/>
      <c r="Q333" s="236"/>
      <c r="R333" s="236"/>
      <c r="S333" s="236"/>
      <c r="T333" s="236"/>
    </row>
    <row r="334" spans="1:20" ht="18.95" customHeight="1" x14ac:dyDescent="0.2">
      <c r="A334" s="229"/>
      <c r="B334" s="235"/>
      <c r="C334" s="240" t="s">
        <v>3231</v>
      </c>
      <c r="D334" s="235" t="s">
        <v>193</v>
      </c>
      <c r="E334" s="235">
        <v>1</v>
      </c>
      <c r="F334" s="242" t="str">
        <f>IF(AND(ISNA(VLOOKUP(D334,A:A,1,FALSE())),ISNA(VLOOKUP(D334,BaseType!A:A,1,FALSE())),D334&lt;&gt;"Struct"),"N","Y")</f>
        <v>Y</v>
      </c>
      <c r="G334" s="183" t="s">
        <v>3232</v>
      </c>
      <c r="H334" s="157"/>
      <c r="I334" s="157"/>
      <c r="J334" s="157"/>
      <c r="K334" s="157"/>
      <c r="L334" s="157"/>
      <c r="M334" s="157"/>
      <c r="N334" s="236"/>
      <c r="O334" s="236"/>
      <c r="P334" s="236"/>
      <c r="Q334" s="236"/>
      <c r="R334" s="236"/>
      <c r="S334" s="236"/>
      <c r="T334" s="236"/>
    </row>
    <row r="335" spans="1:20" ht="18.95" customHeight="1" x14ac:dyDescent="0.2">
      <c r="A335" s="229"/>
      <c r="B335" s="235"/>
      <c r="C335" s="157" t="s">
        <v>3233</v>
      </c>
      <c r="D335" s="235" t="s">
        <v>193</v>
      </c>
      <c r="E335" s="235">
        <v>1</v>
      </c>
      <c r="F335" s="242" t="str">
        <f>IF(AND(ISNA(VLOOKUP(D335,A:A,1,FALSE())),ISNA(VLOOKUP(D335,BaseType!A:A,1,FALSE())),D335&lt;&gt;"Struct"),"N","Y")</f>
        <v>Y</v>
      </c>
      <c r="G335" s="183"/>
      <c r="H335" s="157"/>
      <c r="I335" s="157"/>
      <c r="J335" s="157"/>
      <c r="K335" s="157"/>
      <c r="L335" s="157"/>
      <c r="M335" s="157"/>
      <c r="N335" s="236"/>
      <c r="O335" s="236"/>
      <c r="P335" s="236"/>
      <c r="Q335" s="236"/>
      <c r="R335" s="236"/>
      <c r="S335" s="236"/>
      <c r="T335" s="236"/>
    </row>
    <row r="336" spans="1:20" ht="18.95" customHeight="1" x14ac:dyDescent="0.2">
      <c r="A336" s="229"/>
      <c r="B336" s="235"/>
      <c r="C336" s="240" t="s">
        <v>3234</v>
      </c>
      <c r="D336" s="235" t="s">
        <v>193</v>
      </c>
      <c r="E336" s="235">
        <v>1</v>
      </c>
      <c r="F336" s="242" t="str">
        <f>IF(AND(ISNA(VLOOKUP(D336,A:A,1,FALSE())),ISNA(VLOOKUP(D336,BaseType!A:A,1,FALSE())),D336&lt;&gt;"Struct"),"N","Y")</f>
        <v>Y</v>
      </c>
      <c r="G336" s="183" t="s">
        <v>3232</v>
      </c>
      <c r="H336" s="157"/>
      <c r="I336" s="157"/>
      <c r="J336" s="157"/>
      <c r="K336" s="157"/>
      <c r="L336" s="157"/>
      <c r="M336" s="157"/>
      <c r="N336" s="236"/>
      <c r="O336" s="236"/>
      <c r="P336" s="236"/>
      <c r="Q336" s="236"/>
      <c r="R336" s="236"/>
      <c r="S336" s="236"/>
      <c r="T336" s="236"/>
    </row>
    <row r="337" spans="1:20" ht="18.95" customHeight="1" x14ac:dyDescent="0.2">
      <c r="A337" s="229"/>
      <c r="B337" s="235"/>
      <c r="C337" s="157" t="s">
        <v>3235</v>
      </c>
      <c r="D337" s="235" t="s">
        <v>193</v>
      </c>
      <c r="E337" s="235">
        <v>1</v>
      </c>
      <c r="F337" s="242" t="str">
        <f>IF(AND(ISNA(VLOOKUP(D337,A:A,1,FALSE())),ISNA(VLOOKUP(D337,BaseType!A:A,1,FALSE())),D337&lt;&gt;"Struct"),"N","Y")</f>
        <v>Y</v>
      </c>
      <c r="G337" s="183"/>
      <c r="H337" s="157"/>
      <c r="I337" s="157"/>
      <c r="J337" s="157"/>
      <c r="K337" s="157"/>
      <c r="L337" s="157"/>
      <c r="M337" s="157"/>
      <c r="N337" s="236"/>
      <c r="O337" s="236"/>
      <c r="P337" s="236"/>
      <c r="Q337" s="236"/>
      <c r="R337" s="236"/>
      <c r="S337" s="236"/>
      <c r="T337" s="236"/>
    </row>
    <row r="338" spans="1:20" ht="18.95" customHeight="1" x14ac:dyDescent="0.2">
      <c r="A338" s="229"/>
      <c r="B338" s="235"/>
      <c r="C338" s="157" t="s">
        <v>3236</v>
      </c>
      <c r="D338" s="235" t="s">
        <v>193</v>
      </c>
      <c r="E338" s="235">
        <v>1</v>
      </c>
      <c r="F338" s="242" t="str">
        <f>IF(AND(ISNA(VLOOKUP(D338,A:A,1,FALSE())),ISNA(VLOOKUP(D338,BaseType!A:A,1,FALSE())),D338&lt;&gt;"Struct"),"N","Y")</f>
        <v>Y</v>
      </c>
      <c r="G338" s="183"/>
      <c r="H338" s="157"/>
      <c r="I338" s="157"/>
      <c r="J338" s="157"/>
      <c r="K338" s="157"/>
      <c r="L338" s="157"/>
      <c r="M338" s="157"/>
      <c r="N338" s="236"/>
      <c r="O338" s="236"/>
      <c r="P338" s="236"/>
      <c r="Q338" s="236"/>
      <c r="R338" s="236"/>
      <c r="S338" s="236"/>
      <c r="T338" s="236"/>
    </row>
    <row r="339" spans="1:20" ht="18.95" customHeight="1" x14ac:dyDescent="0.2">
      <c r="A339" s="229"/>
      <c r="B339" s="235"/>
      <c r="C339" s="157" t="s">
        <v>3237</v>
      </c>
      <c r="D339" s="235" t="s">
        <v>193</v>
      </c>
      <c r="E339" s="235">
        <v>1</v>
      </c>
      <c r="F339" s="242" t="str">
        <f>IF(AND(ISNA(VLOOKUP(D339,A:A,1,FALSE())),ISNA(VLOOKUP(D339,BaseType!A:A,1,FALSE())),D339&lt;&gt;"Struct"),"N","Y")</f>
        <v>Y</v>
      </c>
      <c r="G339" s="183"/>
      <c r="H339" s="157"/>
      <c r="I339" s="157"/>
      <c r="J339" s="157"/>
      <c r="K339" s="157"/>
      <c r="L339" s="157"/>
      <c r="M339" s="157"/>
      <c r="N339" s="236"/>
      <c r="O339" s="236"/>
      <c r="P339" s="236"/>
      <c r="Q339" s="236"/>
      <c r="R339" s="236"/>
      <c r="S339" s="236"/>
      <c r="T339" s="236"/>
    </row>
    <row r="340" spans="1:20" ht="18.95" customHeight="1" x14ac:dyDescent="0.2">
      <c r="A340" s="229"/>
      <c r="B340" s="235"/>
      <c r="C340" s="157"/>
      <c r="D340" s="235"/>
      <c r="E340" s="235"/>
      <c r="F340" s="235"/>
      <c r="G340" s="183"/>
      <c r="H340" s="157"/>
      <c r="I340" s="157"/>
      <c r="J340" s="157"/>
      <c r="K340" s="157"/>
      <c r="L340" s="157"/>
      <c r="M340" s="157"/>
      <c r="N340" s="236"/>
      <c r="O340" s="236"/>
      <c r="P340" s="236"/>
      <c r="Q340" s="236"/>
      <c r="R340" s="236"/>
      <c r="S340" s="236"/>
      <c r="T340" s="236"/>
    </row>
    <row r="341" spans="1:20" ht="18.95" customHeight="1" x14ac:dyDescent="0.2">
      <c r="A341" s="229"/>
      <c r="B341" s="235"/>
      <c r="C341" s="157"/>
      <c r="D341" s="235"/>
      <c r="E341" s="235"/>
      <c r="F341" s="235"/>
      <c r="G341" s="183"/>
      <c r="H341" s="157"/>
      <c r="I341" s="157"/>
      <c r="J341" s="157"/>
      <c r="K341" s="157"/>
      <c r="L341" s="157"/>
      <c r="M341" s="157"/>
      <c r="N341" s="236"/>
      <c r="O341" s="236"/>
      <c r="P341" s="236"/>
      <c r="Q341" s="236"/>
      <c r="R341" s="236"/>
      <c r="S341" s="236"/>
      <c r="T341" s="236"/>
    </row>
  </sheetData>
  <phoneticPr fontId="21" type="noConversion"/>
  <conditionalFormatting sqref="B1:B1048576">
    <cfRule type="cellIs" dxfId="12" priority="2" stopIfTrue="1" operator="equal">
      <formula>"N"</formula>
    </cfRule>
  </conditionalFormatting>
  <conditionalFormatting sqref="B1:B1048576">
    <cfRule type="cellIs" dxfId="11" priority="3" stopIfTrue="1" operator="equal">
      <formula>"Y"</formula>
    </cfRule>
  </conditionalFormatting>
  <conditionalFormatting sqref="D1:E1048576">
    <cfRule type="cellIs" dxfId="10" priority="4" stopIfTrue="1" operator="equal">
      <formula>"Struct"</formula>
    </cfRule>
  </conditionalFormatting>
  <conditionalFormatting sqref="F1:G1048576">
    <cfRule type="cellIs" dxfId="9" priority="5" stopIfTrue="1" operator="equal">
      <formula>"Y"</formula>
    </cfRule>
  </conditionalFormatting>
  <conditionalFormatting sqref="F1:G1048576">
    <cfRule type="cellIs" dxfId="8" priority="6" stopIfTrue="1" operator="equal">
      <formula>"N"</formula>
    </cfRule>
  </conditionalFormatting>
  <conditionalFormatting sqref="B1:B54">
    <cfRule type="cellIs" dxfId="7" priority="7" stopIfTrue="1" operator="equal">
      <formula>"N"</formula>
    </cfRule>
  </conditionalFormatting>
  <conditionalFormatting sqref="B1:B54">
    <cfRule type="cellIs" dxfId="6" priority="8" stopIfTrue="1" operator="equal">
      <formula>"Y"</formula>
    </cfRule>
  </conditionalFormatting>
  <conditionalFormatting sqref="A1:A54">
    <cfRule type="duplicateValues" dxfId="5" priority="9" stopIfTrue="1"/>
  </conditionalFormatting>
  <conditionalFormatting sqref="A1:A54">
    <cfRule type="duplicateValues" dxfId="4" priority="10" stopIfTrue="1"/>
  </conditionalFormatting>
  <conditionalFormatting sqref="D1:E54">
    <cfRule type="cellIs" dxfId="3" priority="11" stopIfTrue="1" operator="equal">
      <formula>"Struct"</formula>
    </cfRule>
  </conditionalFormatting>
  <pageMargins left="0.7" right="0.7" top="0.75" bottom="0.75" header="0.3" footer="0.3"/>
  <pictur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18"/>
  <sheetViews>
    <sheetView workbookViewId="0">
      <pane ySplit="1" topLeftCell="A2" activePane="bottomLeft" state="frozen"/>
      <selection pane="bottomLeft"/>
    </sheetView>
  </sheetViews>
  <sheetFormatPr defaultColWidth="14" defaultRowHeight="12.75" x14ac:dyDescent="0.2"/>
  <cols>
    <col min="1" max="1" width="34" customWidth="1"/>
    <col min="2" max="2" width="12" customWidth="1"/>
    <col min="3" max="3" width="14" customWidth="1"/>
    <col min="4" max="4" width="33" customWidth="1"/>
    <col min="5" max="6" width="34" customWidth="1"/>
    <col min="7" max="7" width="35" customWidth="1"/>
    <col min="8" max="8" width="19" customWidth="1"/>
    <col min="9" max="9" width="14" customWidth="1"/>
    <col min="10" max="10" width="16" customWidth="1"/>
    <col min="11" max="11" width="19" customWidth="1"/>
    <col min="12" max="12" width="15" customWidth="1"/>
    <col min="13" max="13" width="17" customWidth="1"/>
    <col min="14" max="14" width="46" customWidth="1"/>
    <col min="15" max="15" width="27" customWidth="1"/>
    <col min="16" max="21" width="11" customWidth="1"/>
  </cols>
  <sheetData>
    <row r="1" spans="1:21" x14ac:dyDescent="0.2">
      <c r="A1" s="251" t="s">
        <v>146</v>
      </c>
      <c r="B1" s="251" t="s">
        <v>147</v>
      </c>
      <c r="C1" s="253" t="s">
        <v>148</v>
      </c>
      <c r="D1" s="253" t="s">
        <v>149</v>
      </c>
      <c r="E1" s="251" t="s">
        <v>150</v>
      </c>
      <c r="F1" s="251" t="s">
        <v>151</v>
      </c>
      <c r="G1" s="250" t="s">
        <v>152</v>
      </c>
      <c r="H1" s="250" t="s">
        <v>153</v>
      </c>
      <c r="I1" s="250" t="s">
        <v>154</v>
      </c>
      <c r="J1" s="250" t="s">
        <v>155</v>
      </c>
      <c r="K1" s="252" t="s">
        <v>156</v>
      </c>
      <c r="L1" s="252" t="s">
        <v>157</v>
      </c>
      <c r="M1" s="252" t="s">
        <v>158</v>
      </c>
      <c r="N1" s="252" t="s">
        <v>159</v>
      </c>
      <c r="O1" s="252" t="s">
        <v>160</v>
      </c>
    </row>
    <row r="2" spans="1:21" ht="15" customHeight="1" x14ac:dyDescent="0.2">
      <c r="A2" s="249" t="s">
        <v>188</v>
      </c>
      <c r="B2" s="64" t="s">
        <v>189</v>
      </c>
      <c r="C2" s="51" t="s">
        <v>162</v>
      </c>
      <c r="D2" s="170" t="s">
        <v>3238</v>
      </c>
      <c r="E2" s="48" t="s">
        <v>3239</v>
      </c>
      <c r="F2" s="75" t="str">
        <f>IF(AND(   ISNA(VLOOKUP(E2,DataType_E01!A:A,1,FALSE)),    ISNA(VLOOKUP(E2,DataType_Platform!A:A,1,FALSE)),    ISNA(VLOOKUP(E2,BaseType!A:A,1,FALSE))),"N","Y")</f>
        <v>Y</v>
      </c>
      <c r="G2" s="45" t="s">
        <v>3240</v>
      </c>
      <c r="H2" s="46" t="s">
        <v>165</v>
      </c>
      <c r="I2" s="40" t="s">
        <v>166</v>
      </c>
      <c r="J2" s="46"/>
      <c r="K2" s="41"/>
      <c r="L2" s="41"/>
      <c r="M2" s="41"/>
      <c r="N2" s="41"/>
      <c r="O2" s="41"/>
      <c r="P2" s="42"/>
      <c r="Q2" s="42"/>
      <c r="R2" s="42"/>
      <c r="S2" s="42"/>
      <c r="T2" s="42"/>
      <c r="U2" s="42"/>
    </row>
    <row r="3" spans="1:21" ht="15" customHeight="1" x14ac:dyDescent="0.2">
      <c r="A3" s="249" t="s">
        <v>188</v>
      </c>
      <c r="B3" s="64" t="s">
        <v>189</v>
      </c>
      <c r="C3" s="51" t="s">
        <v>162</v>
      </c>
      <c r="D3" s="170" t="s">
        <v>3241</v>
      </c>
      <c r="E3" s="48" t="s">
        <v>3242</v>
      </c>
      <c r="F3" s="75" t="str">
        <f>IF(AND(   ISNA(VLOOKUP(E3,DataType_E01!A:A,1,FALSE)),    ISNA(VLOOKUP(E3,DataType_Platform!A:A,1,FALSE)),    ISNA(VLOOKUP(E3,BaseType!A:A,1,FALSE))),"N","Y")</f>
        <v>Y</v>
      </c>
      <c r="G3" s="45" t="s">
        <v>3243</v>
      </c>
      <c r="H3" s="46" t="s">
        <v>165</v>
      </c>
      <c r="I3" s="40" t="s">
        <v>166</v>
      </c>
      <c r="J3" s="46"/>
      <c r="K3" s="41"/>
      <c r="L3" s="41"/>
      <c r="M3" s="41"/>
      <c r="N3" s="41"/>
      <c r="O3" s="41"/>
      <c r="P3" s="42"/>
      <c r="Q3" s="42"/>
      <c r="R3" s="42"/>
      <c r="S3" s="42"/>
      <c r="T3" s="42"/>
      <c r="U3" s="42"/>
    </row>
    <row r="4" spans="1:21" ht="15" customHeight="1" x14ac:dyDescent="0.2">
      <c r="A4" s="249" t="s">
        <v>188</v>
      </c>
      <c r="B4" s="64" t="s">
        <v>189</v>
      </c>
      <c r="C4" s="51" t="s">
        <v>162</v>
      </c>
      <c r="D4" s="170" t="s">
        <v>3244</v>
      </c>
      <c r="E4" s="48" t="s">
        <v>3245</v>
      </c>
      <c r="F4" s="75" t="str">
        <f>IF(AND(   ISNA(VLOOKUP(E4,DataType_E01!A:A,1,FALSE)),    ISNA(VLOOKUP(E4,DataType_Platform!A:A,1,FALSE)),    ISNA(VLOOKUP(E4,BaseType!A:A,1,FALSE))),"N","Y")</f>
        <v>Y</v>
      </c>
      <c r="G4" s="45" t="s">
        <v>3246</v>
      </c>
      <c r="H4" s="46" t="s">
        <v>165</v>
      </c>
      <c r="I4" s="40" t="s">
        <v>166</v>
      </c>
      <c r="J4" s="46"/>
      <c r="K4" s="41"/>
      <c r="L4" s="41"/>
      <c r="M4" s="41"/>
      <c r="N4" s="41"/>
      <c r="O4" s="41"/>
      <c r="P4" s="42"/>
      <c r="Q4" s="42"/>
      <c r="R4" s="42"/>
      <c r="S4" s="42"/>
      <c r="T4" s="42"/>
      <c r="U4" s="42"/>
    </row>
    <row r="5" spans="1:21" ht="15" customHeight="1" x14ac:dyDescent="0.2">
      <c r="A5" s="249" t="s">
        <v>188</v>
      </c>
      <c r="B5" s="75" t="s">
        <v>189</v>
      </c>
      <c r="C5" s="51" t="s">
        <v>162</v>
      </c>
      <c r="D5" s="91" t="s">
        <v>3247</v>
      </c>
      <c r="E5" s="48" t="s">
        <v>3248</v>
      </c>
      <c r="F5" s="75" t="str">
        <f>IF(AND(   ISNA(VLOOKUP(E5,DataType_E01!A:A,1,FALSE)),    ISNA(VLOOKUP(E5,DataType_Platform!A:A,1,FALSE)),    ISNA(VLOOKUP(E5,BaseType!A:A,1,FALSE))),"N","Y")</f>
        <v>Y</v>
      </c>
      <c r="G5" s="45" t="s">
        <v>3249</v>
      </c>
      <c r="H5" s="40" t="s">
        <v>165</v>
      </c>
      <c r="I5" s="40" t="s">
        <v>166</v>
      </c>
      <c r="J5" s="40"/>
      <c r="K5" s="118"/>
      <c r="L5" s="41" t="s">
        <v>166</v>
      </c>
      <c r="M5" s="118"/>
      <c r="N5" s="118"/>
      <c r="O5" s="118"/>
      <c r="P5" s="54"/>
      <c r="Q5" s="54"/>
      <c r="R5" s="54"/>
      <c r="S5" s="54"/>
      <c r="T5" s="54"/>
      <c r="U5" s="54"/>
    </row>
    <row r="6" spans="1:21" ht="15" customHeight="1" x14ac:dyDescent="0.2">
      <c r="A6" s="249" t="s">
        <v>188</v>
      </c>
      <c r="B6" s="75" t="s">
        <v>189</v>
      </c>
      <c r="C6" s="51" t="s">
        <v>162</v>
      </c>
      <c r="D6" s="91" t="s">
        <v>3250</v>
      </c>
      <c r="E6" s="48" t="s">
        <v>3251</v>
      </c>
      <c r="F6" s="75" t="str">
        <f>IF(AND(   ISNA(VLOOKUP(E6,DataType_E01!A:A,1,FALSE)),    ISNA(VLOOKUP(E6,DataType_Platform!A:A,1,FALSE)),    ISNA(VLOOKUP(E6,BaseType!A:A,1,FALSE))),"N","Y")</f>
        <v>Y</v>
      </c>
      <c r="G6" s="75" t="s">
        <v>3252</v>
      </c>
      <c r="H6" s="40" t="s">
        <v>165</v>
      </c>
      <c r="I6" s="40" t="s">
        <v>166</v>
      </c>
      <c r="J6" s="40"/>
      <c r="K6" s="118"/>
      <c r="L6" s="41" t="s">
        <v>166</v>
      </c>
      <c r="M6" s="118"/>
      <c r="N6" s="118"/>
      <c r="O6" s="118"/>
      <c r="P6" s="54"/>
      <c r="Q6" s="54"/>
      <c r="R6" s="54"/>
      <c r="S6" s="54"/>
      <c r="T6" s="54"/>
      <c r="U6" s="54"/>
    </row>
    <row r="7" spans="1:21" ht="15" customHeight="1" x14ac:dyDescent="0.2">
      <c r="A7" s="94" t="s">
        <v>188</v>
      </c>
      <c r="B7" s="101" t="s">
        <v>161</v>
      </c>
      <c r="C7" s="101" t="s">
        <v>162</v>
      </c>
      <c r="D7" s="91" t="s">
        <v>3253</v>
      </c>
      <c r="E7" s="45" t="s">
        <v>3254</v>
      </c>
      <c r="F7" s="75" t="str">
        <f>IF(AND(   ISNA(VLOOKUP(E7,DataType_E01!A:A,1,FALSE)),    ISNA(VLOOKUP(E7,DataType_Platform!A:A,1,FALSE)),    ISNA(VLOOKUP(E7,BaseType!A:A,1,FALSE))),"N","Y")</f>
        <v>Y</v>
      </c>
      <c r="G7" s="64" t="s">
        <v>3255</v>
      </c>
      <c r="H7" s="46" t="s">
        <v>165</v>
      </c>
      <c r="I7" s="40" t="s">
        <v>166</v>
      </c>
      <c r="J7" s="40"/>
      <c r="K7" s="41"/>
      <c r="L7" s="41"/>
      <c r="M7" s="171" t="s">
        <v>166</v>
      </c>
      <c r="N7" s="41"/>
      <c r="O7" s="41"/>
      <c r="P7" s="42"/>
      <c r="Q7" s="42"/>
      <c r="R7" s="42"/>
      <c r="S7" s="42"/>
      <c r="T7" s="42"/>
      <c r="U7" s="42"/>
    </row>
    <row r="8" spans="1:21" ht="15" customHeight="1" x14ac:dyDescent="0.2">
      <c r="A8" s="94" t="s">
        <v>188</v>
      </c>
      <c r="B8" s="101" t="s">
        <v>161</v>
      </c>
      <c r="C8" s="101" t="s">
        <v>162</v>
      </c>
      <c r="D8" s="91" t="s">
        <v>3256</v>
      </c>
      <c r="E8" s="45" t="s">
        <v>3257</v>
      </c>
      <c r="F8" s="75" t="str">
        <f>IF(AND(   ISNA(VLOOKUP(E8,DataType_E01!A:A,1,FALSE)),    ISNA(VLOOKUP(E8,DataType_Platform!A:A,1,FALSE)),    ISNA(VLOOKUP(E8,BaseType!A:A,1,FALSE))),"N","Y")</f>
        <v>Y</v>
      </c>
      <c r="G8" s="64" t="s">
        <v>3258</v>
      </c>
      <c r="H8" s="46" t="s">
        <v>165</v>
      </c>
      <c r="I8" s="40" t="s">
        <v>166</v>
      </c>
      <c r="J8" s="40"/>
      <c r="K8" s="41"/>
      <c r="L8" s="41"/>
      <c r="M8" s="171" t="s">
        <v>166</v>
      </c>
      <c r="N8" s="41"/>
      <c r="O8" s="41"/>
      <c r="P8" s="42"/>
      <c r="Q8" s="42"/>
      <c r="R8" s="42"/>
      <c r="S8" s="42"/>
      <c r="T8" s="42"/>
      <c r="U8" s="42"/>
    </row>
    <row r="9" spans="1:21" ht="15" customHeight="1" x14ac:dyDescent="0.2">
      <c r="A9" s="94" t="s">
        <v>188</v>
      </c>
      <c r="B9" s="101" t="s">
        <v>161</v>
      </c>
      <c r="C9" s="101" t="s">
        <v>162</v>
      </c>
      <c r="D9" s="91" t="s">
        <v>3259</v>
      </c>
      <c r="E9" s="45" t="s">
        <v>3260</v>
      </c>
      <c r="F9" s="75" t="str">
        <f>IF(AND(   ISNA(VLOOKUP(E9,DataType_E01!A:A,1,FALSE)),    ISNA(VLOOKUP(E9,DataType_Platform!A:A,1,FALSE)),    ISNA(VLOOKUP(E9,BaseType!A:A,1,FALSE))),"N","Y")</f>
        <v>Y</v>
      </c>
      <c r="G9" s="64" t="s">
        <v>3261</v>
      </c>
      <c r="H9" s="46" t="s">
        <v>165</v>
      </c>
      <c r="I9" s="40" t="s">
        <v>166</v>
      </c>
      <c r="J9" s="40"/>
      <c r="K9" s="41"/>
      <c r="L9" s="41"/>
      <c r="M9" s="171" t="s">
        <v>166</v>
      </c>
      <c r="N9" s="41"/>
      <c r="O9" s="41"/>
      <c r="P9" s="42"/>
      <c r="Q9" s="42"/>
      <c r="R9" s="42"/>
      <c r="S9" s="42"/>
      <c r="T9" s="42"/>
      <c r="U9" s="42"/>
    </row>
    <row r="10" spans="1:21" ht="15" customHeight="1" x14ac:dyDescent="0.2">
      <c r="A10" s="249" t="s">
        <v>188</v>
      </c>
      <c r="B10" s="101" t="s">
        <v>161</v>
      </c>
      <c r="C10" s="101" t="s">
        <v>162</v>
      </c>
      <c r="D10" s="91" t="s">
        <v>3262</v>
      </c>
      <c r="E10" s="48" t="s">
        <v>3263</v>
      </c>
      <c r="F10" s="75" t="str">
        <f>IF(AND(   ISNA(VLOOKUP(E10,DataType_E01!A:A,1,FALSE)),    ISNA(VLOOKUP(E10,DataType_Platform!A:A,1,FALSE)),    ISNA(VLOOKUP(E10,BaseType!A:A,1,FALSE))),"N","Y")</f>
        <v>Y</v>
      </c>
      <c r="G10" s="45" t="s">
        <v>3264</v>
      </c>
      <c r="H10" s="40" t="s">
        <v>165</v>
      </c>
      <c r="I10" s="40" t="s">
        <v>166</v>
      </c>
      <c r="J10" s="40"/>
      <c r="K10" s="118"/>
      <c r="L10" s="41"/>
      <c r="M10" s="171" t="s">
        <v>166</v>
      </c>
      <c r="N10" s="118"/>
      <c r="O10" s="118"/>
      <c r="P10" s="54"/>
      <c r="Q10" s="54"/>
      <c r="R10" s="54"/>
      <c r="S10" s="54"/>
      <c r="T10" s="54"/>
      <c r="U10" s="54"/>
    </row>
    <row r="11" spans="1:21" ht="15" customHeight="1" x14ac:dyDescent="0.2">
      <c r="A11" s="249" t="s">
        <v>188</v>
      </c>
      <c r="B11" s="101" t="s">
        <v>161</v>
      </c>
      <c r="C11" s="101" t="s">
        <v>162</v>
      </c>
      <c r="D11" s="91" t="s">
        <v>3265</v>
      </c>
      <c r="E11" s="48" t="s">
        <v>3266</v>
      </c>
      <c r="F11" s="75" t="str">
        <f>IF(AND(   ISNA(VLOOKUP(E11,DataType_E01!A:A,1,FALSE)),    ISNA(VLOOKUP(E11,DataType_Platform!A:A,1,FALSE)),    ISNA(VLOOKUP(E11,BaseType!A:A,1,FALSE))),"N","Y")</f>
        <v>Y</v>
      </c>
      <c r="G11" s="45" t="s">
        <v>3267</v>
      </c>
      <c r="H11" s="40" t="s">
        <v>165</v>
      </c>
      <c r="I11" s="40" t="s">
        <v>166</v>
      </c>
      <c r="J11" s="40"/>
      <c r="K11" s="118"/>
      <c r="L11" s="41"/>
      <c r="M11" s="171" t="s">
        <v>166</v>
      </c>
      <c r="N11" s="118"/>
      <c r="O11" s="118"/>
      <c r="P11" s="54"/>
      <c r="Q11" s="54"/>
      <c r="R11" s="54"/>
      <c r="S11" s="54"/>
      <c r="T11" s="54"/>
      <c r="U11" s="54"/>
    </row>
    <row r="12" spans="1:21" ht="15" customHeight="1" x14ac:dyDescent="0.2">
      <c r="A12" s="249" t="s">
        <v>188</v>
      </c>
      <c r="B12" s="101" t="s">
        <v>161</v>
      </c>
      <c r="C12" s="101" t="s">
        <v>162</v>
      </c>
      <c r="D12" s="91" t="s">
        <v>3268</v>
      </c>
      <c r="E12" s="48" t="s">
        <v>3269</v>
      </c>
      <c r="F12" s="75" t="str">
        <f>IF(AND(   ISNA(VLOOKUP(E12,DataType_E01!A:A,1,FALSE)),    ISNA(VLOOKUP(E12,DataType_Platform!A:A,1,FALSE)),    ISNA(VLOOKUP(E12,BaseType!A:A,1,FALSE))),"N","Y")</f>
        <v>Y</v>
      </c>
      <c r="G12" s="45" t="s">
        <v>3270</v>
      </c>
      <c r="H12" s="40" t="s">
        <v>165</v>
      </c>
      <c r="I12" s="40" t="s">
        <v>166</v>
      </c>
      <c r="J12" s="40"/>
      <c r="K12" s="118"/>
      <c r="L12" s="41"/>
      <c r="M12" s="171" t="s">
        <v>166</v>
      </c>
      <c r="N12" s="118"/>
      <c r="O12" s="118"/>
      <c r="P12" s="54"/>
      <c r="Q12" s="54"/>
      <c r="R12" s="54"/>
      <c r="S12" s="54"/>
      <c r="T12" s="54"/>
      <c r="U12" s="54"/>
    </row>
    <row r="13" spans="1:21" ht="15" customHeight="1" x14ac:dyDescent="0.2">
      <c r="A13" s="249" t="s">
        <v>387</v>
      </c>
      <c r="B13" s="89" t="s">
        <v>189</v>
      </c>
      <c r="C13" s="101" t="s">
        <v>162</v>
      </c>
      <c r="D13" s="108" t="s">
        <v>3271</v>
      </c>
      <c r="E13" s="102" t="s">
        <v>3272</v>
      </c>
      <c r="F13" s="48" t="str">
        <f>IF(AND(ISNA(VLOOKUP(E13,DataType_T1GC!A:A,1,FALSE())),ISNA(VLOOKUP(E13,BaseType!A:A,1,FALSE()))),"Y","Y")</f>
        <v>Y</v>
      </c>
      <c r="G13" s="89"/>
      <c r="H13" s="46" t="s">
        <v>165</v>
      </c>
      <c r="I13" s="255" t="s">
        <v>166</v>
      </c>
      <c r="J13" s="254"/>
      <c r="K13" s="80"/>
      <c r="L13" s="80"/>
      <c r="M13" s="171" t="s">
        <v>388</v>
      </c>
      <c r="N13" s="1"/>
      <c r="O13" s="1"/>
    </row>
    <row r="14" spans="1:21" ht="15" customHeight="1" x14ac:dyDescent="0.2">
      <c r="A14" s="249" t="s">
        <v>387</v>
      </c>
      <c r="B14" s="89" t="s">
        <v>189</v>
      </c>
      <c r="C14" s="101" t="s">
        <v>162</v>
      </c>
      <c r="D14" s="108" t="s">
        <v>3273</v>
      </c>
      <c r="E14" s="102" t="s">
        <v>3272</v>
      </c>
      <c r="F14" s="48" t="str">
        <f>IF(AND(ISNA(VLOOKUP(E14,DataType_T1GC!A:A,1,FALSE())),ISNA(VLOOKUP(E14,BaseType!A:A,1,FALSE()))),"Y","Y")</f>
        <v>Y</v>
      </c>
      <c r="G14" s="89"/>
      <c r="H14" s="46" t="s">
        <v>165</v>
      </c>
      <c r="I14" s="255" t="s">
        <v>166</v>
      </c>
      <c r="J14" s="254"/>
      <c r="K14" s="80"/>
      <c r="L14" s="80"/>
      <c r="M14" s="171" t="s">
        <v>388</v>
      </c>
      <c r="N14" s="1"/>
      <c r="O14" s="1"/>
    </row>
    <row r="15" spans="1:21" ht="15" customHeight="1" x14ac:dyDescent="0.2">
      <c r="A15" s="70" t="s">
        <v>429</v>
      </c>
      <c r="B15" s="43" t="s">
        <v>189</v>
      </c>
      <c r="C15" s="49" t="s">
        <v>162</v>
      </c>
      <c r="D15" s="66" t="s">
        <v>3238</v>
      </c>
      <c r="E15" s="11" t="s">
        <v>3239</v>
      </c>
      <c r="F15" s="75" t="str">
        <f>IF(AND(   ISNA(VLOOKUP(E15,DataType_E01!A:A,1,FALSE)),    ISNA(VLOOKUP(E15,DataType_Platform!A:A,1,FALSE)),    ISNA(VLOOKUP(E15,BaseType!A:A,1,FALSE))),"N","Y")</f>
        <v>Y</v>
      </c>
      <c r="G15" s="91"/>
      <c r="H15" s="56" t="s">
        <v>165</v>
      </c>
      <c r="I15" s="56" t="s">
        <v>166</v>
      </c>
      <c r="J15" s="56"/>
      <c r="K15" s="65">
        <v>0</v>
      </c>
      <c r="L15" s="65">
        <v>0</v>
      </c>
      <c r="M15" s="65" t="s">
        <v>166</v>
      </c>
      <c r="N15" s="52"/>
      <c r="O15" s="52"/>
      <c r="P15" s="54"/>
      <c r="Q15" s="54"/>
      <c r="R15" s="54"/>
      <c r="S15" s="54"/>
      <c r="T15" s="54"/>
      <c r="U15" s="54"/>
    </row>
    <row r="16" spans="1:21" ht="15" customHeight="1" x14ac:dyDescent="0.2">
      <c r="A16" s="70" t="s">
        <v>429</v>
      </c>
      <c r="B16" s="43" t="s">
        <v>189</v>
      </c>
      <c r="C16" s="49" t="s">
        <v>162</v>
      </c>
      <c r="D16" s="53" t="s">
        <v>3244</v>
      </c>
      <c r="E16" s="36" t="s">
        <v>3245</v>
      </c>
      <c r="F16" s="75" t="str">
        <f>IF(AND(   ISNA(VLOOKUP(E16,DataType_E01!A:A,1,FALSE)),    ISNA(VLOOKUP(E16,DataType_Platform!A:A,1,FALSE)),    ISNA(VLOOKUP(E16,BaseType!A:A,1,FALSE))),"N","Y")</f>
        <v>Y</v>
      </c>
      <c r="G16" s="51"/>
      <c r="H16" s="57" t="s">
        <v>165</v>
      </c>
      <c r="I16" s="57" t="s">
        <v>166</v>
      </c>
      <c r="J16" s="56"/>
      <c r="K16" s="52"/>
      <c r="L16" s="52"/>
      <c r="M16" s="58"/>
      <c r="N16" s="52"/>
      <c r="O16" s="52"/>
      <c r="P16" s="54"/>
      <c r="Q16" s="54"/>
      <c r="R16" s="54"/>
      <c r="S16" s="54"/>
      <c r="T16" s="54"/>
      <c r="U16" s="54"/>
    </row>
    <row r="17" spans="1:21" ht="15" customHeight="1" x14ac:dyDescent="0.2">
      <c r="A17" s="70" t="s">
        <v>429</v>
      </c>
      <c r="B17" s="43" t="s">
        <v>161</v>
      </c>
      <c r="C17" s="49" t="s">
        <v>162</v>
      </c>
      <c r="D17" s="53" t="s">
        <v>3274</v>
      </c>
      <c r="E17" s="36" t="s">
        <v>3275</v>
      </c>
      <c r="F17" s="44" t="str">
        <f>IF(AND(ISNA(VLOOKUP(E17,DataType_E01!A:A,1,FALSE())),ISNA(VLOOKUP(E17,BaseType!A:A,1,FALSE()))),"N","Y")</f>
        <v>Y</v>
      </c>
      <c r="G17" s="51"/>
      <c r="H17" s="57" t="s">
        <v>165</v>
      </c>
      <c r="I17" s="57" t="s">
        <v>166</v>
      </c>
      <c r="J17" s="56"/>
      <c r="K17" s="52"/>
      <c r="L17" s="52"/>
      <c r="M17" s="58" t="s">
        <v>166</v>
      </c>
      <c r="N17" s="52"/>
      <c r="O17" s="52"/>
      <c r="P17" s="54"/>
      <c r="Q17" s="54"/>
      <c r="R17" s="54"/>
      <c r="S17" s="54"/>
      <c r="T17" s="54"/>
      <c r="U17" s="54"/>
    </row>
    <row r="18" spans="1:21" ht="15" customHeight="1" x14ac:dyDescent="0.2">
      <c r="A18" s="70"/>
      <c r="B18" s="43"/>
      <c r="C18" s="49"/>
      <c r="D18" s="53"/>
      <c r="E18" s="36"/>
      <c r="F18" s="44"/>
      <c r="G18" s="51"/>
      <c r="H18" s="57"/>
      <c r="I18" s="57"/>
      <c r="J18" s="56"/>
      <c r="K18" s="52"/>
      <c r="L18" s="52"/>
      <c r="M18" s="58"/>
      <c r="N18" s="52"/>
      <c r="O18" s="52"/>
      <c r="P18" s="54"/>
      <c r="Q18" s="54"/>
      <c r="R18" s="54"/>
      <c r="S18" s="54"/>
      <c r="T18" s="54"/>
      <c r="U18" s="54"/>
    </row>
  </sheetData>
  <phoneticPr fontId="21" type="noConversion"/>
  <dataValidations count="6">
    <dataValidation type="list" allowBlank="1" showErrorMessage="1" sqref="C2:C18">
      <formula1>"S/R,C/S"</formula1>
    </dataValidation>
    <dataValidation type="list" allowBlank="1" showErrorMessage="1" sqref="H7:H9 H13:H18">
      <formula1>"Explict,Implict"</formula1>
    </dataValidation>
    <dataValidation type="list" allowBlank="1" showErrorMessage="1" sqref="B1:B18">
      <formula1>"Inport,Outport"</formula1>
    </dataValidation>
    <dataValidation type="list" allowBlank="1" showErrorMessage="1" sqref="H2:H6 H10:H12">
      <formula1>"Explict,Implict,Async,Sync"</formula1>
    </dataValidation>
    <dataValidation type="list" allowBlank="1" showErrorMessage="1" sqref="I2:I18 M2:M18 L2:L6 L10:L12">
      <formula1>"Y,N"</formula1>
    </dataValidation>
    <dataValidation type="list" allowBlank="1" showErrorMessage="1" sqref="K2:K18">
      <formula1>"Network,Actuator,Sensor,NVM,TiMgr,Internal,Diag,Communication,ModCtrl"</formula1>
    </dataValidation>
  </dataValidations>
  <pageMargins left="0.7" right="0.7" top="0.75" bottom="0.75" header="0.3" footer="0.3"/>
  <pictur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792"/>
  <sheetViews>
    <sheetView workbookViewId="0">
      <pane ySplit="1" topLeftCell="A2" activePane="bottomLeft" state="frozen"/>
      <selection pane="bottomLeft"/>
    </sheetView>
  </sheetViews>
  <sheetFormatPr defaultColWidth="14" defaultRowHeight="12.75" x14ac:dyDescent="0.2"/>
  <cols>
    <col min="1" max="1" width="46" customWidth="1"/>
    <col min="2" max="2" width="40" customWidth="1"/>
    <col min="3" max="4" width="46" customWidth="1"/>
    <col min="5" max="5" width="17" customWidth="1"/>
    <col min="6" max="6" width="18" customWidth="1"/>
    <col min="7" max="7" width="62" customWidth="1"/>
    <col min="8" max="13" width="12" customWidth="1"/>
    <col min="14" max="20" width="9" customWidth="1"/>
  </cols>
  <sheetData>
    <row r="1" spans="1:20" ht="13.5" x14ac:dyDescent="0.2">
      <c r="A1" s="243" t="s">
        <v>472</v>
      </c>
      <c r="B1" s="243" t="s">
        <v>473</v>
      </c>
      <c r="C1" s="243" t="s">
        <v>474</v>
      </c>
      <c r="D1" s="243" t="s">
        <v>475</v>
      </c>
      <c r="E1" s="247" t="s">
        <v>476</v>
      </c>
      <c r="F1" s="243" t="s">
        <v>477</v>
      </c>
      <c r="G1" s="246" t="s">
        <v>152</v>
      </c>
      <c r="H1" s="244" t="s">
        <v>478</v>
      </c>
      <c r="I1" s="244" t="s">
        <v>479</v>
      </c>
      <c r="J1" s="244" t="s">
        <v>480</v>
      </c>
      <c r="K1" s="244" t="s">
        <v>481</v>
      </c>
      <c r="L1" s="143" t="s">
        <v>482</v>
      </c>
      <c r="M1" s="143" t="s">
        <v>483</v>
      </c>
      <c r="N1" s="140"/>
      <c r="O1" s="140"/>
      <c r="P1" s="140"/>
      <c r="Q1" s="140"/>
      <c r="R1" s="140"/>
      <c r="S1" s="140"/>
      <c r="T1" s="140"/>
    </row>
    <row r="2" spans="1:20" ht="15" customHeight="1" x14ac:dyDescent="0.2">
      <c r="A2" s="80" t="s">
        <v>3239</v>
      </c>
      <c r="B2" s="144" t="str">
        <f>IF(ISBLANK(A2),"",IF(AND(ISNA(VLOOKUP(A2,Interface_E01!E:E,1,FALSE())),ISNA(VLOOKUP(A2,D:D,1,FALSE()))),"N","Y"))</f>
        <v>Y</v>
      </c>
      <c r="C2" s="148"/>
      <c r="D2" s="274" t="s">
        <v>484</v>
      </c>
      <c r="E2" s="95"/>
      <c r="F2" s="143" t="str">
        <f>IF(AND(ISNA(VLOOKUP(D2,A:A,1,FALSE())),ISNA(VLOOKUP(D2,BaseType!A:A,1,FALSE())),D2&lt;&gt;"Struct"),"N","Y")</f>
        <v>Y</v>
      </c>
      <c r="G2" s="91"/>
      <c r="H2" s="1"/>
      <c r="I2" s="1"/>
      <c r="J2" s="1"/>
      <c r="K2" s="1"/>
      <c r="L2" s="1"/>
      <c r="M2" s="1"/>
    </row>
    <row r="3" spans="1:20" ht="15" customHeight="1" x14ac:dyDescent="0.2">
      <c r="A3" s="80"/>
      <c r="B3" s="148"/>
      <c r="C3" s="148" t="s">
        <v>3276</v>
      </c>
      <c r="D3" s="80" t="s">
        <v>293</v>
      </c>
      <c r="E3" s="95">
        <v>1</v>
      </c>
      <c r="F3" s="143" t="str">
        <f>IF(AND(ISNA(VLOOKUP(D3,A:A,1,FALSE())),ISNA(VLOOKUP(D3,BaseType!A:A,1,FALSE())),D3&lt;&gt;"Struct"),"N","Y")</f>
        <v>Y</v>
      </c>
      <c r="G3" s="91" t="s">
        <v>3277</v>
      </c>
      <c r="H3" s="1"/>
      <c r="I3" s="1"/>
      <c r="J3" s="1"/>
      <c r="K3" s="1"/>
      <c r="L3" s="1"/>
      <c r="M3" s="1"/>
    </row>
    <row r="4" spans="1:20" ht="15" customHeight="1" x14ac:dyDescent="0.2">
      <c r="A4" s="80"/>
      <c r="B4" s="148"/>
      <c r="C4" s="148" t="s">
        <v>3278</v>
      </c>
      <c r="D4" s="80" t="s">
        <v>293</v>
      </c>
      <c r="E4" s="95">
        <v>1</v>
      </c>
      <c r="F4" s="143" t="str">
        <f>IF(AND(ISNA(VLOOKUP(D4,A:A,1,FALSE())),ISNA(VLOOKUP(D4,BaseType!A:A,1,FALSE())),D4&lt;&gt;"Struct"),"N","Y")</f>
        <v>Y</v>
      </c>
      <c r="G4" s="91" t="s">
        <v>3279</v>
      </c>
      <c r="H4" s="1"/>
      <c r="I4" s="1"/>
      <c r="J4" s="1"/>
      <c r="K4" s="1"/>
      <c r="L4" s="1"/>
      <c r="M4" s="1"/>
    </row>
    <row r="5" spans="1:20" ht="15" customHeight="1" x14ac:dyDescent="0.2">
      <c r="A5" s="80"/>
      <c r="B5" s="148"/>
      <c r="C5" s="148" t="s">
        <v>3280</v>
      </c>
      <c r="D5" s="80" t="s">
        <v>293</v>
      </c>
      <c r="E5" s="95">
        <v>1</v>
      </c>
      <c r="F5" s="143" t="str">
        <f>IF(AND(ISNA(VLOOKUP(D5,A:A,1,FALSE())),ISNA(VLOOKUP(D5,BaseType!A:A,1,FALSE())),D5&lt;&gt;"Struct"),"N","Y")</f>
        <v>Y</v>
      </c>
      <c r="G5" s="91" t="s">
        <v>3281</v>
      </c>
      <c r="H5" s="1"/>
      <c r="I5" s="1"/>
      <c r="J5" s="1"/>
      <c r="K5" s="1"/>
      <c r="L5" s="1"/>
      <c r="M5" s="1"/>
    </row>
    <row r="6" spans="1:20" ht="15" customHeight="1" x14ac:dyDescent="0.2">
      <c r="A6" s="80"/>
      <c r="B6" s="148"/>
      <c r="C6" s="148" t="s">
        <v>3282</v>
      </c>
      <c r="D6" s="80" t="s">
        <v>293</v>
      </c>
      <c r="E6" s="95">
        <v>1</v>
      </c>
      <c r="F6" s="143" t="str">
        <f>IF(AND(ISNA(VLOOKUP(D6,A:A,1,FALSE())),ISNA(VLOOKUP(D6,BaseType!A:A,1,FALSE())),D6&lt;&gt;"Struct"),"N","Y")</f>
        <v>Y</v>
      </c>
      <c r="G6" s="91" t="s">
        <v>3283</v>
      </c>
      <c r="H6" s="1"/>
      <c r="I6" s="1"/>
      <c r="J6" s="1"/>
      <c r="K6" s="1"/>
      <c r="L6" s="1"/>
      <c r="M6" s="1"/>
    </row>
    <row r="7" spans="1:20" ht="15" customHeight="1" x14ac:dyDescent="0.2">
      <c r="A7" s="80"/>
      <c r="B7" s="148"/>
      <c r="C7" s="148" t="s">
        <v>3284</v>
      </c>
      <c r="D7" s="80" t="s">
        <v>293</v>
      </c>
      <c r="E7" s="95">
        <v>1</v>
      </c>
      <c r="F7" s="143" t="str">
        <f>IF(AND(ISNA(VLOOKUP(D7,A:A,1,FALSE())),ISNA(VLOOKUP(D7,BaseType!A:A,1,FALSE())),D7&lt;&gt;"Struct"),"N","Y")</f>
        <v>Y</v>
      </c>
      <c r="G7" s="91" t="s">
        <v>3285</v>
      </c>
      <c r="H7" s="1"/>
      <c r="I7" s="1"/>
      <c r="J7" s="1"/>
      <c r="K7" s="1"/>
      <c r="L7" s="1"/>
      <c r="M7" s="1"/>
    </row>
    <row r="8" spans="1:20" ht="15" customHeight="1" x14ac:dyDescent="0.2">
      <c r="A8" s="80"/>
      <c r="B8" s="148"/>
      <c r="C8" s="148" t="s">
        <v>3286</v>
      </c>
      <c r="D8" s="80" t="s">
        <v>293</v>
      </c>
      <c r="E8" s="95">
        <v>1</v>
      </c>
      <c r="F8" s="143" t="str">
        <f>IF(AND(ISNA(VLOOKUP(D8,A:A,1,FALSE())),ISNA(VLOOKUP(D8,BaseType!A:A,1,FALSE())),D8&lt;&gt;"Struct"),"N","Y")</f>
        <v>Y</v>
      </c>
      <c r="G8" s="91" t="s">
        <v>3287</v>
      </c>
      <c r="H8" s="1"/>
      <c r="I8" s="1"/>
      <c r="J8" s="1"/>
      <c r="K8" s="1"/>
      <c r="L8" s="1"/>
      <c r="M8" s="1"/>
    </row>
    <row r="9" spans="1:20" ht="15" customHeight="1" x14ac:dyDescent="0.2">
      <c r="A9" s="80"/>
      <c r="B9" s="148"/>
      <c r="C9" s="148" t="s">
        <v>3288</v>
      </c>
      <c r="D9" s="80" t="s">
        <v>293</v>
      </c>
      <c r="E9" s="95">
        <v>1</v>
      </c>
      <c r="F9" s="143" t="str">
        <f>IF(AND(ISNA(VLOOKUP(D9,A:A,1,FALSE())),ISNA(VLOOKUP(D9,BaseType!A:A,1,FALSE())),D9&lt;&gt;"Struct"),"N","Y")</f>
        <v>Y</v>
      </c>
      <c r="G9" s="91" t="s">
        <v>3289</v>
      </c>
      <c r="H9" s="1"/>
      <c r="I9" s="1"/>
      <c r="J9" s="1"/>
      <c r="K9" s="1"/>
      <c r="L9" s="1"/>
      <c r="M9" s="1"/>
    </row>
    <row r="10" spans="1:20" ht="15" customHeight="1" x14ac:dyDescent="0.2">
      <c r="A10" s="80"/>
      <c r="B10" s="148"/>
      <c r="C10" s="148" t="s">
        <v>3290</v>
      </c>
      <c r="D10" s="80" t="s">
        <v>293</v>
      </c>
      <c r="E10" s="95">
        <v>1</v>
      </c>
      <c r="F10" s="143" t="str">
        <f>IF(AND(ISNA(VLOOKUP(D10,A:A,1,FALSE())),ISNA(VLOOKUP(D10,BaseType!A:A,1,FALSE())),D10&lt;&gt;"Struct"),"N","Y")</f>
        <v>Y</v>
      </c>
      <c r="G10" s="91" t="s">
        <v>3291</v>
      </c>
      <c r="H10" s="1"/>
      <c r="I10" s="1"/>
      <c r="J10" s="1"/>
      <c r="K10" s="1"/>
      <c r="L10" s="1"/>
      <c r="M10" s="1"/>
    </row>
    <row r="11" spans="1:20" ht="15" customHeight="1" x14ac:dyDescent="0.2">
      <c r="A11" s="80"/>
      <c r="B11" s="148"/>
      <c r="C11" s="148" t="s">
        <v>3292</v>
      </c>
      <c r="D11" s="80" t="s">
        <v>293</v>
      </c>
      <c r="E11" s="95">
        <v>1</v>
      </c>
      <c r="F11" s="143" t="str">
        <f>IF(AND(ISNA(VLOOKUP(D11,A:A,1,FALSE())),ISNA(VLOOKUP(D11,BaseType!A:A,1,FALSE())),D11&lt;&gt;"Struct"),"N","Y")</f>
        <v>Y</v>
      </c>
      <c r="G11" s="91" t="s">
        <v>3293</v>
      </c>
      <c r="H11" s="1"/>
      <c r="I11" s="1"/>
      <c r="J11" s="1"/>
      <c r="K11" s="1"/>
      <c r="L11" s="1"/>
      <c r="M11" s="1"/>
    </row>
    <row r="12" spans="1:20" ht="15" customHeight="1" x14ac:dyDescent="0.2">
      <c r="A12" s="80"/>
      <c r="B12" s="148"/>
      <c r="C12" s="148" t="s">
        <v>3294</v>
      </c>
      <c r="D12" s="80" t="s">
        <v>293</v>
      </c>
      <c r="E12" s="95">
        <v>1</v>
      </c>
      <c r="F12" s="143" t="str">
        <f>IF(AND(ISNA(VLOOKUP(D12,A:A,1,FALSE())),ISNA(VLOOKUP(D12,BaseType!A:A,1,FALSE())),D12&lt;&gt;"Struct"),"N","Y")</f>
        <v>Y</v>
      </c>
      <c r="G12" s="91" t="s">
        <v>3295</v>
      </c>
      <c r="H12" s="1"/>
      <c r="I12" s="1"/>
      <c r="J12" s="1"/>
      <c r="K12" s="1"/>
      <c r="L12" s="1"/>
      <c r="M12" s="1"/>
    </row>
    <row r="13" spans="1:20" ht="15" customHeight="1" x14ac:dyDescent="0.2">
      <c r="A13" s="80"/>
      <c r="B13" s="148"/>
      <c r="C13" s="148" t="s">
        <v>3296</v>
      </c>
      <c r="D13" s="80" t="s">
        <v>293</v>
      </c>
      <c r="E13" s="95">
        <v>1</v>
      </c>
      <c r="F13" s="143" t="str">
        <f>IF(AND(ISNA(VLOOKUP(D13,A:A,1,FALSE())),ISNA(VLOOKUP(D13,BaseType!A:A,1,FALSE())),D13&lt;&gt;"Struct"),"N","Y")</f>
        <v>Y</v>
      </c>
      <c r="G13" s="91" t="s">
        <v>3297</v>
      </c>
      <c r="H13" s="1"/>
      <c r="I13" s="1"/>
      <c r="J13" s="1"/>
      <c r="K13" s="1"/>
      <c r="L13" s="1"/>
      <c r="M13" s="1"/>
    </row>
    <row r="14" spans="1:20" ht="15" customHeight="1" x14ac:dyDescent="0.2">
      <c r="A14" s="80"/>
      <c r="B14" s="148"/>
      <c r="C14" s="148" t="s">
        <v>3298</v>
      </c>
      <c r="D14" s="80" t="s">
        <v>293</v>
      </c>
      <c r="E14" s="95">
        <v>1</v>
      </c>
      <c r="F14" s="143" t="str">
        <f>IF(AND(ISNA(VLOOKUP(D14,A:A,1,FALSE())),ISNA(VLOOKUP(D14,BaseType!A:A,1,FALSE())),D14&lt;&gt;"Struct"),"N","Y")</f>
        <v>Y</v>
      </c>
      <c r="G14" s="91" t="s">
        <v>3299</v>
      </c>
      <c r="H14" s="1"/>
      <c r="I14" s="1"/>
      <c r="J14" s="1"/>
      <c r="K14" s="1"/>
      <c r="L14" s="1"/>
      <c r="M14" s="1"/>
    </row>
    <row r="15" spans="1:20" ht="15" customHeight="1" x14ac:dyDescent="0.2">
      <c r="A15" s="80"/>
      <c r="B15" s="148"/>
      <c r="C15" s="148" t="s">
        <v>3300</v>
      </c>
      <c r="D15" s="80" t="s">
        <v>293</v>
      </c>
      <c r="E15" s="95">
        <v>1</v>
      </c>
      <c r="F15" s="143" t="str">
        <f>IF(AND(ISNA(VLOOKUP(D15,A:A,1,FALSE())),ISNA(VLOOKUP(D15,BaseType!A:A,1,FALSE())),D15&lt;&gt;"Struct"),"N","Y")</f>
        <v>Y</v>
      </c>
      <c r="G15" s="91" t="s">
        <v>3301</v>
      </c>
      <c r="H15" s="1"/>
      <c r="I15" s="1"/>
      <c r="J15" s="1"/>
      <c r="K15" s="1"/>
      <c r="L15" s="1"/>
      <c r="M15" s="1"/>
    </row>
    <row r="16" spans="1:20" ht="15" customHeight="1" x14ac:dyDescent="0.2">
      <c r="A16" s="80"/>
      <c r="B16" s="148"/>
      <c r="C16" s="148" t="s">
        <v>3302</v>
      </c>
      <c r="D16" s="80" t="s">
        <v>293</v>
      </c>
      <c r="E16" s="95">
        <v>1</v>
      </c>
      <c r="F16" s="143" t="str">
        <f>IF(AND(ISNA(VLOOKUP(D16,A:A,1,FALSE())),ISNA(VLOOKUP(D16,BaseType!A:A,1,FALSE())),D16&lt;&gt;"Struct"),"N","Y")</f>
        <v>Y</v>
      </c>
      <c r="G16" s="91" t="s">
        <v>3303</v>
      </c>
      <c r="H16" s="1"/>
      <c r="I16" s="1"/>
      <c r="J16" s="1"/>
      <c r="K16" s="1"/>
      <c r="L16" s="1"/>
      <c r="M16" s="1"/>
    </row>
    <row r="17" spans="1:13" ht="15" customHeight="1" x14ac:dyDescent="0.2">
      <c r="A17" s="80"/>
      <c r="B17" s="148"/>
      <c r="C17" s="148" t="s">
        <v>3304</v>
      </c>
      <c r="D17" s="80" t="s">
        <v>293</v>
      </c>
      <c r="E17" s="95">
        <v>1</v>
      </c>
      <c r="F17" s="143" t="str">
        <f>IF(AND(ISNA(VLOOKUP(D17,A:A,1,FALSE())),ISNA(VLOOKUP(D17,BaseType!A:A,1,FALSE())),D17&lt;&gt;"Struct"),"N","Y")</f>
        <v>Y</v>
      </c>
      <c r="G17" s="91" t="s">
        <v>3305</v>
      </c>
      <c r="H17" s="1"/>
      <c r="I17" s="1"/>
      <c r="J17" s="1"/>
      <c r="K17" s="1"/>
      <c r="L17" s="1"/>
      <c r="M17" s="1"/>
    </row>
    <row r="18" spans="1:13" ht="15" customHeight="1" x14ac:dyDescent="0.2">
      <c r="A18" s="80"/>
      <c r="B18" s="148"/>
      <c r="C18" s="148" t="s">
        <v>3306</v>
      </c>
      <c r="D18" s="80" t="s">
        <v>293</v>
      </c>
      <c r="E18" s="95">
        <v>1</v>
      </c>
      <c r="F18" s="143" t="str">
        <f>IF(AND(ISNA(VLOOKUP(D18,A:A,1,FALSE())),ISNA(VLOOKUP(D18,BaseType!A:A,1,FALSE())),D18&lt;&gt;"Struct"),"N","Y")</f>
        <v>Y</v>
      </c>
      <c r="G18" s="91" t="s">
        <v>3307</v>
      </c>
      <c r="H18" s="1"/>
      <c r="I18" s="1"/>
      <c r="J18" s="1"/>
      <c r="K18" s="1"/>
      <c r="L18" s="1"/>
      <c r="M18" s="1"/>
    </row>
    <row r="19" spans="1:13" ht="15" customHeight="1" x14ac:dyDescent="0.2">
      <c r="A19" s="80"/>
      <c r="B19" s="148"/>
      <c r="C19" s="148" t="s">
        <v>3308</v>
      </c>
      <c r="D19" s="80" t="s">
        <v>293</v>
      </c>
      <c r="E19" s="95">
        <v>1</v>
      </c>
      <c r="F19" s="143" t="str">
        <f>IF(AND(ISNA(VLOOKUP(D19,A:A,1,FALSE())),ISNA(VLOOKUP(D19,BaseType!A:A,1,FALSE())),D19&lt;&gt;"Struct"),"N","Y")</f>
        <v>Y</v>
      </c>
      <c r="G19" s="91" t="s">
        <v>3309</v>
      </c>
      <c r="H19" s="1"/>
      <c r="I19" s="1"/>
      <c r="J19" s="1"/>
      <c r="K19" s="1"/>
      <c r="L19" s="1"/>
      <c r="M19" s="1"/>
    </row>
    <row r="20" spans="1:13" ht="15" customHeight="1" x14ac:dyDescent="0.2">
      <c r="A20" s="80"/>
      <c r="B20" s="148"/>
      <c r="C20" s="148" t="s">
        <v>3310</v>
      </c>
      <c r="D20" s="80" t="s">
        <v>293</v>
      </c>
      <c r="E20" s="95">
        <v>1</v>
      </c>
      <c r="F20" s="143" t="str">
        <f>IF(AND(ISNA(VLOOKUP(D20,A:A,1,FALSE())),ISNA(VLOOKUP(D20,BaseType!A:A,1,FALSE())),D20&lt;&gt;"Struct"),"N","Y")</f>
        <v>Y</v>
      </c>
      <c r="G20" s="91" t="s">
        <v>3311</v>
      </c>
      <c r="H20" s="1"/>
      <c r="I20" s="1"/>
      <c r="J20" s="1"/>
      <c r="K20" s="1"/>
      <c r="L20" s="1"/>
      <c r="M20" s="1"/>
    </row>
    <row r="21" spans="1:13" ht="15" customHeight="1" x14ac:dyDescent="0.2">
      <c r="A21" s="80"/>
      <c r="B21" s="148"/>
      <c r="C21" s="148" t="s">
        <v>3312</v>
      </c>
      <c r="D21" s="80" t="s">
        <v>293</v>
      </c>
      <c r="E21" s="95">
        <v>1</v>
      </c>
      <c r="F21" s="143" t="str">
        <f>IF(AND(ISNA(VLOOKUP(D21,A:A,1,FALSE())),ISNA(VLOOKUP(D21,BaseType!A:A,1,FALSE())),D21&lt;&gt;"Struct"),"N","Y")</f>
        <v>Y</v>
      </c>
      <c r="G21" s="91" t="s">
        <v>3313</v>
      </c>
      <c r="H21" s="1"/>
      <c r="I21" s="1"/>
      <c r="J21" s="1"/>
      <c r="K21" s="1"/>
      <c r="L21" s="1"/>
      <c r="M21" s="1"/>
    </row>
    <row r="22" spans="1:13" ht="15" customHeight="1" x14ac:dyDescent="0.2">
      <c r="A22" s="80"/>
      <c r="B22" s="148"/>
      <c r="C22" s="148" t="s">
        <v>3314</v>
      </c>
      <c r="D22" s="80" t="s">
        <v>293</v>
      </c>
      <c r="E22" s="95">
        <v>1</v>
      </c>
      <c r="F22" s="143" t="str">
        <f>IF(AND(ISNA(VLOOKUP(D22,A:A,1,FALSE())),ISNA(VLOOKUP(D22,BaseType!A:A,1,FALSE())),D22&lt;&gt;"Struct"),"N","Y")</f>
        <v>Y</v>
      </c>
      <c r="G22" s="91" t="s">
        <v>3315</v>
      </c>
      <c r="H22" s="1"/>
      <c r="I22" s="1"/>
      <c r="J22" s="1"/>
      <c r="K22" s="1"/>
      <c r="L22" s="1"/>
      <c r="M22" s="1"/>
    </row>
    <row r="23" spans="1:13" ht="15" customHeight="1" x14ac:dyDescent="0.2">
      <c r="A23" s="80"/>
      <c r="B23" s="148"/>
      <c r="C23" s="148" t="s">
        <v>3316</v>
      </c>
      <c r="D23" s="80" t="s">
        <v>293</v>
      </c>
      <c r="E23" s="95">
        <v>1</v>
      </c>
      <c r="F23" s="143" t="str">
        <f>IF(AND(ISNA(VLOOKUP(D23,A:A,1,FALSE())),ISNA(VLOOKUP(D23,BaseType!A:A,1,FALSE())),D23&lt;&gt;"Struct"),"N","Y")</f>
        <v>Y</v>
      </c>
      <c r="G23" s="91" t="s">
        <v>3317</v>
      </c>
      <c r="H23" s="1"/>
      <c r="I23" s="1"/>
      <c r="J23" s="1"/>
      <c r="K23" s="1"/>
      <c r="L23" s="1"/>
      <c r="M23" s="1"/>
    </row>
    <row r="24" spans="1:13" ht="15" customHeight="1" x14ac:dyDescent="0.2">
      <c r="A24" s="80"/>
      <c r="B24" s="148"/>
      <c r="C24" s="148" t="s">
        <v>3318</v>
      </c>
      <c r="D24" s="80" t="s">
        <v>293</v>
      </c>
      <c r="E24" s="95">
        <v>1</v>
      </c>
      <c r="F24" s="143" t="str">
        <f>IF(AND(ISNA(VLOOKUP(D24,A:A,1,FALSE())),ISNA(VLOOKUP(D24,BaseType!A:A,1,FALSE())),D24&lt;&gt;"Struct"),"N","Y")</f>
        <v>Y</v>
      </c>
      <c r="G24" s="91" t="s">
        <v>3319</v>
      </c>
      <c r="H24" s="1"/>
      <c r="I24" s="1"/>
      <c r="J24" s="1"/>
      <c r="K24" s="1"/>
      <c r="L24" s="1"/>
      <c r="M24" s="1"/>
    </row>
    <row r="25" spans="1:13" ht="15" customHeight="1" x14ac:dyDescent="0.2">
      <c r="A25" s="80"/>
      <c r="B25" s="148"/>
      <c r="C25" s="148" t="s">
        <v>3320</v>
      </c>
      <c r="D25" s="80" t="s">
        <v>293</v>
      </c>
      <c r="E25" s="95">
        <v>1</v>
      </c>
      <c r="F25" s="143" t="str">
        <f>IF(AND(ISNA(VLOOKUP(D25,A:A,1,FALSE())),ISNA(VLOOKUP(D25,BaseType!A:A,1,FALSE())),D25&lt;&gt;"Struct"),"N","Y")</f>
        <v>Y</v>
      </c>
      <c r="G25" s="91" t="s">
        <v>3321</v>
      </c>
      <c r="H25" s="1"/>
      <c r="I25" s="1"/>
      <c r="J25" s="1"/>
      <c r="K25" s="1"/>
      <c r="L25" s="1"/>
      <c r="M25" s="1"/>
    </row>
    <row r="26" spans="1:13" ht="15" customHeight="1" x14ac:dyDescent="0.2">
      <c r="A26" s="80"/>
      <c r="B26" s="148"/>
      <c r="C26" s="148" t="s">
        <v>3322</v>
      </c>
      <c r="D26" s="80" t="s">
        <v>293</v>
      </c>
      <c r="E26" s="95">
        <v>1</v>
      </c>
      <c r="F26" s="143" t="str">
        <f>IF(AND(ISNA(VLOOKUP(D26,A:A,1,FALSE())),ISNA(VLOOKUP(D26,BaseType!A:A,1,FALSE())),D26&lt;&gt;"Struct"),"N","Y")</f>
        <v>Y</v>
      </c>
      <c r="G26" s="91" t="s">
        <v>3323</v>
      </c>
      <c r="H26" s="1"/>
      <c r="I26" s="1"/>
      <c r="J26" s="1"/>
      <c r="K26" s="1"/>
      <c r="L26" s="1"/>
      <c r="M26" s="1"/>
    </row>
    <row r="27" spans="1:13" ht="15" customHeight="1" x14ac:dyDescent="0.2">
      <c r="A27" s="80"/>
      <c r="B27" s="148"/>
      <c r="C27" s="148" t="s">
        <v>3324</v>
      </c>
      <c r="D27" s="80" t="s">
        <v>293</v>
      </c>
      <c r="E27" s="95">
        <v>1</v>
      </c>
      <c r="F27" s="143" t="str">
        <f>IF(AND(ISNA(VLOOKUP(D27,A:A,1,FALSE())),ISNA(VLOOKUP(D27,BaseType!A:A,1,FALSE())),D27&lt;&gt;"Struct"),"N","Y")</f>
        <v>Y</v>
      </c>
      <c r="G27" s="91" t="s">
        <v>3325</v>
      </c>
      <c r="H27" s="1"/>
      <c r="I27" s="1"/>
      <c r="J27" s="1"/>
      <c r="K27" s="1"/>
      <c r="L27" s="1"/>
      <c r="M27" s="1"/>
    </row>
    <row r="28" spans="1:13" ht="15" customHeight="1" x14ac:dyDescent="0.2">
      <c r="A28" s="80"/>
      <c r="B28" s="148"/>
      <c r="C28" s="148" t="s">
        <v>3326</v>
      </c>
      <c r="D28" s="80" t="s">
        <v>293</v>
      </c>
      <c r="E28" s="95">
        <v>1</v>
      </c>
      <c r="F28" s="143" t="str">
        <f>IF(AND(ISNA(VLOOKUP(D28,A:A,1,FALSE())),ISNA(VLOOKUP(D28,BaseType!A:A,1,FALSE())),D28&lt;&gt;"Struct"),"N","Y")</f>
        <v>Y</v>
      </c>
      <c r="G28" s="91" t="s">
        <v>3327</v>
      </c>
      <c r="H28" s="1"/>
      <c r="I28" s="1"/>
      <c r="J28" s="1"/>
      <c r="K28" s="1"/>
      <c r="L28" s="1"/>
      <c r="M28" s="1"/>
    </row>
    <row r="29" spans="1:13" ht="15" customHeight="1" x14ac:dyDescent="0.2">
      <c r="A29" s="80"/>
      <c r="B29" s="148"/>
      <c r="C29" s="148" t="s">
        <v>3328</v>
      </c>
      <c r="D29" s="80" t="s">
        <v>293</v>
      </c>
      <c r="E29" s="95">
        <v>1</v>
      </c>
      <c r="F29" s="143" t="str">
        <f>IF(AND(ISNA(VLOOKUP(D29,A:A,1,FALSE())),ISNA(VLOOKUP(D29,BaseType!A:A,1,FALSE())),D29&lt;&gt;"Struct"),"N","Y")</f>
        <v>Y</v>
      </c>
      <c r="G29" s="91" t="s">
        <v>3329</v>
      </c>
      <c r="H29" s="1"/>
      <c r="I29" s="1"/>
      <c r="J29" s="1"/>
      <c r="K29" s="1"/>
      <c r="L29" s="1"/>
      <c r="M29" s="1"/>
    </row>
    <row r="30" spans="1:13" ht="15" customHeight="1" x14ac:dyDescent="0.2">
      <c r="A30" s="80"/>
      <c r="B30" s="148"/>
      <c r="C30" s="148" t="s">
        <v>3330</v>
      </c>
      <c r="D30" s="80" t="s">
        <v>293</v>
      </c>
      <c r="E30" s="95">
        <v>1</v>
      </c>
      <c r="F30" s="143" t="str">
        <f>IF(AND(ISNA(VLOOKUP(D30,A:A,1,FALSE())),ISNA(VLOOKUP(D30,BaseType!A:A,1,FALSE())),D30&lt;&gt;"Struct"),"N","Y")</f>
        <v>Y</v>
      </c>
      <c r="G30" s="91" t="s">
        <v>3331</v>
      </c>
      <c r="H30" s="1"/>
      <c r="I30" s="1"/>
      <c r="J30" s="1"/>
      <c r="K30" s="1"/>
      <c r="L30" s="1"/>
      <c r="M30" s="1"/>
    </row>
    <row r="31" spans="1:13" ht="15" customHeight="1" x14ac:dyDescent="0.2">
      <c r="A31" s="80"/>
      <c r="B31" s="148"/>
      <c r="C31" s="148" t="s">
        <v>3332</v>
      </c>
      <c r="D31" s="80" t="s">
        <v>293</v>
      </c>
      <c r="E31" s="95">
        <v>1</v>
      </c>
      <c r="F31" s="143" t="str">
        <f>IF(AND(ISNA(VLOOKUP(D31,A:A,1,FALSE())),ISNA(VLOOKUP(D31,BaseType!A:A,1,FALSE())),D31&lt;&gt;"Struct"),"N","Y")</f>
        <v>Y</v>
      </c>
      <c r="G31" s="91" t="s">
        <v>3333</v>
      </c>
      <c r="H31" s="1"/>
      <c r="I31" s="1"/>
      <c r="J31" s="1"/>
      <c r="K31" s="1"/>
      <c r="L31" s="1"/>
      <c r="M31" s="1"/>
    </row>
    <row r="32" spans="1:13" ht="15" customHeight="1" x14ac:dyDescent="0.2">
      <c r="A32" s="80"/>
      <c r="B32" s="148"/>
      <c r="C32" s="148" t="s">
        <v>3334</v>
      </c>
      <c r="D32" s="80" t="s">
        <v>293</v>
      </c>
      <c r="E32" s="95">
        <v>1</v>
      </c>
      <c r="F32" s="143" t="str">
        <f>IF(AND(ISNA(VLOOKUP(D32,A:A,1,FALSE())),ISNA(VLOOKUP(D32,BaseType!A:A,1,FALSE())),D32&lt;&gt;"Struct"),"N","Y")</f>
        <v>Y</v>
      </c>
      <c r="G32" s="91" t="s">
        <v>3335</v>
      </c>
      <c r="H32" s="1"/>
      <c r="I32" s="1"/>
      <c r="J32" s="1"/>
      <c r="K32" s="1"/>
      <c r="L32" s="1"/>
      <c r="M32" s="1"/>
    </row>
    <row r="33" spans="1:13" ht="15" customHeight="1" x14ac:dyDescent="0.2">
      <c r="A33" s="80"/>
      <c r="B33" s="148"/>
      <c r="C33" s="148" t="s">
        <v>3336</v>
      </c>
      <c r="D33" s="80" t="s">
        <v>293</v>
      </c>
      <c r="E33" s="95">
        <v>1</v>
      </c>
      <c r="F33" s="143" t="str">
        <f>IF(AND(ISNA(VLOOKUP(D33,A:A,1,FALSE())),ISNA(VLOOKUP(D33,BaseType!A:A,1,FALSE())),D33&lt;&gt;"Struct"),"N","Y")</f>
        <v>Y</v>
      </c>
      <c r="G33" s="91" t="s">
        <v>3337</v>
      </c>
      <c r="H33" s="1"/>
      <c r="I33" s="1"/>
      <c r="J33" s="1"/>
      <c r="K33" s="1"/>
      <c r="L33" s="1"/>
      <c r="M33" s="1"/>
    </row>
    <row r="34" spans="1:13" ht="15" customHeight="1" x14ac:dyDescent="0.2">
      <c r="A34" s="80"/>
      <c r="B34" s="148"/>
      <c r="C34" s="148" t="s">
        <v>3338</v>
      </c>
      <c r="D34" s="80" t="s">
        <v>293</v>
      </c>
      <c r="E34" s="95">
        <v>1</v>
      </c>
      <c r="F34" s="143" t="str">
        <f>IF(AND(ISNA(VLOOKUP(D34,A:A,1,FALSE())),ISNA(VLOOKUP(D34,BaseType!A:A,1,FALSE())),D34&lt;&gt;"Struct"),"N","Y")</f>
        <v>Y</v>
      </c>
      <c r="G34" s="91" t="s">
        <v>3339</v>
      </c>
      <c r="H34" s="1"/>
      <c r="I34" s="1"/>
      <c r="J34" s="1"/>
      <c r="K34" s="1"/>
      <c r="L34" s="1"/>
      <c r="M34" s="1"/>
    </row>
    <row r="35" spans="1:13" ht="15" customHeight="1" x14ac:dyDescent="0.2">
      <c r="A35" s="80"/>
      <c r="B35" s="148"/>
      <c r="C35" s="148" t="s">
        <v>3340</v>
      </c>
      <c r="D35" s="80" t="s">
        <v>293</v>
      </c>
      <c r="E35" s="95">
        <v>1</v>
      </c>
      <c r="F35" s="143" t="str">
        <f>IF(AND(ISNA(VLOOKUP(D35,A:A,1,FALSE())),ISNA(VLOOKUP(D35,BaseType!A:A,1,FALSE())),D35&lt;&gt;"Struct"),"N","Y")</f>
        <v>Y</v>
      </c>
      <c r="G35" s="91" t="s">
        <v>3341</v>
      </c>
      <c r="H35" s="1"/>
      <c r="I35" s="1"/>
      <c r="J35" s="1"/>
      <c r="K35" s="1"/>
      <c r="L35" s="1"/>
      <c r="M35" s="1"/>
    </row>
    <row r="36" spans="1:13" ht="15" customHeight="1" x14ac:dyDescent="0.2">
      <c r="A36" s="80"/>
      <c r="B36" s="148"/>
      <c r="C36" s="148" t="s">
        <v>3342</v>
      </c>
      <c r="D36" s="80" t="s">
        <v>293</v>
      </c>
      <c r="E36" s="95">
        <v>1</v>
      </c>
      <c r="F36" s="143" t="str">
        <f>IF(AND(ISNA(VLOOKUP(D36,A:A,1,FALSE())),ISNA(VLOOKUP(D36,BaseType!A:A,1,FALSE())),D36&lt;&gt;"Struct"),"N","Y")</f>
        <v>Y</v>
      </c>
      <c r="G36" s="91" t="s">
        <v>3343</v>
      </c>
      <c r="H36" s="1"/>
      <c r="I36" s="1"/>
      <c r="J36" s="1"/>
      <c r="K36" s="1"/>
      <c r="L36" s="1"/>
      <c r="M36" s="1"/>
    </row>
    <row r="37" spans="1:13" ht="15" customHeight="1" x14ac:dyDescent="0.2">
      <c r="A37" s="80"/>
      <c r="B37" s="148"/>
      <c r="C37" s="148" t="s">
        <v>3344</v>
      </c>
      <c r="D37" s="80" t="s">
        <v>293</v>
      </c>
      <c r="E37" s="95">
        <v>1</v>
      </c>
      <c r="F37" s="143" t="str">
        <f>IF(AND(ISNA(VLOOKUP(D37,A:A,1,FALSE())),ISNA(VLOOKUP(D37,BaseType!A:A,1,FALSE())),D37&lt;&gt;"Struct"),"N","Y")</f>
        <v>Y</v>
      </c>
      <c r="G37" s="91" t="s">
        <v>3345</v>
      </c>
      <c r="H37" s="1"/>
      <c r="I37" s="1"/>
      <c r="J37" s="1"/>
      <c r="K37" s="1"/>
      <c r="L37" s="1"/>
      <c r="M37" s="1"/>
    </row>
    <row r="38" spans="1:13" ht="15" customHeight="1" x14ac:dyDescent="0.2">
      <c r="A38" s="80"/>
      <c r="B38" s="148"/>
      <c r="C38" s="148" t="s">
        <v>3346</v>
      </c>
      <c r="D38" s="80" t="s">
        <v>293</v>
      </c>
      <c r="E38" s="95">
        <v>1</v>
      </c>
      <c r="F38" s="143" t="str">
        <f>IF(AND(ISNA(VLOOKUP(D38,A:A,1,FALSE())),ISNA(VLOOKUP(D38,BaseType!A:A,1,FALSE())),D38&lt;&gt;"Struct"),"N","Y")</f>
        <v>Y</v>
      </c>
      <c r="G38" s="91" t="s">
        <v>3347</v>
      </c>
      <c r="H38" s="1"/>
      <c r="I38" s="1"/>
      <c r="J38" s="1"/>
      <c r="K38" s="1"/>
      <c r="L38" s="1"/>
      <c r="M38" s="1"/>
    </row>
    <row r="39" spans="1:13" ht="15" customHeight="1" x14ac:dyDescent="0.2">
      <c r="A39" s="80"/>
      <c r="B39" s="148"/>
      <c r="C39" s="148" t="s">
        <v>3348</v>
      </c>
      <c r="D39" s="80" t="s">
        <v>293</v>
      </c>
      <c r="E39" s="95">
        <v>1</v>
      </c>
      <c r="F39" s="143" t="str">
        <f>IF(AND(ISNA(VLOOKUP(D39,A:A,1,FALSE())),ISNA(VLOOKUP(D39,BaseType!A:A,1,FALSE())),D39&lt;&gt;"Struct"),"N","Y")</f>
        <v>Y</v>
      </c>
      <c r="G39" s="91" t="s">
        <v>3349</v>
      </c>
      <c r="H39" s="1"/>
      <c r="I39" s="1"/>
      <c r="J39" s="1"/>
      <c r="K39" s="1"/>
      <c r="L39" s="1"/>
      <c r="M39" s="1"/>
    </row>
    <row r="40" spans="1:13" ht="15" customHeight="1" x14ac:dyDescent="0.2">
      <c r="A40" s="80"/>
      <c r="B40" s="148"/>
      <c r="C40" s="148" t="s">
        <v>3350</v>
      </c>
      <c r="D40" s="80" t="s">
        <v>293</v>
      </c>
      <c r="E40" s="95">
        <v>1</v>
      </c>
      <c r="F40" s="143" t="str">
        <f>IF(AND(ISNA(VLOOKUP(D40,A:A,1,FALSE())),ISNA(VLOOKUP(D40,BaseType!A:A,1,FALSE())),D40&lt;&gt;"Struct"),"N","Y")</f>
        <v>Y</v>
      </c>
      <c r="G40" s="91" t="s">
        <v>3351</v>
      </c>
      <c r="H40" s="1"/>
      <c r="I40" s="1"/>
      <c r="J40" s="1"/>
      <c r="K40" s="1"/>
      <c r="L40" s="1"/>
      <c r="M40" s="1"/>
    </row>
    <row r="41" spans="1:13" ht="15" customHeight="1" x14ac:dyDescent="0.2">
      <c r="A41" s="80"/>
      <c r="B41" s="148"/>
      <c r="C41" s="148" t="s">
        <v>3352</v>
      </c>
      <c r="D41" s="80" t="s">
        <v>293</v>
      </c>
      <c r="E41" s="95">
        <v>1</v>
      </c>
      <c r="F41" s="143" t="str">
        <f>IF(AND(ISNA(VLOOKUP(D41,A:A,1,FALSE())),ISNA(VLOOKUP(D41,BaseType!A:A,1,FALSE())),D41&lt;&gt;"Struct"),"N","Y")</f>
        <v>Y</v>
      </c>
      <c r="G41" s="91" t="s">
        <v>3353</v>
      </c>
      <c r="H41" s="1"/>
      <c r="I41" s="1"/>
      <c r="J41" s="1"/>
      <c r="K41" s="1"/>
      <c r="L41" s="1"/>
      <c r="M41" s="1"/>
    </row>
    <row r="42" spans="1:13" ht="15" customHeight="1" x14ac:dyDescent="0.2">
      <c r="A42" s="80"/>
      <c r="B42" s="148"/>
      <c r="C42" s="148" t="s">
        <v>3354</v>
      </c>
      <c r="D42" s="80" t="s">
        <v>293</v>
      </c>
      <c r="E42" s="95">
        <v>1</v>
      </c>
      <c r="F42" s="143" t="str">
        <f>IF(AND(ISNA(VLOOKUP(D42,A:A,1,FALSE())),ISNA(VLOOKUP(D42,BaseType!A:A,1,FALSE())),D42&lt;&gt;"Struct"),"N","Y")</f>
        <v>Y</v>
      </c>
      <c r="G42" s="91" t="s">
        <v>3355</v>
      </c>
      <c r="H42" s="1"/>
      <c r="I42" s="1"/>
      <c r="J42" s="1"/>
      <c r="K42" s="1"/>
      <c r="L42" s="1"/>
      <c r="M42" s="1"/>
    </row>
    <row r="43" spans="1:13" ht="15" customHeight="1" x14ac:dyDescent="0.2">
      <c r="A43" s="80"/>
      <c r="B43" s="148"/>
      <c r="C43" s="148" t="s">
        <v>3356</v>
      </c>
      <c r="D43" s="80" t="s">
        <v>293</v>
      </c>
      <c r="E43" s="95">
        <v>1</v>
      </c>
      <c r="F43" s="143" t="str">
        <f>IF(AND(ISNA(VLOOKUP(D43,A:A,1,FALSE())),ISNA(VLOOKUP(D43,BaseType!A:A,1,FALSE())),D43&lt;&gt;"Struct"),"N","Y")</f>
        <v>Y</v>
      </c>
      <c r="G43" s="91" t="s">
        <v>3357</v>
      </c>
      <c r="H43" s="1"/>
      <c r="I43" s="1"/>
      <c r="J43" s="1"/>
      <c r="K43" s="1"/>
      <c r="L43" s="1"/>
      <c r="M43" s="1"/>
    </row>
    <row r="44" spans="1:13" ht="15" customHeight="1" x14ac:dyDescent="0.2">
      <c r="A44" s="80"/>
      <c r="B44" s="148"/>
      <c r="C44" s="148" t="s">
        <v>3358</v>
      </c>
      <c r="D44" s="80" t="s">
        <v>293</v>
      </c>
      <c r="E44" s="95">
        <v>1</v>
      </c>
      <c r="F44" s="143" t="str">
        <f>IF(AND(ISNA(VLOOKUP(D44,A:A,1,FALSE())),ISNA(VLOOKUP(D44,BaseType!A:A,1,FALSE())),D44&lt;&gt;"Struct"),"N","Y")</f>
        <v>Y</v>
      </c>
      <c r="G44" s="91" t="s">
        <v>3359</v>
      </c>
      <c r="H44" s="1"/>
      <c r="I44" s="1"/>
      <c r="J44" s="1"/>
      <c r="K44" s="1"/>
      <c r="L44" s="1"/>
      <c r="M44" s="1"/>
    </row>
    <row r="45" spans="1:13" ht="15" customHeight="1" x14ac:dyDescent="0.2">
      <c r="A45" s="80"/>
      <c r="B45" s="148"/>
      <c r="C45" s="148" t="s">
        <v>3360</v>
      </c>
      <c r="D45" s="80" t="s">
        <v>293</v>
      </c>
      <c r="E45" s="95">
        <v>1</v>
      </c>
      <c r="F45" s="143" t="str">
        <f>IF(AND(ISNA(VLOOKUP(D45,A:A,1,FALSE())),ISNA(VLOOKUP(D45,BaseType!A:A,1,FALSE())),D45&lt;&gt;"Struct"),"N","Y")</f>
        <v>Y</v>
      </c>
      <c r="G45" s="91" t="s">
        <v>3361</v>
      </c>
      <c r="H45" s="1"/>
      <c r="I45" s="1"/>
      <c r="J45" s="1"/>
      <c r="K45" s="1"/>
      <c r="L45" s="1"/>
      <c r="M45" s="1"/>
    </row>
    <row r="46" spans="1:13" ht="15" customHeight="1" x14ac:dyDescent="0.2">
      <c r="A46" s="80"/>
      <c r="B46" s="148"/>
      <c r="C46" s="148" t="s">
        <v>3362</v>
      </c>
      <c r="D46" s="80" t="s">
        <v>293</v>
      </c>
      <c r="E46" s="95">
        <v>1</v>
      </c>
      <c r="F46" s="143" t="str">
        <f>IF(AND(ISNA(VLOOKUP(D46,A:A,1,FALSE())),ISNA(VLOOKUP(D46,BaseType!A:A,1,FALSE())),D46&lt;&gt;"Struct"),"N","Y")</f>
        <v>Y</v>
      </c>
      <c r="G46" s="91" t="s">
        <v>3363</v>
      </c>
      <c r="H46" s="1"/>
      <c r="I46" s="1"/>
      <c r="J46" s="1"/>
      <c r="K46" s="1"/>
      <c r="L46" s="1"/>
      <c r="M46" s="1"/>
    </row>
    <row r="47" spans="1:13" ht="15" customHeight="1" x14ac:dyDescent="0.2">
      <c r="A47" s="80"/>
      <c r="B47" s="148"/>
      <c r="C47" s="148" t="s">
        <v>3364</v>
      </c>
      <c r="D47" s="80" t="s">
        <v>293</v>
      </c>
      <c r="E47" s="95">
        <v>1</v>
      </c>
      <c r="F47" s="143" t="str">
        <f>IF(AND(ISNA(VLOOKUP(D47,A:A,1,FALSE())),ISNA(VLOOKUP(D47,BaseType!A:A,1,FALSE())),D47&lt;&gt;"Struct"),"N","Y")</f>
        <v>Y</v>
      </c>
      <c r="G47" s="91" t="s">
        <v>3365</v>
      </c>
      <c r="H47" s="1"/>
      <c r="I47" s="1"/>
      <c r="J47" s="1"/>
      <c r="K47" s="1"/>
      <c r="L47" s="1"/>
      <c r="M47" s="1"/>
    </row>
    <row r="48" spans="1:13" ht="15" customHeight="1" x14ac:dyDescent="0.2">
      <c r="A48" s="80"/>
      <c r="B48" s="148"/>
      <c r="C48" s="148" t="s">
        <v>3366</v>
      </c>
      <c r="D48" s="80" t="s">
        <v>293</v>
      </c>
      <c r="E48" s="95">
        <v>1</v>
      </c>
      <c r="F48" s="143" t="str">
        <f>IF(AND(ISNA(VLOOKUP(D48,A:A,1,FALSE())),ISNA(VLOOKUP(D48,BaseType!A:A,1,FALSE())),D48&lt;&gt;"Struct"),"N","Y")</f>
        <v>Y</v>
      </c>
      <c r="G48" s="91" t="s">
        <v>3367</v>
      </c>
      <c r="H48" s="1"/>
      <c r="I48" s="1"/>
      <c r="J48" s="1"/>
      <c r="K48" s="1"/>
      <c r="L48" s="1"/>
      <c r="M48" s="1"/>
    </row>
    <row r="49" spans="1:13" ht="15" customHeight="1" x14ac:dyDescent="0.2">
      <c r="A49" s="80"/>
      <c r="B49" s="148"/>
      <c r="C49" s="148" t="s">
        <v>3368</v>
      </c>
      <c r="D49" s="80" t="s">
        <v>293</v>
      </c>
      <c r="E49" s="95">
        <v>1</v>
      </c>
      <c r="F49" s="143" t="str">
        <f>IF(AND(ISNA(VLOOKUP(D49,A:A,1,FALSE())),ISNA(VLOOKUP(D49,BaseType!A:A,1,FALSE())),D49&lt;&gt;"Struct"),"N","Y")</f>
        <v>Y</v>
      </c>
      <c r="G49" s="91" t="s">
        <v>3369</v>
      </c>
      <c r="H49" s="1"/>
      <c r="I49" s="1"/>
      <c r="J49" s="1"/>
      <c r="K49" s="1"/>
      <c r="L49" s="1"/>
      <c r="M49" s="1"/>
    </row>
    <row r="50" spans="1:13" ht="15" customHeight="1" x14ac:dyDescent="0.2">
      <c r="A50" s="80"/>
      <c r="B50" s="148"/>
      <c r="C50" s="148" t="s">
        <v>3370</v>
      </c>
      <c r="D50" s="80" t="s">
        <v>293</v>
      </c>
      <c r="E50" s="95">
        <v>1</v>
      </c>
      <c r="F50" s="143" t="str">
        <f>IF(AND(ISNA(VLOOKUP(D50,A:A,1,FALSE())),ISNA(VLOOKUP(D50,BaseType!A:A,1,FALSE())),D50&lt;&gt;"Struct"),"N","Y")</f>
        <v>Y</v>
      </c>
      <c r="G50" s="91" t="s">
        <v>3371</v>
      </c>
      <c r="H50" s="1"/>
      <c r="I50" s="1"/>
      <c r="J50" s="1"/>
      <c r="K50" s="1"/>
      <c r="L50" s="1"/>
      <c r="M50" s="1"/>
    </row>
    <row r="51" spans="1:13" ht="15" customHeight="1" x14ac:dyDescent="0.2">
      <c r="A51" s="80"/>
      <c r="B51" s="148"/>
      <c r="C51" s="148" t="s">
        <v>3372</v>
      </c>
      <c r="D51" s="80" t="s">
        <v>293</v>
      </c>
      <c r="E51" s="95">
        <v>1</v>
      </c>
      <c r="F51" s="143" t="str">
        <f>IF(AND(ISNA(VLOOKUP(D51,A:A,1,FALSE())),ISNA(VLOOKUP(D51,BaseType!A:A,1,FALSE())),D51&lt;&gt;"Struct"),"N","Y")</f>
        <v>Y</v>
      </c>
      <c r="G51" s="91" t="s">
        <v>3373</v>
      </c>
      <c r="H51" s="1"/>
      <c r="I51" s="1"/>
      <c r="J51" s="1"/>
      <c r="K51" s="1"/>
      <c r="L51" s="1"/>
      <c r="M51" s="1"/>
    </row>
    <row r="52" spans="1:13" ht="15" customHeight="1" x14ac:dyDescent="0.2">
      <c r="A52" s="80"/>
      <c r="B52" s="148"/>
      <c r="C52" s="148" t="s">
        <v>3374</v>
      </c>
      <c r="D52" s="80" t="s">
        <v>293</v>
      </c>
      <c r="E52" s="95">
        <v>1</v>
      </c>
      <c r="F52" s="143" t="str">
        <f>IF(AND(ISNA(VLOOKUP(D52,A:A,1,FALSE())),ISNA(VLOOKUP(D52,BaseType!A:A,1,FALSE())),D52&lt;&gt;"Struct"),"N","Y")</f>
        <v>Y</v>
      </c>
      <c r="G52" s="91" t="s">
        <v>3375</v>
      </c>
      <c r="H52" s="1"/>
      <c r="I52" s="1"/>
      <c r="J52" s="1"/>
      <c r="K52" s="1"/>
      <c r="L52" s="1"/>
      <c r="M52" s="1"/>
    </row>
    <row r="53" spans="1:13" ht="15" customHeight="1" x14ac:dyDescent="0.2">
      <c r="A53" s="80"/>
      <c r="B53" s="148"/>
      <c r="C53" s="148" t="s">
        <v>3376</v>
      </c>
      <c r="D53" s="80" t="s">
        <v>293</v>
      </c>
      <c r="E53" s="95">
        <v>1</v>
      </c>
      <c r="F53" s="143" t="str">
        <f>IF(AND(ISNA(VLOOKUP(D53,A:A,1,FALSE())),ISNA(VLOOKUP(D53,BaseType!A:A,1,FALSE())),D53&lt;&gt;"Struct"),"N","Y")</f>
        <v>Y</v>
      </c>
      <c r="G53" s="91" t="s">
        <v>3377</v>
      </c>
      <c r="H53" s="1"/>
      <c r="I53" s="1"/>
      <c r="J53" s="1"/>
      <c r="K53" s="1"/>
      <c r="L53" s="1"/>
      <c r="M53" s="1"/>
    </row>
    <row r="54" spans="1:13" ht="15" customHeight="1" x14ac:dyDescent="0.2">
      <c r="A54" s="80"/>
      <c r="B54" s="148"/>
      <c r="C54" s="148" t="s">
        <v>3378</v>
      </c>
      <c r="D54" s="80" t="s">
        <v>293</v>
      </c>
      <c r="E54" s="95">
        <v>1</v>
      </c>
      <c r="F54" s="143" t="str">
        <f>IF(AND(ISNA(VLOOKUP(D54,A:A,1,FALSE())),ISNA(VLOOKUP(D54,BaseType!A:A,1,FALSE())),D54&lt;&gt;"Struct"),"N","Y")</f>
        <v>Y</v>
      </c>
      <c r="G54" s="91" t="s">
        <v>3379</v>
      </c>
      <c r="H54" s="1"/>
      <c r="I54" s="1"/>
      <c r="J54" s="1"/>
      <c r="K54" s="1"/>
      <c r="L54" s="1"/>
      <c r="M54" s="1"/>
    </row>
    <row r="55" spans="1:13" ht="15" customHeight="1" x14ac:dyDescent="0.2">
      <c r="A55" s="80"/>
      <c r="B55" s="148"/>
      <c r="C55" s="148" t="s">
        <v>3380</v>
      </c>
      <c r="D55" s="80" t="s">
        <v>293</v>
      </c>
      <c r="E55" s="95">
        <v>1</v>
      </c>
      <c r="F55" s="143" t="str">
        <f>IF(AND(ISNA(VLOOKUP(D55,A:A,1,FALSE())),ISNA(VLOOKUP(D55,BaseType!A:A,1,FALSE())),D55&lt;&gt;"Struct"),"N","Y")</f>
        <v>Y</v>
      </c>
      <c r="G55" s="91" t="s">
        <v>3381</v>
      </c>
      <c r="H55" s="1"/>
      <c r="I55" s="1"/>
      <c r="J55" s="1"/>
      <c r="K55" s="1"/>
      <c r="L55" s="1"/>
      <c r="M55" s="1"/>
    </row>
    <row r="56" spans="1:13" ht="15" customHeight="1" x14ac:dyDescent="0.2">
      <c r="A56" s="80"/>
      <c r="B56" s="148"/>
      <c r="C56" s="148" t="s">
        <v>3382</v>
      </c>
      <c r="D56" s="80" t="s">
        <v>293</v>
      </c>
      <c r="E56" s="95">
        <v>1</v>
      </c>
      <c r="F56" s="143" t="str">
        <f>IF(AND(ISNA(VLOOKUP(D56,A:A,1,FALSE())),ISNA(VLOOKUP(D56,BaseType!A:A,1,FALSE())),D56&lt;&gt;"Struct"),"N","Y")</f>
        <v>Y</v>
      </c>
      <c r="G56" s="91" t="s">
        <v>3383</v>
      </c>
      <c r="H56" s="1"/>
      <c r="I56" s="1"/>
      <c r="J56" s="1"/>
      <c r="K56" s="1"/>
      <c r="L56" s="1"/>
      <c r="M56" s="1"/>
    </row>
    <row r="57" spans="1:13" ht="15" customHeight="1" x14ac:dyDescent="0.2">
      <c r="A57" s="80"/>
      <c r="B57" s="148"/>
      <c r="C57" s="148" t="s">
        <v>3384</v>
      </c>
      <c r="D57" s="80" t="s">
        <v>293</v>
      </c>
      <c r="E57" s="95">
        <v>1</v>
      </c>
      <c r="F57" s="143" t="str">
        <f>IF(AND(ISNA(VLOOKUP(D57,A:A,1,FALSE())),ISNA(VLOOKUP(D57,BaseType!A:A,1,FALSE())),D57&lt;&gt;"Struct"),"N","Y")</f>
        <v>Y</v>
      </c>
      <c r="G57" s="91" t="s">
        <v>3385</v>
      </c>
      <c r="H57" s="1"/>
      <c r="I57" s="1"/>
      <c r="J57" s="1"/>
      <c r="K57" s="1"/>
      <c r="L57" s="1"/>
      <c r="M57" s="1"/>
    </row>
    <row r="58" spans="1:13" ht="15" customHeight="1" x14ac:dyDescent="0.2">
      <c r="A58" s="80"/>
      <c r="B58" s="148"/>
      <c r="C58" s="148" t="s">
        <v>3386</v>
      </c>
      <c r="D58" s="80" t="s">
        <v>293</v>
      </c>
      <c r="E58" s="95">
        <v>1</v>
      </c>
      <c r="F58" s="143" t="str">
        <f>IF(AND(ISNA(VLOOKUP(D58,A:A,1,FALSE())),ISNA(VLOOKUP(D58,BaseType!A:A,1,FALSE())),D58&lt;&gt;"Struct"),"N","Y")</f>
        <v>Y</v>
      </c>
      <c r="G58" s="91" t="s">
        <v>3387</v>
      </c>
      <c r="H58" s="1"/>
      <c r="I58" s="1"/>
      <c r="J58" s="1"/>
      <c r="K58" s="1"/>
      <c r="L58" s="1"/>
      <c r="M58" s="1"/>
    </row>
    <row r="59" spans="1:13" ht="15" customHeight="1" x14ac:dyDescent="0.2">
      <c r="A59" s="80"/>
      <c r="B59" s="148"/>
      <c r="C59" s="148" t="s">
        <v>3388</v>
      </c>
      <c r="D59" s="80" t="s">
        <v>293</v>
      </c>
      <c r="E59" s="95">
        <v>1</v>
      </c>
      <c r="F59" s="143" t="str">
        <f>IF(AND(ISNA(VLOOKUP(D59,A:A,1,FALSE())),ISNA(VLOOKUP(D59,BaseType!A:A,1,FALSE())),D59&lt;&gt;"Struct"),"N","Y")</f>
        <v>Y</v>
      </c>
      <c r="G59" s="91" t="s">
        <v>3389</v>
      </c>
      <c r="H59" s="1"/>
      <c r="I59" s="1"/>
      <c r="J59" s="1"/>
      <c r="K59" s="1"/>
      <c r="L59" s="1"/>
      <c r="M59" s="1"/>
    </row>
    <row r="60" spans="1:13" ht="15" customHeight="1" x14ac:dyDescent="0.2">
      <c r="A60" s="80"/>
      <c r="B60" s="148"/>
      <c r="C60" s="148" t="s">
        <v>3390</v>
      </c>
      <c r="D60" s="80" t="s">
        <v>293</v>
      </c>
      <c r="E60" s="95">
        <v>1</v>
      </c>
      <c r="F60" s="143" t="str">
        <f>IF(AND(ISNA(VLOOKUP(D60,A:A,1,FALSE())),ISNA(VLOOKUP(D60,BaseType!A:A,1,FALSE())),D60&lt;&gt;"Struct"),"N","Y")</f>
        <v>Y</v>
      </c>
      <c r="G60" s="91" t="s">
        <v>3391</v>
      </c>
      <c r="H60" s="1"/>
      <c r="I60" s="1"/>
      <c r="J60" s="1"/>
      <c r="K60" s="1"/>
      <c r="L60" s="1"/>
      <c r="M60" s="1"/>
    </row>
    <row r="61" spans="1:13" ht="15" customHeight="1" x14ac:dyDescent="0.2">
      <c r="A61" s="80"/>
      <c r="B61" s="148"/>
      <c r="C61" s="148" t="s">
        <v>3392</v>
      </c>
      <c r="D61" s="80" t="s">
        <v>293</v>
      </c>
      <c r="E61" s="95">
        <v>1</v>
      </c>
      <c r="F61" s="143" t="str">
        <f>IF(AND(ISNA(VLOOKUP(D61,A:A,1,FALSE())),ISNA(VLOOKUP(D61,BaseType!A:A,1,FALSE())),D61&lt;&gt;"Struct"),"N","Y")</f>
        <v>Y</v>
      </c>
      <c r="G61" s="91" t="s">
        <v>3393</v>
      </c>
      <c r="H61" s="1"/>
      <c r="I61" s="1"/>
      <c r="J61" s="1"/>
      <c r="K61" s="1"/>
      <c r="L61" s="1"/>
      <c r="M61" s="1"/>
    </row>
    <row r="62" spans="1:13" ht="15" customHeight="1" x14ac:dyDescent="0.2">
      <c r="A62" s="80"/>
      <c r="B62" s="148"/>
      <c r="C62" s="148" t="s">
        <v>3394</v>
      </c>
      <c r="D62" s="80" t="s">
        <v>293</v>
      </c>
      <c r="E62" s="95">
        <v>1</v>
      </c>
      <c r="F62" s="143" t="str">
        <f>IF(AND(ISNA(VLOOKUP(D62,A:A,1,FALSE())),ISNA(VLOOKUP(D62,BaseType!A:A,1,FALSE())),D62&lt;&gt;"Struct"),"N","Y")</f>
        <v>Y</v>
      </c>
      <c r="G62" s="91" t="s">
        <v>3395</v>
      </c>
      <c r="H62" s="1"/>
      <c r="I62" s="1"/>
      <c r="J62" s="1"/>
      <c r="K62" s="1"/>
      <c r="L62" s="1"/>
      <c r="M62" s="1"/>
    </row>
    <row r="63" spans="1:13" ht="15" customHeight="1" x14ac:dyDescent="0.2">
      <c r="A63" s="80"/>
      <c r="B63" s="148"/>
      <c r="C63" s="148" t="s">
        <v>3396</v>
      </c>
      <c r="D63" s="80" t="s">
        <v>293</v>
      </c>
      <c r="E63" s="95">
        <v>1</v>
      </c>
      <c r="F63" s="143" t="str">
        <f>IF(AND(ISNA(VLOOKUP(D63,A:A,1,FALSE())),ISNA(VLOOKUP(D63,BaseType!A:A,1,FALSE())),D63&lt;&gt;"Struct"),"N","Y")</f>
        <v>Y</v>
      </c>
      <c r="G63" s="91" t="s">
        <v>3397</v>
      </c>
      <c r="H63" s="1"/>
      <c r="I63" s="1"/>
      <c r="J63" s="1"/>
      <c r="K63" s="1"/>
      <c r="L63" s="1"/>
      <c r="M63" s="1"/>
    </row>
    <row r="64" spans="1:13" ht="15" customHeight="1" x14ac:dyDescent="0.2">
      <c r="A64" s="80"/>
      <c r="B64" s="148"/>
      <c r="C64" s="148" t="s">
        <v>3398</v>
      </c>
      <c r="D64" s="80" t="s">
        <v>293</v>
      </c>
      <c r="E64" s="95">
        <v>1</v>
      </c>
      <c r="F64" s="143" t="str">
        <f>IF(AND(ISNA(VLOOKUP(D64,A:A,1,FALSE())),ISNA(VLOOKUP(D64,BaseType!A:A,1,FALSE())),D64&lt;&gt;"Struct"),"N","Y")</f>
        <v>Y</v>
      </c>
      <c r="G64" s="91" t="s">
        <v>3399</v>
      </c>
      <c r="H64" s="1"/>
      <c r="I64" s="1"/>
      <c r="J64" s="1"/>
      <c r="K64" s="1"/>
      <c r="L64" s="1"/>
      <c r="M64" s="1"/>
    </row>
    <row r="65" spans="1:13" ht="15" customHeight="1" x14ac:dyDescent="0.2">
      <c r="A65" s="80"/>
      <c r="B65" s="148"/>
      <c r="C65" s="148" t="s">
        <v>3400</v>
      </c>
      <c r="D65" s="80" t="s">
        <v>293</v>
      </c>
      <c r="E65" s="95">
        <v>1</v>
      </c>
      <c r="F65" s="143" t="str">
        <f>IF(AND(ISNA(VLOOKUP(D65,A:A,1,FALSE())),ISNA(VLOOKUP(D65,BaseType!A:A,1,FALSE())),D65&lt;&gt;"Struct"),"N","Y")</f>
        <v>Y</v>
      </c>
      <c r="G65" s="91" t="s">
        <v>3401</v>
      </c>
      <c r="H65" s="1"/>
      <c r="I65" s="1"/>
      <c r="J65" s="1"/>
      <c r="K65" s="1"/>
      <c r="L65" s="1"/>
      <c r="M65" s="1"/>
    </row>
    <row r="66" spans="1:13" ht="15" customHeight="1" x14ac:dyDescent="0.2">
      <c r="A66" s="80"/>
      <c r="B66" s="148"/>
      <c r="C66" s="148" t="s">
        <v>3402</v>
      </c>
      <c r="D66" s="80" t="s">
        <v>293</v>
      </c>
      <c r="E66" s="95">
        <v>1</v>
      </c>
      <c r="F66" s="143" t="str">
        <f>IF(AND(ISNA(VLOOKUP(D66,A:A,1,FALSE())),ISNA(VLOOKUP(D66,BaseType!A:A,1,FALSE())),D66&lt;&gt;"Struct"),"N","Y")</f>
        <v>Y</v>
      </c>
      <c r="G66" s="91" t="s">
        <v>3403</v>
      </c>
      <c r="H66" s="1"/>
      <c r="I66" s="1"/>
      <c r="J66" s="1"/>
      <c r="K66" s="1"/>
      <c r="L66" s="1"/>
      <c r="M66" s="1"/>
    </row>
    <row r="67" spans="1:13" ht="15" customHeight="1" x14ac:dyDescent="0.2">
      <c r="A67" s="80"/>
      <c r="B67" s="148"/>
      <c r="C67" s="148" t="s">
        <v>3404</v>
      </c>
      <c r="D67" s="80" t="s">
        <v>293</v>
      </c>
      <c r="E67" s="95">
        <v>1</v>
      </c>
      <c r="F67" s="143" t="str">
        <f>IF(AND(ISNA(VLOOKUP(D67,A:A,1,FALSE())),ISNA(VLOOKUP(D67,BaseType!A:A,1,FALSE())),D67&lt;&gt;"Struct"),"N","Y")</f>
        <v>Y</v>
      </c>
      <c r="G67" s="91" t="s">
        <v>3405</v>
      </c>
      <c r="H67" s="1"/>
      <c r="I67" s="1"/>
      <c r="J67" s="1"/>
      <c r="K67" s="1"/>
      <c r="L67" s="1"/>
      <c r="M67" s="1"/>
    </row>
    <row r="68" spans="1:13" ht="15" customHeight="1" x14ac:dyDescent="0.2">
      <c r="A68" s="80"/>
      <c r="B68" s="148"/>
      <c r="C68" s="148" t="s">
        <v>3406</v>
      </c>
      <c r="D68" s="80" t="s">
        <v>293</v>
      </c>
      <c r="E68" s="95">
        <v>1</v>
      </c>
      <c r="F68" s="143" t="str">
        <f>IF(AND(ISNA(VLOOKUP(D68,A:A,1,FALSE())),ISNA(VLOOKUP(D68,BaseType!A:A,1,FALSE())),D68&lt;&gt;"Struct"),"N","Y")</f>
        <v>Y</v>
      </c>
      <c r="G68" s="91" t="s">
        <v>3407</v>
      </c>
      <c r="H68" s="1"/>
      <c r="I68" s="1"/>
      <c r="J68" s="1"/>
      <c r="K68" s="1"/>
      <c r="L68" s="1"/>
      <c r="M68" s="1"/>
    </row>
    <row r="69" spans="1:13" ht="15" customHeight="1" x14ac:dyDescent="0.2">
      <c r="A69" s="80"/>
      <c r="B69" s="148"/>
      <c r="C69" s="148" t="s">
        <v>3408</v>
      </c>
      <c r="D69" s="80" t="s">
        <v>293</v>
      </c>
      <c r="E69" s="95">
        <v>1</v>
      </c>
      <c r="F69" s="143" t="str">
        <f>IF(AND(ISNA(VLOOKUP(D69,A:A,1,FALSE())),ISNA(VLOOKUP(D69,BaseType!A:A,1,FALSE())),D69&lt;&gt;"Struct"),"N","Y")</f>
        <v>Y</v>
      </c>
      <c r="G69" s="91" t="s">
        <v>3409</v>
      </c>
      <c r="H69" s="1"/>
      <c r="I69" s="1"/>
      <c r="J69" s="1"/>
      <c r="K69" s="1"/>
      <c r="L69" s="1"/>
      <c r="M69" s="1"/>
    </row>
    <row r="70" spans="1:13" ht="15" customHeight="1" x14ac:dyDescent="0.2">
      <c r="A70" s="80"/>
      <c r="B70" s="148"/>
      <c r="C70" s="148" t="s">
        <v>3410</v>
      </c>
      <c r="D70" s="80" t="s">
        <v>293</v>
      </c>
      <c r="E70" s="95">
        <v>1</v>
      </c>
      <c r="F70" s="143" t="str">
        <f>IF(AND(ISNA(VLOOKUP(D70,A:A,1,FALSE())),ISNA(VLOOKUP(D70,BaseType!A:A,1,FALSE())),D70&lt;&gt;"Struct"),"N","Y")</f>
        <v>Y</v>
      </c>
      <c r="G70" s="91" t="s">
        <v>3411</v>
      </c>
      <c r="H70" s="1"/>
      <c r="I70" s="1"/>
      <c r="J70" s="1"/>
      <c r="K70" s="1"/>
      <c r="L70" s="1"/>
      <c r="M70" s="1"/>
    </row>
    <row r="71" spans="1:13" ht="15" customHeight="1" x14ac:dyDescent="0.2">
      <c r="A71" s="80"/>
      <c r="B71" s="148"/>
      <c r="C71" s="148" t="s">
        <v>3412</v>
      </c>
      <c r="D71" s="80" t="s">
        <v>293</v>
      </c>
      <c r="E71" s="95">
        <v>1</v>
      </c>
      <c r="F71" s="143" t="str">
        <f>IF(AND(ISNA(VLOOKUP(D71,A:A,1,FALSE())),ISNA(VLOOKUP(D71,BaseType!A:A,1,FALSE())),D71&lt;&gt;"Struct"),"N","Y")</f>
        <v>Y</v>
      </c>
      <c r="G71" s="91" t="s">
        <v>3413</v>
      </c>
      <c r="H71" s="1"/>
      <c r="I71" s="1"/>
      <c r="J71" s="1"/>
      <c r="K71" s="1"/>
      <c r="L71" s="1"/>
      <c r="M71" s="1"/>
    </row>
    <row r="72" spans="1:13" ht="15" customHeight="1" x14ac:dyDescent="0.2">
      <c r="A72" s="80"/>
      <c r="B72" s="148"/>
      <c r="C72" s="148" t="s">
        <v>3414</v>
      </c>
      <c r="D72" s="80" t="s">
        <v>293</v>
      </c>
      <c r="E72" s="95">
        <v>1</v>
      </c>
      <c r="F72" s="143" t="str">
        <f>IF(AND(ISNA(VLOOKUP(D72,A:A,1,FALSE())),ISNA(VLOOKUP(D72,BaseType!A:A,1,FALSE())),D72&lt;&gt;"Struct"),"N","Y")</f>
        <v>Y</v>
      </c>
      <c r="G72" s="91" t="s">
        <v>3415</v>
      </c>
      <c r="H72" s="1"/>
      <c r="I72" s="1"/>
      <c r="J72" s="1"/>
      <c r="K72" s="1"/>
      <c r="L72" s="1"/>
      <c r="M72" s="1"/>
    </row>
    <row r="73" spans="1:13" ht="15" customHeight="1" x14ac:dyDescent="0.2">
      <c r="A73" s="80"/>
      <c r="B73" s="148"/>
      <c r="C73" s="148" t="s">
        <v>3416</v>
      </c>
      <c r="D73" s="80" t="s">
        <v>293</v>
      </c>
      <c r="E73" s="95">
        <v>1</v>
      </c>
      <c r="F73" s="143" t="str">
        <f>IF(AND(ISNA(VLOOKUP(D73,A:A,1,FALSE())),ISNA(VLOOKUP(D73,BaseType!A:A,1,FALSE())),D73&lt;&gt;"Struct"),"N","Y")</f>
        <v>Y</v>
      </c>
      <c r="G73" s="91" t="s">
        <v>3417</v>
      </c>
      <c r="H73" s="1"/>
      <c r="I73" s="1"/>
      <c r="J73" s="1"/>
      <c r="K73" s="1"/>
      <c r="L73" s="1"/>
      <c r="M73" s="1"/>
    </row>
    <row r="74" spans="1:13" ht="15" customHeight="1" x14ac:dyDescent="0.2">
      <c r="A74" s="80"/>
      <c r="B74" s="148"/>
      <c r="C74" s="148" t="s">
        <v>3418</v>
      </c>
      <c r="D74" s="80" t="s">
        <v>293</v>
      </c>
      <c r="E74" s="95">
        <v>1</v>
      </c>
      <c r="F74" s="143" t="str">
        <f>IF(AND(ISNA(VLOOKUP(D74,A:A,1,FALSE())),ISNA(VLOOKUP(D74,BaseType!A:A,1,FALSE())),D74&lt;&gt;"Struct"),"N","Y")</f>
        <v>Y</v>
      </c>
      <c r="G74" s="91" t="s">
        <v>3419</v>
      </c>
      <c r="H74" s="1"/>
      <c r="I74" s="1"/>
      <c r="J74" s="1"/>
      <c r="K74" s="1"/>
      <c r="L74" s="1"/>
      <c r="M74" s="1"/>
    </row>
    <row r="75" spans="1:13" ht="15" customHeight="1" x14ac:dyDescent="0.2">
      <c r="A75" s="80"/>
      <c r="B75" s="148"/>
      <c r="C75" s="148" t="s">
        <v>3420</v>
      </c>
      <c r="D75" s="80" t="s">
        <v>293</v>
      </c>
      <c r="E75" s="95">
        <v>1</v>
      </c>
      <c r="F75" s="143" t="str">
        <f>IF(AND(ISNA(VLOOKUP(D75,A:A,1,FALSE())),ISNA(VLOOKUP(D75,BaseType!A:A,1,FALSE())),D75&lt;&gt;"Struct"),"N","Y")</f>
        <v>Y</v>
      </c>
      <c r="G75" s="91" t="s">
        <v>3421</v>
      </c>
      <c r="H75" s="1"/>
      <c r="I75" s="1"/>
      <c r="J75" s="1"/>
      <c r="K75" s="1"/>
      <c r="L75" s="1"/>
      <c r="M75" s="1"/>
    </row>
    <row r="76" spans="1:13" ht="15" customHeight="1" x14ac:dyDescent="0.2">
      <c r="A76" s="80"/>
      <c r="B76" s="148"/>
      <c r="C76" s="148" t="s">
        <v>3422</v>
      </c>
      <c r="D76" s="80" t="s">
        <v>293</v>
      </c>
      <c r="E76" s="95">
        <v>1</v>
      </c>
      <c r="F76" s="143" t="str">
        <f>IF(AND(ISNA(VLOOKUP(D76,A:A,1,FALSE())),ISNA(VLOOKUP(D76,BaseType!A:A,1,FALSE())),D76&lt;&gt;"Struct"),"N","Y")</f>
        <v>Y</v>
      </c>
      <c r="G76" s="91" t="s">
        <v>3423</v>
      </c>
      <c r="H76" s="1"/>
      <c r="I76" s="1"/>
      <c r="J76" s="1"/>
      <c r="K76" s="1"/>
      <c r="L76" s="1"/>
      <c r="M76" s="1"/>
    </row>
    <row r="77" spans="1:13" ht="15" customHeight="1" x14ac:dyDescent="0.2">
      <c r="A77" s="80"/>
      <c r="B77" s="148"/>
      <c r="C77" s="148" t="s">
        <v>3424</v>
      </c>
      <c r="D77" s="80" t="s">
        <v>293</v>
      </c>
      <c r="E77" s="95">
        <v>1</v>
      </c>
      <c r="F77" s="143" t="str">
        <f>IF(AND(ISNA(VLOOKUP(D77,A:A,1,FALSE())),ISNA(VLOOKUP(D77,BaseType!A:A,1,FALSE())),D77&lt;&gt;"Struct"),"N","Y")</f>
        <v>Y</v>
      </c>
      <c r="G77" s="91" t="s">
        <v>3425</v>
      </c>
      <c r="H77" s="1"/>
      <c r="I77" s="1"/>
      <c r="J77" s="1"/>
      <c r="K77" s="1"/>
      <c r="L77" s="1"/>
      <c r="M77" s="1"/>
    </row>
    <row r="78" spans="1:13" ht="15" customHeight="1" x14ac:dyDescent="0.2">
      <c r="A78" s="80"/>
      <c r="B78" s="148"/>
      <c r="C78" s="148" t="s">
        <v>3426</v>
      </c>
      <c r="D78" s="80" t="s">
        <v>293</v>
      </c>
      <c r="E78" s="95">
        <v>1</v>
      </c>
      <c r="F78" s="143" t="str">
        <f>IF(AND(ISNA(VLOOKUP(D78,A:A,1,FALSE())),ISNA(VLOOKUP(D78,BaseType!A:A,1,FALSE())),D78&lt;&gt;"Struct"),"N","Y")</f>
        <v>Y</v>
      </c>
      <c r="G78" s="91" t="s">
        <v>3427</v>
      </c>
      <c r="H78" s="1"/>
      <c r="I78" s="1"/>
      <c r="J78" s="1"/>
      <c r="K78" s="1"/>
      <c r="L78" s="1"/>
      <c r="M78" s="1"/>
    </row>
    <row r="79" spans="1:13" ht="15" customHeight="1" x14ac:dyDescent="0.2">
      <c r="A79" s="80"/>
      <c r="B79" s="148"/>
      <c r="C79" s="148" t="s">
        <v>3428</v>
      </c>
      <c r="D79" s="80" t="s">
        <v>293</v>
      </c>
      <c r="E79" s="95">
        <v>1</v>
      </c>
      <c r="F79" s="143" t="str">
        <f>IF(AND(ISNA(VLOOKUP(D79,A:A,1,FALSE())),ISNA(VLOOKUP(D79,BaseType!A:A,1,FALSE())),D79&lt;&gt;"Struct"),"N","Y")</f>
        <v>Y</v>
      </c>
      <c r="G79" s="91" t="s">
        <v>3429</v>
      </c>
      <c r="H79" s="1"/>
      <c r="I79" s="1"/>
      <c r="J79" s="1"/>
      <c r="K79" s="1"/>
      <c r="L79" s="1"/>
      <c r="M79" s="1"/>
    </row>
    <row r="80" spans="1:13" ht="15" customHeight="1" x14ac:dyDescent="0.2">
      <c r="A80" s="80"/>
      <c r="B80" s="148"/>
      <c r="C80" s="148" t="s">
        <v>3430</v>
      </c>
      <c r="D80" s="80" t="s">
        <v>293</v>
      </c>
      <c r="E80" s="95">
        <v>1</v>
      </c>
      <c r="F80" s="143" t="str">
        <f>IF(AND(ISNA(VLOOKUP(D80,A:A,1,FALSE())),ISNA(VLOOKUP(D80,BaseType!A:A,1,FALSE())),D80&lt;&gt;"Struct"),"N","Y")</f>
        <v>Y</v>
      </c>
      <c r="G80" s="91" t="s">
        <v>3431</v>
      </c>
      <c r="H80" s="1"/>
      <c r="I80" s="1"/>
      <c r="J80" s="1"/>
      <c r="K80" s="1"/>
      <c r="L80" s="1"/>
      <c r="M80" s="1"/>
    </row>
    <row r="81" spans="1:13" ht="15" customHeight="1" x14ac:dyDescent="0.2">
      <c r="A81" s="80"/>
      <c r="B81" s="148"/>
      <c r="C81" s="148" t="s">
        <v>3432</v>
      </c>
      <c r="D81" s="80" t="s">
        <v>293</v>
      </c>
      <c r="E81" s="95">
        <v>1</v>
      </c>
      <c r="F81" s="143" t="str">
        <f>IF(AND(ISNA(VLOOKUP(D81,A:A,1,FALSE())),ISNA(VLOOKUP(D81,BaseType!A:A,1,FALSE())),D81&lt;&gt;"Struct"),"N","Y")</f>
        <v>Y</v>
      </c>
      <c r="G81" s="91" t="s">
        <v>3433</v>
      </c>
      <c r="H81" s="1"/>
      <c r="I81" s="1"/>
      <c r="J81" s="1"/>
      <c r="K81" s="1"/>
      <c r="L81" s="1"/>
      <c r="M81" s="1"/>
    </row>
    <row r="82" spans="1:13" ht="15" customHeight="1" x14ac:dyDescent="0.2">
      <c r="A82" s="80"/>
      <c r="B82" s="148"/>
      <c r="C82" s="148" t="s">
        <v>3434</v>
      </c>
      <c r="D82" s="80" t="s">
        <v>293</v>
      </c>
      <c r="E82" s="95">
        <v>1</v>
      </c>
      <c r="F82" s="143" t="str">
        <f>IF(AND(ISNA(VLOOKUP(D82,A:A,1,FALSE())),ISNA(VLOOKUP(D82,BaseType!A:A,1,FALSE())),D82&lt;&gt;"Struct"),"N","Y")</f>
        <v>Y</v>
      </c>
      <c r="G82" s="91" t="s">
        <v>3435</v>
      </c>
      <c r="H82" s="1"/>
      <c r="I82" s="1"/>
      <c r="J82" s="1"/>
      <c r="K82" s="1"/>
      <c r="L82" s="1"/>
      <c r="M82" s="1"/>
    </row>
    <row r="83" spans="1:13" ht="15" customHeight="1" x14ac:dyDescent="0.2">
      <c r="A83" s="80"/>
      <c r="B83" s="148"/>
      <c r="C83" s="148" t="s">
        <v>3436</v>
      </c>
      <c r="D83" s="80" t="s">
        <v>293</v>
      </c>
      <c r="E83" s="95">
        <v>1</v>
      </c>
      <c r="F83" s="143" t="str">
        <f>IF(AND(ISNA(VLOOKUP(D83,A:A,1,FALSE())),ISNA(VLOOKUP(D83,BaseType!A:A,1,FALSE())),D83&lt;&gt;"Struct"),"N","Y")</f>
        <v>Y</v>
      </c>
      <c r="G83" s="91" t="s">
        <v>3437</v>
      </c>
      <c r="H83" s="1"/>
      <c r="I83" s="1"/>
      <c r="J83" s="1"/>
      <c r="K83" s="1"/>
      <c r="L83" s="1"/>
      <c r="M83" s="1"/>
    </row>
    <row r="84" spans="1:13" ht="15" customHeight="1" x14ac:dyDescent="0.2">
      <c r="A84" s="80"/>
      <c r="B84" s="148"/>
      <c r="C84" s="148" t="s">
        <v>3438</v>
      </c>
      <c r="D84" s="80" t="s">
        <v>293</v>
      </c>
      <c r="E84" s="95">
        <v>1</v>
      </c>
      <c r="F84" s="143" t="str">
        <f>IF(AND(ISNA(VLOOKUP(D84,A:A,1,FALSE())),ISNA(VLOOKUP(D84,BaseType!A:A,1,FALSE())),D84&lt;&gt;"Struct"),"N","Y")</f>
        <v>Y</v>
      </c>
      <c r="G84" s="91" t="s">
        <v>3439</v>
      </c>
      <c r="H84" s="1"/>
      <c r="I84" s="1"/>
      <c r="J84" s="1"/>
      <c r="K84" s="1"/>
      <c r="L84" s="1"/>
      <c r="M84" s="1"/>
    </row>
    <row r="85" spans="1:13" ht="15" customHeight="1" x14ac:dyDescent="0.2">
      <c r="A85" s="80"/>
      <c r="B85" s="148"/>
      <c r="C85" s="148" t="s">
        <v>3440</v>
      </c>
      <c r="D85" s="80" t="s">
        <v>293</v>
      </c>
      <c r="E85" s="95">
        <v>1</v>
      </c>
      <c r="F85" s="143" t="str">
        <f>IF(AND(ISNA(VLOOKUP(D85,A:A,1,FALSE())),ISNA(VLOOKUP(D85,BaseType!A:A,1,FALSE())),D85&lt;&gt;"Struct"),"N","Y")</f>
        <v>Y</v>
      </c>
      <c r="G85" s="91" t="s">
        <v>3441</v>
      </c>
      <c r="H85" s="1"/>
      <c r="I85" s="1"/>
      <c r="J85" s="1"/>
      <c r="K85" s="1"/>
      <c r="L85" s="1"/>
      <c r="M85" s="1"/>
    </row>
    <row r="86" spans="1:13" ht="15" customHeight="1" x14ac:dyDescent="0.2">
      <c r="A86" s="80"/>
      <c r="B86" s="148"/>
      <c r="C86" s="148" t="s">
        <v>3442</v>
      </c>
      <c r="D86" s="80" t="s">
        <v>293</v>
      </c>
      <c r="E86" s="95">
        <v>1</v>
      </c>
      <c r="F86" s="143" t="str">
        <f>IF(AND(ISNA(VLOOKUP(D86,A:A,1,FALSE())),ISNA(VLOOKUP(D86,BaseType!A:A,1,FALSE())),D86&lt;&gt;"Struct"),"N","Y")</f>
        <v>Y</v>
      </c>
      <c r="G86" s="91" t="s">
        <v>3443</v>
      </c>
      <c r="H86" s="1"/>
      <c r="I86" s="1"/>
      <c r="J86" s="1"/>
      <c r="K86" s="1"/>
      <c r="L86" s="1"/>
      <c r="M86" s="1"/>
    </row>
    <row r="87" spans="1:13" ht="15" customHeight="1" x14ac:dyDescent="0.2">
      <c r="A87" s="80"/>
      <c r="B87" s="148"/>
      <c r="C87" s="148" t="s">
        <v>3444</v>
      </c>
      <c r="D87" s="80" t="s">
        <v>293</v>
      </c>
      <c r="E87" s="95">
        <v>1</v>
      </c>
      <c r="F87" s="143" t="str">
        <f>IF(AND(ISNA(VLOOKUP(D87,A:A,1,FALSE())),ISNA(VLOOKUP(D87,BaseType!A:A,1,FALSE())),D87&lt;&gt;"Struct"),"N","Y")</f>
        <v>Y</v>
      </c>
      <c r="G87" s="91" t="s">
        <v>3445</v>
      </c>
      <c r="H87" s="1"/>
      <c r="I87" s="1"/>
      <c r="J87" s="1"/>
      <c r="K87" s="1"/>
      <c r="L87" s="1"/>
      <c r="M87" s="1"/>
    </row>
    <row r="88" spans="1:13" ht="15" customHeight="1" x14ac:dyDescent="0.2">
      <c r="A88" s="80"/>
      <c r="B88" s="148"/>
      <c r="C88" s="148" t="s">
        <v>3446</v>
      </c>
      <c r="D88" s="80" t="s">
        <v>293</v>
      </c>
      <c r="E88" s="95">
        <v>1</v>
      </c>
      <c r="F88" s="143" t="str">
        <f>IF(AND(ISNA(VLOOKUP(D88,A:A,1,FALSE())),ISNA(VLOOKUP(D88,BaseType!A:A,1,FALSE())),D88&lt;&gt;"Struct"),"N","Y")</f>
        <v>Y</v>
      </c>
      <c r="G88" s="91" t="s">
        <v>3447</v>
      </c>
      <c r="H88" s="1"/>
      <c r="I88" s="1"/>
      <c r="J88" s="1"/>
      <c r="K88" s="1"/>
      <c r="L88" s="1"/>
      <c r="M88" s="1"/>
    </row>
    <row r="89" spans="1:13" ht="15" customHeight="1" x14ac:dyDescent="0.2">
      <c r="A89" s="80"/>
      <c r="B89" s="148"/>
      <c r="C89" s="148" t="s">
        <v>3448</v>
      </c>
      <c r="D89" s="80" t="s">
        <v>293</v>
      </c>
      <c r="E89" s="95">
        <v>1</v>
      </c>
      <c r="F89" s="143" t="str">
        <f>IF(AND(ISNA(VLOOKUP(D89,A:A,1,FALSE())),ISNA(VLOOKUP(D89,BaseType!A:A,1,FALSE())),D89&lt;&gt;"Struct"),"N","Y")</f>
        <v>Y</v>
      </c>
      <c r="G89" s="91" t="s">
        <v>3449</v>
      </c>
      <c r="H89" s="1"/>
      <c r="I89" s="1"/>
      <c r="J89" s="1"/>
      <c r="K89" s="1"/>
      <c r="L89" s="1"/>
      <c r="M89" s="1"/>
    </row>
    <row r="90" spans="1:13" ht="15" customHeight="1" x14ac:dyDescent="0.2">
      <c r="A90" s="80"/>
      <c r="B90" s="148"/>
      <c r="C90" s="148" t="s">
        <v>3450</v>
      </c>
      <c r="D90" s="80" t="s">
        <v>293</v>
      </c>
      <c r="E90" s="95">
        <v>1</v>
      </c>
      <c r="F90" s="143" t="str">
        <f>IF(AND(ISNA(VLOOKUP(D90,A:A,1,FALSE())),ISNA(VLOOKUP(D90,BaseType!A:A,1,FALSE())),D90&lt;&gt;"Struct"),"N","Y")</f>
        <v>Y</v>
      </c>
      <c r="G90" s="91" t="s">
        <v>3451</v>
      </c>
      <c r="H90" s="1"/>
      <c r="I90" s="1"/>
      <c r="J90" s="1"/>
      <c r="K90" s="1"/>
      <c r="L90" s="1"/>
      <c r="M90" s="1"/>
    </row>
    <row r="91" spans="1:13" ht="15" customHeight="1" x14ac:dyDescent="0.2">
      <c r="A91" s="80"/>
      <c r="B91" s="148"/>
      <c r="C91" s="148" t="s">
        <v>3452</v>
      </c>
      <c r="D91" s="80" t="s">
        <v>293</v>
      </c>
      <c r="E91" s="95">
        <v>1</v>
      </c>
      <c r="F91" s="143" t="str">
        <f>IF(AND(ISNA(VLOOKUP(D91,A:A,1,FALSE())),ISNA(VLOOKUP(D91,BaseType!A:A,1,FALSE())),D91&lt;&gt;"Struct"),"N","Y")</f>
        <v>Y</v>
      </c>
      <c r="G91" s="91" t="s">
        <v>3453</v>
      </c>
      <c r="H91" s="1"/>
      <c r="I91" s="1"/>
      <c r="J91" s="1"/>
      <c r="K91" s="1"/>
      <c r="L91" s="1"/>
      <c r="M91" s="1"/>
    </row>
    <row r="92" spans="1:13" ht="15" customHeight="1" x14ac:dyDescent="0.2">
      <c r="A92" s="80"/>
      <c r="B92" s="148"/>
      <c r="C92" s="148" t="s">
        <v>3454</v>
      </c>
      <c r="D92" s="80" t="s">
        <v>293</v>
      </c>
      <c r="E92" s="95">
        <v>1</v>
      </c>
      <c r="F92" s="143" t="str">
        <f>IF(AND(ISNA(VLOOKUP(D92,A:A,1,FALSE())),ISNA(VLOOKUP(D92,BaseType!A:A,1,FALSE())),D92&lt;&gt;"Struct"),"N","Y")</f>
        <v>Y</v>
      </c>
      <c r="G92" s="91" t="s">
        <v>3455</v>
      </c>
      <c r="H92" s="1"/>
      <c r="I92" s="1"/>
      <c r="J92" s="1"/>
      <c r="K92" s="1"/>
      <c r="L92" s="1"/>
      <c r="M92" s="1"/>
    </row>
    <row r="93" spans="1:13" ht="15" customHeight="1" x14ac:dyDescent="0.2">
      <c r="A93" s="80"/>
      <c r="B93" s="148"/>
      <c r="C93" s="148" t="s">
        <v>3456</v>
      </c>
      <c r="D93" s="80" t="s">
        <v>293</v>
      </c>
      <c r="E93" s="95">
        <v>1</v>
      </c>
      <c r="F93" s="143" t="str">
        <f>IF(AND(ISNA(VLOOKUP(D93,A:A,1,FALSE())),ISNA(VLOOKUP(D93,BaseType!A:A,1,FALSE())),D93&lt;&gt;"Struct"),"N","Y")</f>
        <v>Y</v>
      </c>
      <c r="G93" s="91" t="s">
        <v>3457</v>
      </c>
      <c r="H93" s="1"/>
      <c r="I93" s="1"/>
      <c r="J93" s="1"/>
      <c r="K93" s="1"/>
      <c r="L93" s="1"/>
      <c r="M93" s="1"/>
    </row>
    <row r="94" spans="1:13" ht="15" customHeight="1" x14ac:dyDescent="0.2">
      <c r="A94" s="80"/>
      <c r="B94" s="148"/>
      <c r="C94" s="148" t="s">
        <v>3458</v>
      </c>
      <c r="D94" s="80" t="s">
        <v>293</v>
      </c>
      <c r="E94" s="95">
        <v>1</v>
      </c>
      <c r="F94" s="143" t="str">
        <f>IF(AND(ISNA(VLOOKUP(D94,A:A,1,FALSE())),ISNA(VLOOKUP(D94,BaseType!A:A,1,FALSE())),D94&lt;&gt;"Struct"),"N","Y")</f>
        <v>Y</v>
      </c>
      <c r="G94" s="91" t="s">
        <v>3459</v>
      </c>
      <c r="H94" s="1"/>
      <c r="I94" s="1"/>
      <c r="J94" s="1"/>
      <c r="K94" s="1"/>
      <c r="L94" s="1"/>
      <c r="M94" s="1"/>
    </row>
    <row r="95" spans="1:13" ht="15" customHeight="1" x14ac:dyDescent="0.2">
      <c r="A95" s="80"/>
      <c r="B95" s="148"/>
      <c r="C95" s="148" t="s">
        <v>3460</v>
      </c>
      <c r="D95" s="80" t="s">
        <v>293</v>
      </c>
      <c r="E95" s="95">
        <v>1</v>
      </c>
      <c r="F95" s="143" t="str">
        <f>IF(AND(ISNA(VLOOKUP(D95,A:A,1,FALSE())),ISNA(VLOOKUP(D95,BaseType!A:A,1,FALSE())),D95&lt;&gt;"Struct"),"N","Y")</f>
        <v>Y</v>
      </c>
      <c r="G95" s="91" t="s">
        <v>3461</v>
      </c>
      <c r="H95" s="1"/>
      <c r="I95" s="1"/>
      <c r="J95" s="1"/>
      <c r="K95" s="1"/>
      <c r="L95" s="1"/>
      <c r="M95" s="1"/>
    </row>
    <row r="96" spans="1:13" ht="15" customHeight="1" x14ac:dyDescent="0.2">
      <c r="A96" s="80"/>
      <c r="B96" s="148"/>
      <c r="C96" s="148" t="s">
        <v>3462</v>
      </c>
      <c r="D96" s="80" t="s">
        <v>293</v>
      </c>
      <c r="E96" s="95">
        <v>1</v>
      </c>
      <c r="F96" s="143" t="str">
        <f>IF(AND(ISNA(VLOOKUP(D96,A:A,1,FALSE())),ISNA(VLOOKUP(D96,BaseType!A:A,1,FALSE())),D96&lt;&gt;"Struct"),"N","Y")</f>
        <v>Y</v>
      </c>
      <c r="G96" s="91" t="s">
        <v>3463</v>
      </c>
      <c r="H96" s="1"/>
      <c r="I96" s="1"/>
      <c r="J96" s="1"/>
      <c r="K96" s="1"/>
      <c r="L96" s="1"/>
      <c r="M96" s="1"/>
    </row>
    <row r="97" spans="1:13" ht="15" customHeight="1" x14ac:dyDescent="0.2">
      <c r="A97" s="80"/>
      <c r="B97" s="148"/>
      <c r="C97" s="148" t="s">
        <v>3464</v>
      </c>
      <c r="D97" s="80" t="s">
        <v>293</v>
      </c>
      <c r="E97" s="95">
        <v>1</v>
      </c>
      <c r="F97" s="143" t="str">
        <f>IF(AND(ISNA(VLOOKUP(D97,A:A,1,FALSE())),ISNA(VLOOKUP(D97,BaseType!A:A,1,FALSE())),D97&lt;&gt;"Struct"),"N","Y")</f>
        <v>Y</v>
      </c>
      <c r="G97" s="91" t="s">
        <v>3465</v>
      </c>
      <c r="H97" s="1"/>
      <c r="I97" s="1"/>
      <c r="J97" s="1"/>
      <c r="K97" s="1"/>
      <c r="L97" s="1"/>
      <c r="M97" s="1"/>
    </row>
    <row r="98" spans="1:13" ht="15" customHeight="1" x14ac:dyDescent="0.2">
      <c r="A98" s="80"/>
      <c r="B98" s="148"/>
      <c r="C98" s="148" t="s">
        <v>3466</v>
      </c>
      <c r="D98" s="80" t="s">
        <v>293</v>
      </c>
      <c r="E98" s="95">
        <v>1</v>
      </c>
      <c r="F98" s="143" t="str">
        <f>IF(AND(ISNA(VLOOKUP(D98,A:A,1,FALSE())),ISNA(VLOOKUP(D98,BaseType!A:A,1,FALSE())),D98&lt;&gt;"Struct"),"N","Y")</f>
        <v>Y</v>
      </c>
      <c r="G98" s="91" t="s">
        <v>3467</v>
      </c>
      <c r="H98" s="1"/>
      <c r="I98" s="1"/>
      <c r="J98" s="1"/>
      <c r="K98" s="1"/>
      <c r="L98" s="1"/>
      <c r="M98" s="1"/>
    </row>
    <row r="99" spans="1:13" ht="15" customHeight="1" x14ac:dyDescent="0.2">
      <c r="A99" s="80"/>
      <c r="B99" s="148"/>
      <c r="C99" s="148" t="s">
        <v>3468</v>
      </c>
      <c r="D99" s="80" t="s">
        <v>293</v>
      </c>
      <c r="E99" s="95">
        <v>1</v>
      </c>
      <c r="F99" s="143" t="str">
        <f>IF(AND(ISNA(VLOOKUP(D99,A:A,1,FALSE())),ISNA(VLOOKUP(D99,BaseType!A:A,1,FALSE())),D99&lt;&gt;"Struct"),"N","Y")</f>
        <v>Y</v>
      </c>
      <c r="G99" s="91" t="s">
        <v>3469</v>
      </c>
      <c r="H99" s="1"/>
      <c r="I99" s="1"/>
      <c r="J99" s="1"/>
      <c r="K99" s="1"/>
      <c r="L99" s="1"/>
      <c r="M99" s="1"/>
    </row>
    <row r="100" spans="1:13" ht="15" customHeight="1" x14ac:dyDescent="0.2">
      <c r="A100" s="80"/>
      <c r="B100" s="148"/>
      <c r="C100" s="148" t="s">
        <v>3470</v>
      </c>
      <c r="D100" s="80" t="s">
        <v>293</v>
      </c>
      <c r="E100" s="95">
        <v>1</v>
      </c>
      <c r="F100" s="143" t="str">
        <f>IF(AND(ISNA(VLOOKUP(D100,A:A,1,FALSE())),ISNA(VLOOKUP(D100,BaseType!A:A,1,FALSE())),D100&lt;&gt;"Struct"),"N","Y")</f>
        <v>Y</v>
      </c>
      <c r="G100" s="91" t="s">
        <v>3471</v>
      </c>
      <c r="H100" s="1"/>
      <c r="I100" s="1"/>
      <c r="J100" s="1"/>
      <c r="K100" s="1"/>
      <c r="L100" s="1"/>
      <c r="M100" s="1"/>
    </row>
    <row r="101" spans="1:13" ht="15" customHeight="1" x14ac:dyDescent="0.2">
      <c r="A101" s="80"/>
      <c r="B101" s="148"/>
      <c r="C101" s="148" t="s">
        <v>3472</v>
      </c>
      <c r="D101" s="80" t="s">
        <v>293</v>
      </c>
      <c r="E101" s="95">
        <v>1</v>
      </c>
      <c r="F101" s="143" t="str">
        <f>IF(AND(ISNA(VLOOKUP(D101,A:A,1,FALSE())),ISNA(VLOOKUP(D101,BaseType!A:A,1,FALSE())),D101&lt;&gt;"Struct"),"N","Y")</f>
        <v>Y</v>
      </c>
      <c r="G101" s="91" t="s">
        <v>3473</v>
      </c>
      <c r="H101" s="1"/>
      <c r="I101" s="1"/>
      <c r="J101" s="1"/>
      <c r="K101" s="1"/>
      <c r="L101" s="1"/>
      <c r="M101" s="1"/>
    </row>
    <row r="102" spans="1:13" ht="15" customHeight="1" x14ac:dyDescent="0.2">
      <c r="A102" s="80"/>
      <c r="B102" s="148"/>
      <c r="C102" s="148" t="s">
        <v>3474</v>
      </c>
      <c r="D102" s="80" t="s">
        <v>293</v>
      </c>
      <c r="E102" s="95">
        <v>1</v>
      </c>
      <c r="F102" s="143" t="str">
        <f>IF(AND(ISNA(VLOOKUP(D102,A:A,1,FALSE())),ISNA(VLOOKUP(D102,BaseType!A:A,1,FALSE())),D102&lt;&gt;"Struct"),"N","Y")</f>
        <v>Y</v>
      </c>
      <c r="G102" s="91" t="s">
        <v>3475</v>
      </c>
      <c r="H102" s="1"/>
      <c r="I102" s="1"/>
      <c r="J102" s="1"/>
      <c r="K102" s="1"/>
      <c r="L102" s="1"/>
      <c r="M102" s="1"/>
    </row>
    <row r="103" spans="1:13" ht="15" customHeight="1" x14ac:dyDescent="0.2">
      <c r="A103" s="80"/>
      <c r="B103" s="148"/>
      <c r="C103" s="148" t="s">
        <v>3476</v>
      </c>
      <c r="D103" s="80" t="s">
        <v>293</v>
      </c>
      <c r="E103" s="95">
        <v>1</v>
      </c>
      <c r="F103" s="143" t="str">
        <f>IF(AND(ISNA(VLOOKUP(D103,A:A,1,FALSE())),ISNA(VLOOKUP(D103,BaseType!A:A,1,FALSE())),D103&lt;&gt;"Struct"),"N","Y")</f>
        <v>Y</v>
      </c>
      <c r="G103" s="91" t="s">
        <v>3477</v>
      </c>
      <c r="H103" s="1"/>
      <c r="I103" s="1"/>
      <c r="J103" s="1"/>
      <c r="K103" s="1"/>
      <c r="L103" s="1"/>
      <c r="M103" s="1"/>
    </row>
    <row r="104" spans="1:13" ht="15" customHeight="1" x14ac:dyDescent="0.2">
      <c r="A104" s="80"/>
      <c r="B104" s="148"/>
      <c r="C104" s="148" t="s">
        <v>3478</v>
      </c>
      <c r="D104" s="80" t="s">
        <v>293</v>
      </c>
      <c r="E104" s="95">
        <v>1</v>
      </c>
      <c r="F104" s="143" t="str">
        <f>IF(AND(ISNA(VLOOKUP(D104,A:A,1,FALSE())),ISNA(VLOOKUP(D104,BaseType!A:A,1,FALSE())),D104&lt;&gt;"Struct"),"N","Y")</f>
        <v>Y</v>
      </c>
      <c r="G104" s="91" t="s">
        <v>3479</v>
      </c>
      <c r="H104" s="1"/>
      <c r="I104" s="1"/>
      <c r="J104" s="1"/>
      <c r="K104" s="1"/>
      <c r="L104" s="1"/>
      <c r="M104" s="1"/>
    </row>
    <row r="105" spans="1:13" ht="15" customHeight="1" x14ac:dyDescent="0.2">
      <c r="A105" s="80"/>
      <c r="B105" s="148"/>
      <c r="C105" s="148" t="s">
        <v>3480</v>
      </c>
      <c r="D105" s="80" t="s">
        <v>293</v>
      </c>
      <c r="E105" s="95">
        <v>1</v>
      </c>
      <c r="F105" s="143" t="str">
        <f>IF(AND(ISNA(VLOOKUP(D105,A:A,1,FALSE())),ISNA(VLOOKUP(D105,BaseType!A:A,1,FALSE())),D105&lt;&gt;"Struct"),"N","Y")</f>
        <v>Y</v>
      </c>
      <c r="G105" s="91" t="s">
        <v>3481</v>
      </c>
      <c r="H105" s="1"/>
      <c r="I105" s="1"/>
      <c r="J105" s="1"/>
      <c r="K105" s="1"/>
      <c r="L105" s="1"/>
      <c r="M105" s="1"/>
    </row>
    <row r="106" spans="1:13" ht="15" customHeight="1" x14ac:dyDescent="0.2">
      <c r="A106" s="80"/>
      <c r="B106" s="148"/>
      <c r="C106" s="148" t="s">
        <v>3482</v>
      </c>
      <c r="D106" s="80" t="s">
        <v>293</v>
      </c>
      <c r="E106" s="95">
        <v>1</v>
      </c>
      <c r="F106" s="143" t="str">
        <f>IF(AND(ISNA(VLOOKUP(D106,A:A,1,FALSE())),ISNA(VLOOKUP(D106,BaseType!A:A,1,FALSE())),D106&lt;&gt;"Struct"),"N","Y")</f>
        <v>Y</v>
      </c>
      <c r="G106" s="91" t="s">
        <v>3483</v>
      </c>
      <c r="H106" s="1"/>
      <c r="I106" s="1"/>
      <c r="J106" s="1"/>
      <c r="K106" s="1"/>
      <c r="L106" s="1"/>
      <c r="M106" s="1"/>
    </row>
    <row r="107" spans="1:13" ht="15" customHeight="1" x14ac:dyDescent="0.2">
      <c r="A107" s="80"/>
      <c r="B107" s="148"/>
      <c r="C107" s="148" t="s">
        <v>3484</v>
      </c>
      <c r="D107" s="80" t="s">
        <v>293</v>
      </c>
      <c r="E107" s="95">
        <v>1</v>
      </c>
      <c r="F107" s="143" t="str">
        <f>IF(AND(ISNA(VLOOKUP(D107,A:A,1,FALSE())),ISNA(VLOOKUP(D107,BaseType!A:A,1,FALSE())),D107&lt;&gt;"Struct"),"N","Y")</f>
        <v>Y</v>
      </c>
      <c r="G107" s="91" t="s">
        <v>3485</v>
      </c>
      <c r="H107" s="1"/>
      <c r="I107" s="1"/>
      <c r="J107" s="1"/>
      <c r="K107" s="1"/>
      <c r="L107" s="1"/>
      <c r="M107" s="1"/>
    </row>
    <row r="108" spans="1:13" ht="15" customHeight="1" x14ac:dyDescent="0.2">
      <c r="A108" s="80"/>
      <c r="B108" s="148"/>
      <c r="C108" s="148" t="s">
        <v>3486</v>
      </c>
      <c r="D108" s="80" t="s">
        <v>293</v>
      </c>
      <c r="E108" s="95">
        <v>1</v>
      </c>
      <c r="F108" s="143" t="str">
        <f>IF(AND(ISNA(VLOOKUP(D108,A:A,1,FALSE())),ISNA(VLOOKUP(D108,BaseType!A:A,1,FALSE())),D108&lt;&gt;"Struct"),"N","Y")</f>
        <v>Y</v>
      </c>
      <c r="G108" s="91" t="s">
        <v>3487</v>
      </c>
      <c r="H108" s="1"/>
      <c r="I108" s="1"/>
      <c r="J108" s="1"/>
      <c r="K108" s="1"/>
      <c r="L108" s="1"/>
      <c r="M108" s="1"/>
    </row>
    <row r="109" spans="1:13" ht="15" customHeight="1" x14ac:dyDescent="0.2">
      <c r="A109" s="80"/>
      <c r="B109" s="148"/>
      <c r="C109" s="148" t="s">
        <v>3488</v>
      </c>
      <c r="D109" s="80" t="s">
        <v>293</v>
      </c>
      <c r="E109" s="95">
        <v>1</v>
      </c>
      <c r="F109" s="143" t="str">
        <f>IF(AND(ISNA(VLOOKUP(D109,A:A,1,FALSE())),ISNA(VLOOKUP(D109,BaseType!A:A,1,FALSE())),D109&lt;&gt;"Struct"),"N","Y")</f>
        <v>Y</v>
      </c>
      <c r="G109" s="91" t="s">
        <v>3489</v>
      </c>
      <c r="H109" s="1"/>
      <c r="I109" s="1"/>
      <c r="J109" s="1"/>
      <c r="K109" s="1"/>
      <c r="L109" s="1"/>
      <c r="M109" s="1"/>
    </row>
    <row r="110" spans="1:13" ht="15" customHeight="1" x14ac:dyDescent="0.2">
      <c r="A110" s="80"/>
      <c r="B110" s="148"/>
      <c r="C110" s="148" t="s">
        <v>3490</v>
      </c>
      <c r="D110" s="80" t="s">
        <v>293</v>
      </c>
      <c r="E110" s="95">
        <v>1</v>
      </c>
      <c r="F110" s="143" t="str">
        <f>IF(AND(ISNA(VLOOKUP(D110,A:A,1,FALSE())),ISNA(VLOOKUP(D110,BaseType!A:A,1,FALSE())),D110&lt;&gt;"Struct"),"N","Y")</f>
        <v>Y</v>
      </c>
      <c r="G110" s="91" t="s">
        <v>3491</v>
      </c>
      <c r="H110" s="1"/>
      <c r="I110" s="1"/>
      <c r="J110" s="1"/>
      <c r="K110" s="1"/>
      <c r="L110" s="1"/>
      <c r="M110" s="1"/>
    </row>
    <row r="111" spans="1:13" ht="15" customHeight="1" x14ac:dyDescent="0.2">
      <c r="A111" s="80"/>
      <c r="B111" s="148"/>
      <c r="C111" s="148" t="s">
        <v>3492</v>
      </c>
      <c r="D111" s="80" t="s">
        <v>293</v>
      </c>
      <c r="E111" s="95">
        <v>1</v>
      </c>
      <c r="F111" s="143" t="str">
        <f>IF(AND(ISNA(VLOOKUP(D111,A:A,1,FALSE())),ISNA(VLOOKUP(D111,BaseType!A:A,1,FALSE())),D111&lt;&gt;"Struct"),"N","Y")</f>
        <v>Y</v>
      </c>
      <c r="G111" s="91" t="s">
        <v>3493</v>
      </c>
      <c r="H111" s="1"/>
      <c r="I111" s="1"/>
      <c r="J111" s="1"/>
      <c r="K111" s="1"/>
      <c r="L111" s="1"/>
      <c r="M111" s="1"/>
    </row>
    <row r="112" spans="1:13" ht="15" customHeight="1" x14ac:dyDescent="0.2">
      <c r="A112" s="80"/>
      <c r="B112" s="148"/>
      <c r="C112" s="148" t="s">
        <v>3494</v>
      </c>
      <c r="D112" s="80" t="s">
        <v>293</v>
      </c>
      <c r="E112" s="95">
        <v>1</v>
      </c>
      <c r="F112" s="143" t="str">
        <f>IF(AND(ISNA(VLOOKUP(D112,A:A,1,FALSE())),ISNA(VLOOKUP(D112,BaseType!A:A,1,FALSE())),D112&lt;&gt;"Struct"),"N","Y")</f>
        <v>Y</v>
      </c>
      <c r="G112" s="91" t="s">
        <v>3495</v>
      </c>
      <c r="H112" s="1"/>
      <c r="I112" s="1"/>
      <c r="J112" s="1"/>
      <c r="K112" s="1"/>
      <c r="L112" s="1"/>
      <c r="M112" s="1"/>
    </row>
    <row r="113" spans="1:13" ht="15" customHeight="1" x14ac:dyDescent="0.2">
      <c r="A113" s="80"/>
      <c r="B113" s="148"/>
      <c r="C113" s="148" t="s">
        <v>3496</v>
      </c>
      <c r="D113" s="80" t="s">
        <v>293</v>
      </c>
      <c r="E113" s="95">
        <v>1</v>
      </c>
      <c r="F113" s="143" t="str">
        <f>IF(AND(ISNA(VLOOKUP(D113,A:A,1,FALSE())),ISNA(VLOOKUP(D113,BaseType!A:A,1,FALSE())),D113&lt;&gt;"Struct"),"N","Y")</f>
        <v>Y</v>
      </c>
      <c r="G113" s="91" t="s">
        <v>3497</v>
      </c>
      <c r="H113" s="1"/>
      <c r="I113" s="1"/>
      <c r="J113" s="1"/>
      <c r="K113" s="1"/>
      <c r="L113" s="1"/>
      <c r="M113" s="1"/>
    </row>
    <row r="114" spans="1:13" ht="15" customHeight="1" x14ac:dyDescent="0.2">
      <c r="A114" s="80"/>
      <c r="B114" s="148"/>
      <c r="C114" s="148" t="s">
        <v>3498</v>
      </c>
      <c r="D114" s="80" t="s">
        <v>293</v>
      </c>
      <c r="E114" s="95">
        <v>1</v>
      </c>
      <c r="F114" s="143" t="str">
        <f>IF(AND(ISNA(VLOOKUP(D114,A:A,1,FALSE())),ISNA(VLOOKUP(D114,BaseType!A:A,1,FALSE())),D114&lt;&gt;"Struct"),"N","Y")</f>
        <v>Y</v>
      </c>
      <c r="G114" s="91" t="s">
        <v>3499</v>
      </c>
      <c r="H114" s="1"/>
      <c r="I114" s="1"/>
      <c r="J114" s="1"/>
      <c r="K114" s="1"/>
      <c r="L114" s="1"/>
      <c r="M114" s="1"/>
    </row>
    <row r="115" spans="1:13" ht="15" customHeight="1" x14ac:dyDescent="0.2">
      <c r="A115" s="80"/>
      <c r="B115" s="148"/>
      <c r="C115" s="148" t="s">
        <v>3500</v>
      </c>
      <c r="D115" s="80" t="s">
        <v>293</v>
      </c>
      <c r="E115" s="95">
        <v>1</v>
      </c>
      <c r="F115" s="143" t="str">
        <f>IF(AND(ISNA(VLOOKUP(D115,A:A,1,FALSE())),ISNA(VLOOKUP(D115,BaseType!A:A,1,FALSE())),D115&lt;&gt;"Struct"),"N","Y")</f>
        <v>Y</v>
      </c>
      <c r="G115" s="91" t="s">
        <v>3501</v>
      </c>
      <c r="H115" s="1"/>
      <c r="I115" s="1"/>
      <c r="J115" s="1"/>
      <c r="K115" s="1"/>
      <c r="L115" s="1"/>
      <c r="M115" s="1"/>
    </row>
    <row r="116" spans="1:13" ht="15" customHeight="1" x14ac:dyDescent="0.2">
      <c r="A116" s="80"/>
      <c r="B116" s="148"/>
      <c r="C116" s="148" t="s">
        <v>3502</v>
      </c>
      <c r="D116" s="80" t="s">
        <v>293</v>
      </c>
      <c r="E116" s="95">
        <v>1</v>
      </c>
      <c r="F116" s="143" t="str">
        <f>IF(AND(ISNA(VLOOKUP(D116,A:A,1,FALSE())),ISNA(VLOOKUP(D116,BaseType!A:A,1,FALSE())),D116&lt;&gt;"Struct"),"N","Y")</f>
        <v>Y</v>
      </c>
      <c r="G116" s="91" t="s">
        <v>3503</v>
      </c>
      <c r="H116" s="1"/>
      <c r="I116" s="1"/>
      <c r="J116" s="1"/>
      <c r="K116" s="1"/>
      <c r="L116" s="1"/>
      <c r="M116" s="1"/>
    </row>
    <row r="117" spans="1:13" ht="15" customHeight="1" x14ac:dyDescent="0.2">
      <c r="A117" s="80"/>
      <c r="B117" s="148"/>
      <c r="C117" s="148" t="s">
        <v>3504</v>
      </c>
      <c r="D117" s="80" t="s">
        <v>293</v>
      </c>
      <c r="E117" s="95">
        <v>1</v>
      </c>
      <c r="F117" s="143" t="str">
        <f>IF(AND(ISNA(VLOOKUP(D117,A:A,1,FALSE())),ISNA(VLOOKUP(D117,BaseType!A:A,1,FALSE())),D117&lt;&gt;"Struct"),"N","Y")</f>
        <v>Y</v>
      </c>
      <c r="G117" s="91" t="s">
        <v>3505</v>
      </c>
      <c r="H117" s="1"/>
      <c r="I117" s="1"/>
      <c r="J117" s="1"/>
      <c r="K117" s="1"/>
      <c r="L117" s="1"/>
      <c r="M117" s="1"/>
    </row>
    <row r="118" spans="1:13" ht="15" customHeight="1" x14ac:dyDescent="0.2">
      <c r="A118" s="80"/>
      <c r="B118" s="148"/>
      <c r="C118" s="148" t="s">
        <v>3506</v>
      </c>
      <c r="D118" s="80" t="s">
        <v>293</v>
      </c>
      <c r="E118" s="95">
        <v>1</v>
      </c>
      <c r="F118" s="143" t="str">
        <f>IF(AND(ISNA(VLOOKUP(D118,A:A,1,FALSE())),ISNA(VLOOKUP(D118,BaseType!A:A,1,FALSE())),D118&lt;&gt;"Struct"),"N","Y")</f>
        <v>Y</v>
      </c>
      <c r="G118" s="91" t="s">
        <v>3507</v>
      </c>
      <c r="H118" s="1"/>
      <c r="I118" s="1"/>
      <c r="J118" s="1"/>
      <c r="K118" s="1"/>
      <c r="L118" s="1"/>
      <c r="M118" s="1"/>
    </row>
    <row r="119" spans="1:13" ht="15" customHeight="1" x14ac:dyDescent="0.2">
      <c r="A119" s="80"/>
      <c r="B119" s="148"/>
      <c r="C119" s="148" t="s">
        <v>3508</v>
      </c>
      <c r="D119" s="80" t="s">
        <v>293</v>
      </c>
      <c r="E119" s="95">
        <v>1</v>
      </c>
      <c r="F119" s="143" t="str">
        <f>IF(AND(ISNA(VLOOKUP(D119,A:A,1,FALSE())),ISNA(VLOOKUP(D119,BaseType!A:A,1,FALSE())),D119&lt;&gt;"Struct"),"N","Y")</f>
        <v>Y</v>
      </c>
      <c r="G119" s="91" t="s">
        <v>3509</v>
      </c>
      <c r="H119" s="1"/>
      <c r="I119" s="1"/>
      <c r="J119" s="1"/>
      <c r="K119" s="1"/>
      <c r="L119" s="1"/>
      <c r="M119" s="1"/>
    </row>
    <row r="120" spans="1:13" ht="15" customHeight="1" x14ac:dyDescent="0.2">
      <c r="A120" s="80"/>
      <c r="B120" s="148"/>
      <c r="C120" s="148" t="s">
        <v>3510</v>
      </c>
      <c r="D120" s="80" t="s">
        <v>293</v>
      </c>
      <c r="E120" s="95">
        <v>1</v>
      </c>
      <c r="F120" s="143" t="str">
        <f>IF(AND(ISNA(VLOOKUP(D120,A:A,1,FALSE())),ISNA(VLOOKUP(D120,BaseType!A:A,1,FALSE())),D120&lt;&gt;"Struct"),"N","Y")</f>
        <v>Y</v>
      </c>
      <c r="G120" s="91" t="s">
        <v>3511</v>
      </c>
      <c r="H120" s="1"/>
      <c r="I120" s="1"/>
      <c r="J120" s="1"/>
      <c r="K120" s="1"/>
      <c r="L120" s="1"/>
      <c r="M120" s="1"/>
    </row>
    <row r="121" spans="1:13" ht="15" customHeight="1" x14ac:dyDescent="0.2">
      <c r="A121" s="80"/>
      <c r="B121" s="148"/>
      <c r="C121" s="148" t="s">
        <v>3512</v>
      </c>
      <c r="D121" s="80" t="s">
        <v>293</v>
      </c>
      <c r="E121" s="95">
        <v>1</v>
      </c>
      <c r="F121" s="143" t="str">
        <f>IF(AND(ISNA(VLOOKUP(D121,A:A,1,FALSE())),ISNA(VLOOKUP(D121,BaseType!A:A,1,FALSE())),D121&lt;&gt;"Struct"),"N","Y")</f>
        <v>Y</v>
      </c>
      <c r="G121" s="91" t="s">
        <v>3513</v>
      </c>
      <c r="H121" s="1"/>
      <c r="I121" s="1"/>
      <c r="J121" s="1"/>
      <c r="K121" s="1"/>
      <c r="L121" s="1"/>
      <c r="M121" s="1"/>
    </row>
    <row r="122" spans="1:13" ht="15" customHeight="1" x14ac:dyDescent="0.2">
      <c r="A122" s="80"/>
      <c r="B122" s="148"/>
      <c r="C122" s="148" t="s">
        <v>3514</v>
      </c>
      <c r="D122" s="80" t="s">
        <v>293</v>
      </c>
      <c r="E122" s="95">
        <v>1</v>
      </c>
      <c r="F122" s="143" t="str">
        <f>IF(AND(ISNA(VLOOKUP(D122,A:A,1,FALSE())),ISNA(VLOOKUP(D122,BaseType!A:A,1,FALSE())),D122&lt;&gt;"Struct"),"N","Y")</f>
        <v>Y</v>
      </c>
      <c r="G122" s="91" t="s">
        <v>3515</v>
      </c>
      <c r="H122" s="1"/>
      <c r="I122" s="1"/>
      <c r="J122" s="1"/>
      <c r="K122" s="1"/>
      <c r="L122" s="1"/>
      <c r="M122" s="1"/>
    </row>
    <row r="123" spans="1:13" ht="15" customHeight="1" x14ac:dyDescent="0.2">
      <c r="A123" s="80"/>
      <c r="B123" s="148"/>
      <c r="C123" s="148" t="s">
        <v>3516</v>
      </c>
      <c r="D123" s="80" t="s">
        <v>293</v>
      </c>
      <c r="E123" s="95">
        <v>1</v>
      </c>
      <c r="F123" s="143" t="str">
        <f>IF(AND(ISNA(VLOOKUP(D123,A:A,1,FALSE())),ISNA(VLOOKUP(D123,BaseType!A:A,1,FALSE())),D123&lt;&gt;"Struct"),"N","Y")</f>
        <v>Y</v>
      </c>
      <c r="G123" s="91" t="s">
        <v>3517</v>
      </c>
      <c r="H123" s="1"/>
      <c r="I123" s="1"/>
      <c r="J123" s="1"/>
      <c r="K123" s="1"/>
      <c r="L123" s="1"/>
      <c r="M123" s="1"/>
    </row>
    <row r="124" spans="1:13" ht="15" customHeight="1" x14ac:dyDescent="0.2">
      <c r="A124" s="80"/>
      <c r="B124" s="148"/>
      <c r="C124" s="148" t="s">
        <v>3518</v>
      </c>
      <c r="D124" s="80" t="s">
        <v>293</v>
      </c>
      <c r="E124" s="95">
        <v>1</v>
      </c>
      <c r="F124" s="143" t="str">
        <f>IF(AND(ISNA(VLOOKUP(D124,A:A,1,FALSE())),ISNA(VLOOKUP(D124,BaseType!A:A,1,FALSE())),D124&lt;&gt;"Struct"),"N","Y")</f>
        <v>Y</v>
      </c>
      <c r="G124" s="91" t="s">
        <v>3519</v>
      </c>
      <c r="H124" s="1"/>
      <c r="I124" s="1"/>
      <c r="J124" s="1"/>
      <c r="K124" s="1"/>
      <c r="L124" s="1"/>
      <c r="M124" s="1"/>
    </row>
    <row r="125" spans="1:13" ht="15" customHeight="1" x14ac:dyDescent="0.2">
      <c r="A125" s="80"/>
      <c r="B125" s="148"/>
      <c r="C125" s="148" t="s">
        <v>3520</v>
      </c>
      <c r="D125" s="80" t="s">
        <v>293</v>
      </c>
      <c r="E125" s="95">
        <v>1</v>
      </c>
      <c r="F125" s="143" t="str">
        <f>IF(AND(ISNA(VLOOKUP(D125,A:A,1,FALSE())),ISNA(VLOOKUP(D125,BaseType!A:A,1,FALSE())),D125&lt;&gt;"Struct"),"N","Y")</f>
        <v>Y</v>
      </c>
      <c r="G125" s="91" t="s">
        <v>3521</v>
      </c>
      <c r="H125" s="1"/>
      <c r="I125" s="1"/>
      <c r="J125" s="1"/>
      <c r="K125" s="1"/>
      <c r="L125" s="1"/>
      <c r="M125" s="1"/>
    </row>
    <row r="126" spans="1:13" ht="15" customHeight="1" x14ac:dyDescent="0.2">
      <c r="A126" s="80"/>
      <c r="B126" s="148"/>
      <c r="C126" s="148" t="s">
        <v>3522</v>
      </c>
      <c r="D126" s="80" t="s">
        <v>293</v>
      </c>
      <c r="E126" s="95">
        <v>1</v>
      </c>
      <c r="F126" s="143" t="str">
        <f>IF(AND(ISNA(VLOOKUP(D126,A:A,1,FALSE())),ISNA(VLOOKUP(D126,BaseType!A:A,1,FALSE())),D126&lt;&gt;"Struct"),"N","Y")</f>
        <v>Y</v>
      </c>
      <c r="G126" s="91" t="s">
        <v>3523</v>
      </c>
      <c r="H126" s="1"/>
      <c r="I126" s="1"/>
      <c r="J126" s="1"/>
      <c r="K126" s="1"/>
      <c r="L126" s="1"/>
      <c r="M126" s="1"/>
    </row>
    <row r="127" spans="1:13" ht="15" customHeight="1" x14ac:dyDescent="0.2">
      <c r="A127" s="80"/>
      <c r="B127" s="148"/>
      <c r="C127" s="148" t="s">
        <v>3524</v>
      </c>
      <c r="D127" s="80" t="s">
        <v>293</v>
      </c>
      <c r="E127" s="95">
        <v>1</v>
      </c>
      <c r="F127" s="143" t="str">
        <f>IF(AND(ISNA(VLOOKUP(D127,A:A,1,FALSE())),ISNA(VLOOKUP(D127,BaseType!A:A,1,FALSE())),D127&lt;&gt;"Struct"),"N","Y")</f>
        <v>Y</v>
      </c>
      <c r="G127" s="91" t="s">
        <v>3525</v>
      </c>
      <c r="H127" s="1"/>
      <c r="I127" s="1"/>
      <c r="J127" s="1"/>
      <c r="K127" s="1"/>
      <c r="L127" s="1"/>
      <c r="M127" s="1"/>
    </row>
    <row r="128" spans="1:13" ht="15" customHeight="1" x14ac:dyDescent="0.2">
      <c r="A128" s="80"/>
      <c r="B128" s="148"/>
      <c r="C128" s="148" t="s">
        <v>3526</v>
      </c>
      <c r="D128" s="80" t="s">
        <v>293</v>
      </c>
      <c r="E128" s="95">
        <v>1</v>
      </c>
      <c r="F128" s="143" t="str">
        <f>IF(AND(ISNA(VLOOKUP(D128,A:A,1,FALSE())),ISNA(VLOOKUP(D128,BaseType!A:A,1,FALSE())),D128&lt;&gt;"Struct"),"N","Y")</f>
        <v>Y</v>
      </c>
      <c r="G128" s="91" t="s">
        <v>3527</v>
      </c>
      <c r="H128" s="1"/>
      <c r="I128" s="1"/>
      <c r="J128" s="1"/>
      <c r="K128" s="1"/>
      <c r="L128" s="1"/>
      <c r="M128" s="1"/>
    </row>
    <row r="129" spans="1:13" ht="15" customHeight="1" x14ac:dyDescent="0.2">
      <c r="A129" s="80"/>
      <c r="B129" s="148"/>
      <c r="C129" s="148" t="s">
        <v>3528</v>
      </c>
      <c r="D129" s="80" t="s">
        <v>293</v>
      </c>
      <c r="E129" s="95">
        <v>1</v>
      </c>
      <c r="F129" s="143" t="str">
        <f>IF(AND(ISNA(VLOOKUP(D129,A:A,1,FALSE())),ISNA(VLOOKUP(D129,BaseType!A:A,1,FALSE())),D129&lt;&gt;"Struct"),"N","Y")</f>
        <v>Y</v>
      </c>
      <c r="G129" s="91" t="s">
        <v>3529</v>
      </c>
      <c r="H129" s="1"/>
      <c r="I129" s="1"/>
      <c r="J129" s="1"/>
      <c r="K129" s="1"/>
      <c r="L129" s="1"/>
      <c r="M129" s="1"/>
    </row>
    <row r="130" spans="1:13" ht="15" customHeight="1" x14ac:dyDescent="0.2">
      <c r="A130" s="80"/>
      <c r="B130" s="148"/>
      <c r="C130" s="148" t="s">
        <v>3530</v>
      </c>
      <c r="D130" s="80" t="s">
        <v>293</v>
      </c>
      <c r="E130" s="95">
        <v>1</v>
      </c>
      <c r="F130" s="143" t="str">
        <f>IF(AND(ISNA(VLOOKUP(D130,A:A,1,FALSE())),ISNA(VLOOKUP(D130,BaseType!A:A,1,FALSE())),D130&lt;&gt;"Struct"),"N","Y")</f>
        <v>Y</v>
      </c>
      <c r="G130" s="91" t="s">
        <v>3531</v>
      </c>
      <c r="H130" s="1"/>
      <c r="I130" s="1"/>
      <c r="J130" s="1"/>
      <c r="K130" s="1"/>
      <c r="L130" s="1"/>
      <c r="M130" s="1"/>
    </row>
    <row r="131" spans="1:13" ht="15" customHeight="1" x14ac:dyDescent="0.2">
      <c r="A131" s="80"/>
      <c r="B131" s="148"/>
      <c r="C131" s="148" t="s">
        <v>3532</v>
      </c>
      <c r="D131" s="80" t="s">
        <v>293</v>
      </c>
      <c r="E131" s="95">
        <v>1</v>
      </c>
      <c r="F131" s="143" t="str">
        <f>IF(AND(ISNA(VLOOKUP(D131,A:A,1,FALSE())),ISNA(VLOOKUP(D131,BaseType!A:A,1,FALSE())),D131&lt;&gt;"Struct"),"N","Y")</f>
        <v>Y</v>
      </c>
      <c r="G131" s="91" t="s">
        <v>3533</v>
      </c>
      <c r="H131" s="1"/>
      <c r="I131" s="1"/>
      <c r="J131" s="1"/>
      <c r="K131" s="1"/>
      <c r="L131" s="1"/>
      <c r="M131" s="1"/>
    </row>
    <row r="132" spans="1:13" ht="15" customHeight="1" x14ac:dyDescent="0.2">
      <c r="A132" s="80"/>
      <c r="B132" s="148"/>
      <c r="C132" s="148" t="s">
        <v>3534</v>
      </c>
      <c r="D132" s="80" t="s">
        <v>293</v>
      </c>
      <c r="E132" s="95">
        <v>1</v>
      </c>
      <c r="F132" s="143" t="str">
        <f>IF(AND(ISNA(VLOOKUP(D132,A:A,1,FALSE())),ISNA(VLOOKUP(D132,BaseType!A:A,1,FALSE())),D132&lt;&gt;"Struct"),"N","Y")</f>
        <v>Y</v>
      </c>
      <c r="G132" s="91" t="s">
        <v>3535</v>
      </c>
      <c r="H132" s="1"/>
      <c r="I132" s="1"/>
      <c r="J132" s="1"/>
      <c r="K132" s="1"/>
      <c r="L132" s="1"/>
      <c r="M132" s="1"/>
    </row>
    <row r="133" spans="1:13" ht="15" customHeight="1" x14ac:dyDescent="0.2">
      <c r="A133" s="80"/>
      <c r="B133" s="148"/>
      <c r="C133" s="148" t="s">
        <v>3536</v>
      </c>
      <c r="D133" s="80" t="s">
        <v>293</v>
      </c>
      <c r="E133" s="95">
        <v>1</v>
      </c>
      <c r="F133" s="143" t="str">
        <f>IF(AND(ISNA(VLOOKUP(D133,A:A,1,FALSE())),ISNA(VLOOKUP(D133,BaseType!A:A,1,FALSE())),D133&lt;&gt;"Struct"),"N","Y")</f>
        <v>Y</v>
      </c>
      <c r="G133" s="91" t="s">
        <v>3537</v>
      </c>
      <c r="H133" s="1"/>
      <c r="I133" s="1"/>
      <c r="J133" s="1"/>
      <c r="K133" s="1"/>
      <c r="L133" s="1"/>
      <c r="M133" s="1"/>
    </row>
    <row r="134" spans="1:13" ht="15" customHeight="1" x14ac:dyDescent="0.2">
      <c r="A134" s="80"/>
      <c r="B134" s="148"/>
      <c r="C134" s="148" t="s">
        <v>3538</v>
      </c>
      <c r="D134" s="80" t="s">
        <v>293</v>
      </c>
      <c r="E134" s="95">
        <v>1</v>
      </c>
      <c r="F134" s="143" t="str">
        <f>IF(AND(ISNA(VLOOKUP(D134,A:A,1,FALSE())),ISNA(VLOOKUP(D134,BaseType!A:A,1,FALSE())),D134&lt;&gt;"Struct"),"N","Y")</f>
        <v>Y</v>
      </c>
      <c r="G134" s="91" t="s">
        <v>3539</v>
      </c>
      <c r="H134" s="1"/>
      <c r="I134" s="1"/>
      <c r="J134" s="1"/>
      <c r="K134" s="1"/>
      <c r="L134" s="1"/>
      <c r="M134" s="1"/>
    </row>
    <row r="135" spans="1:13" ht="15" customHeight="1" x14ac:dyDescent="0.2">
      <c r="A135" s="80"/>
      <c r="B135" s="148"/>
      <c r="C135" s="148" t="s">
        <v>3540</v>
      </c>
      <c r="D135" s="80" t="s">
        <v>293</v>
      </c>
      <c r="E135" s="95">
        <v>1</v>
      </c>
      <c r="F135" s="143" t="str">
        <f>IF(AND(ISNA(VLOOKUP(D135,A:A,1,FALSE())),ISNA(VLOOKUP(D135,BaseType!A:A,1,FALSE())),D135&lt;&gt;"Struct"),"N","Y")</f>
        <v>Y</v>
      </c>
      <c r="G135" s="91" t="s">
        <v>3541</v>
      </c>
      <c r="H135" s="1"/>
      <c r="I135" s="1"/>
      <c r="J135" s="1"/>
      <c r="K135" s="1"/>
      <c r="L135" s="1"/>
      <c r="M135" s="1"/>
    </row>
    <row r="136" spans="1:13" ht="15" customHeight="1" x14ac:dyDescent="0.2">
      <c r="A136" s="80"/>
      <c r="B136" s="148"/>
      <c r="C136" s="148" t="s">
        <v>3542</v>
      </c>
      <c r="D136" s="80" t="s">
        <v>293</v>
      </c>
      <c r="E136" s="95">
        <v>1</v>
      </c>
      <c r="F136" s="143" t="str">
        <f>IF(AND(ISNA(VLOOKUP(D136,A:A,1,FALSE())),ISNA(VLOOKUP(D136,BaseType!A:A,1,FALSE())),D136&lt;&gt;"Struct"),"N","Y")</f>
        <v>Y</v>
      </c>
      <c r="G136" s="91" t="s">
        <v>3543</v>
      </c>
      <c r="H136" s="1"/>
      <c r="I136" s="1"/>
      <c r="J136" s="1"/>
      <c r="K136" s="1"/>
      <c r="L136" s="1"/>
      <c r="M136" s="1"/>
    </row>
    <row r="137" spans="1:13" ht="15" customHeight="1" x14ac:dyDescent="0.2">
      <c r="A137" s="80"/>
      <c r="B137" s="148"/>
      <c r="C137" s="148" t="s">
        <v>3544</v>
      </c>
      <c r="D137" s="80" t="s">
        <v>293</v>
      </c>
      <c r="E137" s="95">
        <v>1</v>
      </c>
      <c r="F137" s="143" t="str">
        <f>IF(AND(ISNA(VLOOKUP(D137,A:A,1,FALSE())),ISNA(VLOOKUP(D137,BaseType!A:A,1,FALSE())),D137&lt;&gt;"Struct"),"N","Y")</f>
        <v>Y</v>
      </c>
      <c r="G137" s="91" t="s">
        <v>3545</v>
      </c>
      <c r="H137" s="1"/>
      <c r="I137" s="1"/>
      <c r="J137" s="1"/>
      <c r="K137" s="1"/>
      <c r="L137" s="1"/>
      <c r="M137" s="1"/>
    </row>
    <row r="138" spans="1:13" ht="15" customHeight="1" x14ac:dyDescent="0.2">
      <c r="A138" s="80"/>
      <c r="B138" s="148"/>
      <c r="C138" s="148" t="s">
        <v>3546</v>
      </c>
      <c r="D138" s="80" t="s">
        <v>293</v>
      </c>
      <c r="E138" s="95">
        <v>1</v>
      </c>
      <c r="F138" s="143" t="str">
        <f>IF(AND(ISNA(VLOOKUP(D138,A:A,1,FALSE())),ISNA(VLOOKUP(D138,BaseType!A:A,1,FALSE())),D138&lt;&gt;"Struct"),"N","Y")</f>
        <v>Y</v>
      </c>
      <c r="G138" s="91" t="s">
        <v>3547</v>
      </c>
      <c r="H138" s="1"/>
      <c r="I138" s="1"/>
      <c r="J138" s="1"/>
      <c r="K138" s="1"/>
      <c r="L138" s="1"/>
      <c r="M138" s="1"/>
    </row>
    <row r="139" spans="1:13" ht="15" customHeight="1" x14ac:dyDescent="0.2">
      <c r="A139" s="80"/>
      <c r="B139" s="148"/>
      <c r="C139" s="148" t="s">
        <v>3548</v>
      </c>
      <c r="D139" s="80" t="s">
        <v>293</v>
      </c>
      <c r="E139" s="95">
        <v>1</v>
      </c>
      <c r="F139" s="143" t="str">
        <f>IF(AND(ISNA(VLOOKUP(D139,A:A,1,FALSE())),ISNA(VLOOKUP(D139,BaseType!A:A,1,FALSE())),D139&lt;&gt;"Struct"),"N","Y")</f>
        <v>Y</v>
      </c>
      <c r="G139" s="91" t="s">
        <v>3549</v>
      </c>
      <c r="H139" s="1"/>
      <c r="I139" s="1"/>
      <c r="J139" s="1"/>
      <c r="K139" s="1"/>
      <c r="L139" s="1"/>
      <c r="M139" s="1"/>
    </row>
    <row r="140" spans="1:13" ht="15" customHeight="1" x14ac:dyDescent="0.2">
      <c r="A140" s="80"/>
      <c r="B140" s="148"/>
      <c r="C140" s="148" t="s">
        <v>3550</v>
      </c>
      <c r="D140" s="80" t="s">
        <v>293</v>
      </c>
      <c r="E140" s="95">
        <v>1</v>
      </c>
      <c r="F140" s="143" t="str">
        <f>IF(AND(ISNA(VLOOKUP(D140,A:A,1,FALSE())),ISNA(VLOOKUP(D140,BaseType!A:A,1,FALSE())),D140&lt;&gt;"Struct"),"N","Y")</f>
        <v>Y</v>
      </c>
      <c r="G140" s="91" t="s">
        <v>3551</v>
      </c>
      <c r="H140" s="1"/>
      <c r="I140" s="1"/>
      <c r="J140" s="1"/>
      <c r="K140" s="1"/>
      <c r="L140" s="1"/>
      <c r="M140" s="1"/>
    </row>
    <row r="141" spans="1:13" ht="15" customHeight="1" x14ac:dyDescent="0.2">
      <c r="A141" s="80"/>
      <c r="B141" s="148"/>
      <c r="C141" s="148" t="s">
        <v>3552</v>
      </c>
      <c r="D141" s="80" t="s">
        <v>293</v>
      </c>
      <c r="E141" s="95">
        <v>1</v>
      </c>
      <c r="F141" s="143" t="str">
        <f>IF(AND(ISNA(VLOOKUP(D141,A:A,1,FALSE())),ISNA(VLOOKUP(D141,BaseType!A:A,1,FALSE())),D141&lt;&gt;"Struct"),"N","Y")</f>
        <v>Y</v>
      </c>
      <c r="G141" s="91" t="s">
        <v>3553</v>
      </c>
      <c r="H141" s="1"/>
      <c r="I141" s="1"/>
      <c r="J141" s="1"/>
      <c r="K141" s="1"/>
      <c r="L141" s="1"/>
      <c r="M141" s="1"/>
    </row>
    <row r="142" spans="1:13" ht="15" customHeight="1" x14ac:dyDescent="0.2">
      <c r="A142" s="80"/>
      <c r="B142" s="148"/>
      <c r="C142" s="148" t="s">
        <v>3554</v>
      </c>
      <c r="D142" s="80" t="s">
        <v>293</v>
      </c>
      <c r="E142" s="95">
        <v>1</v>
      </c>
      <c r="F142" s="143" t="str">
        <f>IF(AND(ISNA(VLOOKUP(D142,A:A,1,FALSE())),ISNA(VLOOKUP(D142,BaseType!A:A,1,FALSE())),D142&lt;&gt;"Struct"),"N","Y")</f>
        <v>Y</v>
      </c>
      <c r="G142" s="91" t="s">
        <v>3555</v>
      </c>
      <c r="H142" s="1"/>
      <c r="I142" s="1"/>
      <c r="J142" s="1"/>
      <c r="K142" s="1"/>
      <c r="L142" s="1"/>
      <c r="M142" s="1"/>
    </row>
    <row r="143" spans="1:13" ht="15" customHeight="1" x14ac:dyDescent="0.2">
      <c r="A143" s="80"/>
      <c r="B143" s="148"/>
      <c r="C143" s="148" t="s">
        <v>3556</v>
      </c>
      <c r="D143" s="80" t="s">
        <v>293</v>
      </c>
      <c r="E143" s="95">
        <v>1</v>
      </c>
      <c r="F143" s="143" t="str">
        <f>IF(AND(ISNA(VLOOKUP(D143,A:A,1,FALSE())),ISNA(VLOOKUP(D143,BaseType!A:A,1,FALSE())),D143&lt;&gt;"Struct"),"N","Y")</f>
        <v>Y</v>
      </c>
      <c r="G143" s="91" t="s">
        <v>3557</v>
      </c>
      <c r="H143" s="1"/>
      <c r="I143" s="1"/>
      <c r="J143" s="1"/>
      <c r="K143" s="1"/>
      <c r="L143" s="1"/>
      <c r="M143" s="1"/>
    </row>
    <row r="144" spans="1:13" ht="15" customHeight="1" x14ac:dyDescent="0.2">
      <c r="A144" s="80"/>
      <c r="B144" s="148"/>
      <c r="C144" s="148" t="s">
        <v>3558</v>
      </c>
      <c r="D144" s="80" t="s">
        <v>293</v>
      </c>
      <c r="E144" s="95">
        <v>1</v>
      </c>
      <c r="F144" s="143" t="str">
        <f>IF(AND(ISNA(VLOOKUP(D144,A:A,1,FALSE())),ISNA(VLOOKUP(D144,BaseType!A:A,1,FALSE())),D144&lt;&gt;"Struct"),"N","Y")</f>
        <v>Y</v>
      </c>
      <c r="G144" s="91" t="s">
        <v>3559</v>
      </c>
      <c r="H144" s="1"/>
      <c r="I144" s="1"/>
      <c r="J144" s="1"/>
      <c r="K144" s="1"/>
      <c r="L144" s="1"/>
      <c r="M144" s="1"/>
    </row>
    <row r="145" spans="1:13" ht="15" customHeight="1" x14ac:dyDescent="0.2">
      <c r="A145" s="80"/>
      <c r="B145" s="148"/>
      <c r="C145" s="148" t="s">
        <v>3560</v>
      </c>
      <c r="D145" s="80" t="s">
        <v>293</v>
      </c>
      <c r="E145" s="95">
        <v>1</v>
      </c>
      <c r="F145" s="143" t="str">
        <f>IF(AND(ISNA(VLOOKUP(D145,A:A,1,FALSE())),ISNA(VLOOKUP(D145,BaseType!A:A,1,FALSE())),D145&lt;&gt;"Struct"),"N","Y")</f>
        <v>Y</v>
      </c>
      <c r="G145" s="91" t="s">
        <v>3561</v>
      </c>
      <c r="H145" s="1"/>
      <c r="I145" s="1"/>
      <c r="J145" s="1"/>
      <c r="K145" s="1"/>
      <c r="L145" s="1"/>
      <c r="M145" s="1"/>
    </row>
    <row r="146" spans="1:13" ht="15" customHeight="1" x14ac:dyDescent="0.2">
      <c r="A146" s="80"/>
      <c r="B146" s="148"/>
      <c r="C146" s="148" t="s">
        <v>3562</v>
      </c>
      <c r="D146" s="80" t="s">
        <v>293</v>
      </c>
      <c r="E146" s="95">
        <v>1</v>
      </c>
      <c r="F146" s="143" t="str">
        <f>IF(AND(ISNA(VLOOKUP(D146,A:A,1,FALSE())),ISNA(VLOOKUP(D146,BaseType!A:A,1,FALSE())),D146&lt;&gt;"Struct"),"N","Y")</f>
        <v>Y</v>
      </c>
      <c r="G146" s="91" t="s">
        <v>3563</v>
      </c>
      <c r="H146" s="1"/>
      <c r="I146" s="1"/>
      <c r="J146" s="1"/>
      <c r="K146" s="1"/>
      <c r="L146" s="1"/>
      <c r="M146" s="1"/>
    </row>
    <row r="147" spans="1:13" ht="15" customHeight="1" x14ac:dyDescent="0.2">
      <c r="A147" s="80"/>
      <c r="B147" s="148"/>
      <c r="C147" s="148" t="s">
        <v>3564</v>
      </c>
      <c r="D147" s="80" t="s">
        <v>293</v>
      </c>
      <c r="E147" s="95">
        <v>1</v>
      </c>
      <c r="F147" s="143" t="str">
        <f>IF(AND(ISNA(VLOOKUP(D147,A:A,1,FALSE())),ISNA(VLOOKUP(D147,BaseType!A:A,1,FALSE())),D147&lt;&gt;"Struct"),"N","Y")</f>
        <v>Y</v>
      </c>
      <c r="G147" s="91" t="s">
        <v>3565</v>
      </c>
      <c r="H147" s="1"/>
      <c r="I147" s="1"/>
      <c r="J147" s="1"/>
      <c r="K147" s="1"/>
      <c r="L147" s="1"/>
      <c r="M147" s="1"/>
    </row>
    <row r="148" spans="1:13" ht="15" customHeight="1" x14ac:dyDescent="0.2">
      <c r="A148" s="80"/>
      <c r="B148" s="148"/>
      <c r="C148" s="148" t="s">
        <v>3566</v>
      </c>
      <c r="D148" s="80" t="s">
        <v>293</v>
      </c>
      <c r="E148" s="95">
        <v>1</v>
      </c>
      <c r="F148" s="143" t="str">
        <f>IF(AND(ISNA(VLOOKUP(D148,A:A,1,FALSE())),ISNA(VLOOKUP(D148,BaseType!A:A,1,FALSE())),D148&lt;&gt;"Struct"),"N","Y")</f>
        <v>Y</v>
      </c>
      <c r="G148" s="91" t="s">
        <v>3567</v>
      </c>
      <c r="H148" s="1"/>
      <c r="I148" s="1"/>
      <c r="J148" s="1"/>
      <c r="K148" s="1"/>
      <c r="L148" s="1"/>
      <c r="M148" s="1"/>
    </row>
    <row r="149" spans="1:13" ht="15" customHeight="1" x14ac:dyDescent="0.2">
      <c r="A149" s="80"/>
      <c r="B149" s="148"/>
      <c r="C149" s="148" t="s">
        <v>3568</v>
      </c>
      <c r="D149" s="80" t="s">
        <v>293</v>
      </c>
      <c r="E149" s="95">
        <v>1</v>
      </c>
      <c r="F149" s="143" t="str">
        <f>IF(AND(ISNA(VLOOKUP(D149,A:A,1,FALSE())),ISNA(VLOOKUP(D149,BaseType!A:A,1,FALSE())),D149&lt;&gt;"Struct"),"N","Y")</f>
        <v>Y</v>
      </c>
      <c r="G149" s="91" t="s">
        <v>3569</v>
      </c>
      <c r="H149" s="1"/>
      <c r="I149" s="1"/>
      <c r="J149" s="1"/>
      <c r="K149" s="1"/>
      <c r="L149" s="1"/>
      <c r="M149" s="1"/>
    </row>
    <row r="150" spans="1:13" ht="15" customHeight="1" x14ac:dyDescent="0.2">
      <c r="A150" s="80"/>
      <c r="B150" s="148"/>
      <c r="C150" s="148" t="s">
        <v>3570</v>
      </c>
      <c r="D150" s="80" t="s">
        <v>293</v>
      </c>
      <c r="E150" s="95">
        <v>1</v>
      </c>
      <c r="F150" s="143" t="str">
        <f>IF(AND(ISNA(VLOOKUP(D150,A:A,1,FALSE())),ISNA(VLOOKUP(D150,BaseType!A:A,1,FALSE())),D150&lt;&gt;"Struct"),"N","Y")</f>
        <v>Y</v>
      </c>
      <c r="G150" s="91" t="s">
        <v>3571</v>
      </c>
      <c r="H150" s="1"/>
      <c r="I150" s="1"/>
      <c r="J150" s="1"/>
      <c r="K150" s="1"/>
      <c r="L150" s="1"/>
      <c r="M150" s="1"/>
    </row>
    <row r="151" spans="1:13" ht="15" customHeight="1" x14ac:dyDescent="0.2">
      <c r="A151" s="80"/>
      <c r="B151" s="148"/>
      <c r="C151" s="148" t="s">
        <v>3572</v>
      </c>
      <c r="D151" s="80" t="s">
        <v>293</v>
      </c>
      <c r="E151" s="95">
        <v>1</v>
      </c>
      <c r="F151" s="143" t="str">
        <f>IF(AND(ISNA(VLOOKUP(D151,A:A,1,FALSE())),ISNA(VLOOKUP(D151,BaseType!A:A,1,FALSE())),D151&lt;&gt;"Struct"),"N","Y")</f>
        <v>Y</v>
      </c>
      <c r="G151" s="91" t="s">
        <v>3573</v>
      </c>
      <c r="H151" s="1"/>
      <c r="I151" s="1"/>
      <c r="J151" s="1"/>
      <c r="K151" s="1"/>
      <c r="L151" s="1"/>
      <c r="M151" s="1"/>
    </row>
    <row r="152" spans="1:13" ht="15" customHeight="1" x14ac:dyDescent="0.2">
      <c r="A152" s="80"/>
      <c r="B152" s="148"/>
      <c r="C152" s="148" t="s">
        <v>3574</v>
      </c>
      <c r="D152" s="80" t="s">
        <v>293</v>
      </c>
      <c r="E152" s="95">
        <v>1</v>
      </c>
      <c r="F152" s="143" t="str">
        <f>IF(AND(ISNA(VLOOKUP(D152,A:A,1,FALSE())),ISNA(VLOOKUP(D152,BaseType!A:A,1,FALSE())),D152&lt;&gt;"Struct"),"N","Y")</f>
        <v>Y</v>
      </c>
      <c r="G152" s="91" t="s">
        <v>3575</v>
      </c>
      <c r="H152" s="1"/>
      <c r="I152" s="1"/>
      <c r="J152" s="1"/>
      <c r="K152" s="1"/>
      <c r="L152" s="1"/>
      <c r="M152" s="1"/>
    </row>
    <row r="153" spans="1:13" ht="15" customHeight="1" x14ac:dyDescent="0.2">
      <c r="A153" s="80"/>
      <c r="B153" s="148"/>
      <c r="C153" s="148" t="s">
        <v>3576</v>
      </c>
      <c r="D153" s="80" t="s">
        <v>293</v>
      </c>
      <c r="E153" s="95">
        <v>1</v>
      </c>
      <c r="F153" s="143" t="str">
        <f>IF(AND(ISNA(VLOOKUP(D153,A:A,1,FALSE())),ISNA(VLOOKUP(D153,BaseType!A:A,1,FALSE())),D153&lt;&gt;"Struct"),"N","Y")</f>
        <v>Y</v>
      </c>
      <c r="G153" s="91" t="s">
        <v>3577</v>
      </c>
      <c r="H153" s="1"/>
      <c r="I153" s="1"/>
      <c r="J153" s="1"/>
      <c r="K153" s="1"/>
      <c r="L153" s="1"/>
      <c r="M153" s="1"/>
    </row>
    <row r="154" spans="1:13" ht="15" customHeight="1" x14ac:dyDescent="0.2">
      <c r="A154" s="80"/>
      <c r="B154" s="148"/>
      <c r="C154" s="148" t="s">
        <v>3578</v>
      </c>
      <c r="D154" s="80" t="s">
        <v>293</v>
      </c>
      <c r="E154" s="95">
        <v>1</v>
      </c>
      <c r="F154" s="143" t="str">
        <f>IF(AND(ISNA(VLOOKUP(D154,A:A,1,FALSE())),ISNA(VLOOKUP(D154,BaseType!A:A,1,FALSE())),D154&lt;&gt;"Struct"),"N","Y")</f>
        <v>Y</v>
      </c>
      <c r="G154" s="91" t="s">
        <v>3579</v>
      </c>
      <c r="H154" s="1"/>
      <c r="I154" s="1"/>
      <c r="J154" s="1"/>
      <c r="K154" s="1"/>
      <c r="L154" s="1"/>
      <c r="M154" s="1"/>
    </row>
    <row r="155" spans="1:13" ht="15" customHeight="1" x14ac:dyDescent="0.2">
      <c r="A155" s="80"/>
      <c r="B155" s="148"/>
      <c r="C155" s="148" t="s">
        <v>3580</v>
      </c>
      <c r="D155" s="80" t="s">
        <v>293</v>
      </c>
      <c r="E155" s="95">
        <v>1</v>
      </c>
      <c r="F155" s="143" t="str">
        <f>IF(AND(ISNA(VLOOKUP(D155,A:A,1,FALSE())),ISNA(VLOOKUP(D155,BaseType!A:A,1,FALSE())),D155&lt;&gt;"Struct"),"N","Y")</f>
        <v>Y</v>
      </c>
      <c r="G155" s="91" t="s">
        <v>3581</v>
      </c>
      <c r="H155" s="1"/>
      <c r="I155" s="1"/>
      <c r="J155" s="1"/>
      <c r="K155" s="1"/>
      <c r="L155" s="1"/>
      <c r="M155" s="1"/>
    </row>
    <row r="156" spans="1:13" ht="15" customHeight="1" x14ac:dyDescent="0.2">
      <c r="A156" s="80"/>
      <c r="B156" s="148"/>
      <c r="C156" s="148" t="s">
        <v>3582</v>
      </c>
      <c r="D156" s="80" t="s">
        <v>293</v>
      </c>
      <c r="E156" s="95">
        <v>1</v>
      </c>
      <c r="F156" s="143" t="str">
        <f>IF(AND(ISNA(VLOOKUP(D156,A:A,1,FALSE())),ISNA(VLOOKUP(D156,BaseType!A:A,1,FALSE())),D156&lt;&gt;"Struct"),"N","Y")</f>
        <v>Y</v>
      </c>
      <c r="G156" s="91" t="s">
        <v>3583</v>
      </c>
      <c r="H156" s="1"/>
      <c r="I156" s="1"/>
      <c r="J156" s="1"/>
      <c r="K156" s="1"/>
      <c r="L156" s="1"/>
      <c r="M156" s="1"/>
    </row>
    <row r="157" spans="1:13" ht="15" customHeight="1" x14ac:dyDescent="0.2">
      <c r="A157" s="80"/>
      <c r="B157" s="148"/>
      <c r="C157" s="148" t="s">
        <v>3584</v>
      </c>
      <c r="D157" s="80" t="s">
        <v>293</v>
      </c>
      <c r="E157" s="95">
        <v>1</v>
      </c>
      <c r="F157" s="143" t="str">
        <f>IF(AND(ISNA(VLOOKUP(D157,A:A,1,FALSE())),ISNA(VLOOKUP(D157,BaseType!A:A,1,FALSE())),D157&lt;&gt;"Struct"),"N","Y")</f>
        <v>Y</v>
      </c>
      <c r="G157" s="91" t="s">
        <v>3585</v>
      </c>
      <c r="H157" s="1"/>
      <c r="I157" s="1"/>
      <c r="J157" s="1"/>
      <c r="K157" s="1"/>
      <c r="L157" s="1"/>
      <c r="M157" s="1"/>
    </row>
    <row r="158" spans="1:13" ht="15" customHeight="1" x14ac:dyDescent="0.2">
      <c r="A158" s="80"/>
      <c r="B158" s="148"/>
      <c r="C158" s="148" t="s">
        <v>3586</v>
      </c>
      <c r="D158" s="80" t="s">
        <v>293</v>
      </c>
      <c r="E158" s="95">
        <v>1</v>
      </c>
      <c r="F158" s="143" t="str">
        <f>IF(AND(ISNA(VLOOKUP(D158,A:A,1,FALSE())),ISNA(VLOOKUP(D158,BaseType!A:A,1,FALSE())),D158&lt;&gt;"Struct"),"N","Y")</f>
        <v>Y</v>
      </c>
      <c r="G158" s="91" t="s">
        <v>3587</v>
      </c>
      <c r="H158" s="1"/>
      <c r="I158" s="1"/>
      <c r="J158" s="1"/>
      <c r="K158" s="1"/>
      <c r="L158" s="1"/>
      <c r="M158" s="1"/>
    </row>
    <row r="159" spans="1:13" ht="15" customHeight="1" x14ac:dyDescent="0.2">
      <c r="A159" s="80"/>
      <c r="B159" s="148"/>
      <c r="C159" s="148" t="s">
        <v>3588</v>
      </c>
      <c r="D159" s="80" t="s">
        <v>293</v>
      </c>
      <c r="E159" s="95">
        <v>1</v>
      </c>
      <c r="F159" s="143" t="str">
        <f>IF(AND(ISNA(VLOOKUP(D159,A:A,1,FALSE())),ISNA(VLOOKUP(D159,BaseType!A:A,1,FALSE())),D159&lt;&gt;"Struct"),"N","Y")</f>
        <v>Y</v>
      </c>
      <c r="G159" s="91" t="s">
        <v>3589</v>
      </c>
      <c r="H159" s="1"/>
      <c r="I159" s="1"/>
      <c r="J159" s="1"/>
      <c r="K159" s="1"/>
      <c r="L159" s="1"/>
      <c r="M159" s="1"/>
    </row>
    <row r="160" spans="1:13" ht="15" customHeight="1" x14ac:dyDescent="0.2">
      <c r="A160" s="80"/>
      <c r="B160" s="148"/>
      <c r="C160" s="148" t="s">
        <v>3590</v>
      </c>
      <c r="D160" s="80" t="s">
        <v>293</v>
      </c>
      <c r="E160" s="95">
        <v>1</v>
      </c>
      <c r="F160" s="143" t="str">
        <f>IF(AND(ISNA(VLOOKUP(D160,A:A,1,FALSE())),ISNA(VLOOKUP(D160,BaseType!A:A,1,FALSE())),D160&lt;&gt;"Struct"),"N","Y")</f>
        <v>Y</v>
      </c>
      <c r="G160" s="91" t="s">
        <v>3591</v>
      </c>
      <c r="H160" s="1"/>
      <c r="I160" s="1"/>
      <c r="J160" s="1"/>
      <c r="K160" s="1"/>
      <c r="L160" s="1"/>
      <c r="M160" s="1"/>
    </row>
    <row r="161" spans="1:13" ht="15" customHeight="1" x14ac:dyDescent="0.2">
      <c r="A161" s="80"/>
      <c r="B161" s="148"/>
      <c r="C161" s="148" t="s">
        <v>3592</v>
      </c>
      <c r="D161" s="80" t="s">
        <v>293</v>
      </c>
      <c r="E161" s="95">
        <v>1</v>
      </c>
      <c r="F161" s="143" t="str">
        <f>IF(AND(ISNA(VLOOKUP(D161,A:A,1,FALSE())),ISNA(VLOOKUP(D161,BaseType!A:A,1,FALSE())),D161&lt;&gt;"Struct"),"N","Y")</f>
        <v>Y</v>
      </c>
      <c r="G161" s="91" t="s">
        <v>3593</v>
      </c>
      <c r="H161" s="1"/>
      <c r="I161" s="1"/>
      <c r="J161" s="1"/>
      <c r="K161" s="1"/>
      <c r="L161" s="1"/>
      <c r="M161" s="1"/>
    </row>
    <row r="162" spans="1:13" ht="15" customHeight="1" x14ac:dyDescent="0.2">
      <c r="A162" s="80"/>
      <c r="B162" s="148"/>
      <c r="C162" s="148" t="s">
        <v>3594</v>
      </c>
      <c r="D162" s="80" t="s">
        <v>293</v>
      </c>
      <c r="E162" s="95">
        <v>1</v>
      </c>
      <c r="F162" s="143" t="str">
        <f>IF(AND(ISNA(VLOOKUP(D162,A:A,1,FALSE())),ISNA(VLOOKUP(D162,BaseType!A:A,1,FALSE())),D162&lt;&gt;"Struct"),"N","Y")</f>
        <v>Y</v>
      </c>
      <c r="G162" s="91" t="s">
        <v>3595</v>
      </c>
      <c r="H162" s="1"/>
      <c r="I162" s="1"/>
      <c r="J162" s="1"/>
      <c r="K162" s="1"/>
      <c r="L162" s="1"/>
      <c r="M162" s="1"/>
    </row>
    <row r="163" spans="1:13" ht="15" customHeight="1" x14ac:dyDescent="0.2">
      <c r="A163" s="80"/>
      <c r="B163" s="148"/>
      <c r="C163" s="148" t="s">
        <v>3596</v>
      </c>
      <c r="D163" s="80" t="s">
        <v>293</v>
      </c>
      <c r="E163" s="95">
        <v>1</v>
      </c>
      <c r="F163" s="143" t="str">
        <f>IF(AND(ISNA(VLOOKUP(D163,A:A,1,FALSE())),ISNA(VLOOKUP(D163,BaseType!A:A,1,FALSE())),D163&lt;&gt;"Struct"),"N","Y")</f>
        <v>Y</v>
      </c>
      <c r="G163" s="91" t="s">
        <v>3597</v>
      </c>
      <c r="H163" s="1"/>
      <c r="I163" s="1"/>
      <c r="J163" s="1"/>
      <c r="K163" s="1"/>
      <c r="L163" s="1"/>
      <c r="M163" s="1"/>
    </row>
    <row r="164" spans="1:13" ht="15" customHeight="1" x14ac:dyDescent="0.2">
      <c r="A164" s="80"/>
      <c r="B164" s="148"/>
      <c r="C164" s="148" t="s">
        <v>3598</v>
      </c>
      <c r="D164" s="80" t="s">
        <v>293</v>
      </c>
      <c r="E164" s="95">
        <v>1</v>
      </c>
      <c r="F164" s="143" t="str">
        <f>IF(AND(ISNA(VLOOKUP(D164,A:A,1,FALSE())),ISNA(VLOOKUP(D164,BaseType!A:A,1,FALSE())),D164&lt;&gt;"Struct"),"N","Y")</f>
        <v>Y</v>
      </c>
      <c r="G164" s="91" t="s">
        <v>3599</v>
      </c>
      <c r="H164" s="1"/>
      <c r="I164" s="1"/>
      <c r="J164" s="1"/>
      <c r="K164" s="1"/>
      <c r="L164" s="1"/>
      <c r="M164" s="1"/>
    </row>
    <row r="165" spans="1:13" ht="15" customHeight="1" x14ac:dyDescent="0.2">
      <c r="A165" s="80"/>
      <c r="B165" s="148"/>
      <c r="C165" s="148" t="s">
        <v>3600</v>
      </c>
      <c r="D165" s="80" t="s">
        <v>293</v>
      </c>
      <c r="E165" s="95">
        <v>1</v>
      </c>
      <c r="F165" s="143" t="str">
        <f>IF(AND(ISNA(VLOOKUP(D165,A:A,1,FALSE())),ISNA(VLOOKUP(D165,BaseType!A:A,1,FALSE())),D165&lt;&gt;"Struct"),"N","Y")</f>
        <v>Y</v>
      </c>
      <c r="G165" s="91" t="s">
        <v>3601</v>
      </c>
      <c r="H165" s="1"/>
      <c r="I165" s="1"/>
      <c r="J165" s="1"/>
      <c r="K165" s="1"/>
      <c r="L165" s="1"/>
      <c r="M165" s="1"/>
    </row>
    <row r="166" spans="1:13" ht="15" customHeight="1" x14ac:dyDescent="0.2">
      <c r="A166" s="80"/>
      <c r="B166" s="148"/>
      <c r="C166" s="148" t="s">
        <v>3602</v>
      </c>
      <c r="D166" s="80" t="s">
        <v>293</v>
      </c>
      <c r="E166" s="95">
        <v>1</v>
      </c>
      <c r="F166" s="143" t="str">
        <f>IF(AND(ISNA(VLOOKUP(D166,A:A,1,FALSE())),ISNA(VLOOKUP(D166,BaseType!A:A,1,FALSE())),D166&lt;&gt;"Struct"),"N","Y")</f>
        <v>Y</v>
      </c>
      <c r="G166" s="91" t="s">
        <v>3603</v>
      </c>
      <c r="H166" s="1"/>
      <c r="I166" s="1"/>
      <c r="J166" s="1"/>
      <c r="K166" s="1"/>
      <c r="L166" s="1"/>
      <c r="M166" s="1"/>
    </row>
    <row r="167" spans="1:13" ht="15" customHeight="1" x14ac:dyDescent="0.2">
      <c r="A167" s="80"/>
      <c r="B167" s="148"/>
      <c r="C167" s="148" t="s">
        <v>3604</v>
      </c>
      <c r="D167" s="80" t="s">
        <v>293</v>
      </c>
      <c r="E167" s="95">
        <v>1</v>
      </c>
      <c r="F167" s="143" t="str">
        <f>IF(AND(ISNA(VLOOKUP(D167,A:A,1,FALSE())),ISNA(VLOOKUP(D167,BaseType!A:A,1,FALSE())),D167&lt;&gt;"Struct"),"N","Y")</f>
        <v>Y</v>
      </c>
      <c r="G167" s="91" t="s">
        <v>3605</v>
      </c>
      <c r="H167" s="1"/>
      <c r="I167" s="1"/>
      <c r="J167" s="1"/>
      <c r="K167" s="1"/>
      <c r="L167" s="1"/>
      <c r="M167" s="1"/>
    </row>
    <row r="168" spans="1:13" ht="15" customHeight="1" x14ac:dyDescent="0.2">
      <c r="A168" s="80"/>
      <c r="B168" s="148"/>
      <c r="C168" s="148" t="s">
        <v>3606</v>
      </c>
      <c r="D168" s="80" t="s">
        <v>293</v>
      </c>
      <c r="E168" s="95">
        <v>1</v>
      </c>
      <c r="F168" s="143" t="str">
        <f>IF(AND(ISNA(VLOOKUP(D168,A:A,1,FALSE())),ISNA(VLOOKUP(D168,BaseType!A:A,1,FALSE())),D168&lt;&gt;"Struct"),"N","Y")</f>
        <v>Y</v>
      </c>
      <c r="G168" s="91" t="s">
        <v>3607</v>
      </c>
      <c r="H168" s="1"/>
      <c r="I168" s="1"/>
      <c r="J168" s="1"/>
      <c r="K168" s="1"/>
      <c r="L168" s="1"/>
      <c r="M168" s="1"/>
    </row>
    <row r="169" spans="1:13" ht="15" customHeight="1" x14ac:dyDescent="0.2">
      <c r="A169" s="80"/>
      <c r="B169" s="148"/>
      <c r="C169" s="148" t="s">
        <v>3608</v>
      </c>
      <c r="D169" s="80" t="s">
        <v>293</v>
      </c>
      <c r="E169" s="95">
        <v>1</v>
      </c>
      <c r="F169" s="143" t="str">
        <f>IF(AND(ISNA(VLOOKUP(D169,A:A,1,FALSE())),ISNA(VLOOKUP(D169,BaseType!A:A,1,FALSE())),D169&lt;&gt;"Struct"),"N","Y")</f>
        <v>Y</v>
      </c>
      <c r="G169" s="91" t="s">
        <v>3609</v>
      </c>
      <c r="H169" s="1"/>
      <c r="I169" s="1"/>
      <c r="J169" s="1"/>
      <c r="K169" s="1"/>
      <c r="L169" s="1"/>
      <c r="M169" s="1"/>
    </row>
    <row r="170" spans="1:13" ht="15" customHeight="1" x14ac:dyDescent="0.2">
      <c r="A170" s="80"/>
      <c r="B170" s="148"/>
      <c r="C170" s="148" t="s">
        <v>3610</v>
      </c>
      <c r="D170" s="80" t="s">
        <v>293</v>
      </c>
      <c r="E170" s="95">
        <v>1</v>
      </c>
      <c r="F170" s="143" t="str">
        <f>IF(AND(ISNA(VLOOKUP(D170,A:A,1,FALSE())),ISNA(VLOOKUP(D170,BaseType!A:A,1,FALSE())),D170&lt;&gt;"Struct"),"N","Y")</f>
        <v>Y</v>
      </c>
      <c r="G170" s="91" t="s">
        <v>3611</v>
      </c>
      <c r="H170" s="1"/>
      <c r="I170" s="1"/>
      <c r="J170" s="1"/>
      <c r="K170" s="1"/>
      <c r="L170" s="1"/>
      <c r="M170" s="1"/>
    </row>
    <row r="171" spans="1:13" ht="15" customHeight="1" x14ac:dyDescent="0.2">
      <c r="A171" s="80"/>
      <c r="B171" s="148"/>
      <c r="C171" s="148" t="s">
        <v>3612</v>
      </c>
      <c r="D171" s="80" t="s">
        <v>293</v>
      </c>
      <c r="E171" s="95">
        <v>1</v>
      </c>
      <c r="F171" s="143" t="str">
        <f>IF(AND(ISNA(VLOOKUP(D171,A:A,1,FALSE())),ISNA(VLOOKUP(D171,BaseType!A:A,1,FALSE())),D171&lt;&gt;"Struct"),"N","Y")</f>
        <v>Y</v>
      </c>
      <c r="G171" s="91" t="s">
        <v>3613</v>
      </c>
      <c r="H171" s="1"/>
      <c r="I171" s="1"/>
      <c r="J171" s="1"/>
      <c r="K171" s="1"/>
      <c r="L171" s="1"/>
      <c r="M171" s="1"/>
    </row>
    <row r="172" spans="1:13" ht="15" customHeight="1" x14ac:dyDescent="0.2">
      <c r="A172" s="80" t="s">
        <v>3242</v>
      </c>
      <c r="B172" s="144" t="str">
        <f>IF(ISBLANK(A172),"",IF(AND(ISNA(VLOOKUP(A172,Interface_E01!E:E,1,FALSE())),ISNA(VLOOKUP(A172,D:D,1,FALSE()))),"N","Y"))</f>
        <v>Y</v>
      </c>
      <c r="C172" s="148"/>
      <c r="D172" s="274" t="s">
        <v>484</v>
      </c>
      <c r="E172" s="95">
        <v>1</v>
      </c>
      <c r="F172" s="143" t="str">
        <f>IF(AND(ISNA(VLOOKUP(D172,A:A,1,FALSE())),ISNA(VLOOKUP(D172,BaseType!A:A,1,FALSE())),D172&lt;&gt;"Struct"),"N","Y")</f>
        <v>Y</v>
      </c>
      <c r="G172" s="91"/>
      <c r="H172" s="1"/>
      <c r="I172" s="1"/>
      <c r="J172" s="1"/>
      <c r="K172" s="1"/>
      <c r="L172" s="1"/>
      <c r="M172" s="1"/>
    </row>
    <row r="173" spans="1:13" ht="15" customHeight="1" x14ac:dyDescent="0.2">
      <c r="A173" s="80"/>
      <c r="B173" s="269"/>
      <c r="C173" s="148" t="s">
        <v>3614</v>
      </c>
      <c r="D173" s="80" t="s">
        <v>225</v>
      </c>
      <c r="E173" s="95">
        <v>1</v>
      </c>
      <c r="F173" s="143" t="str">
        <f>IF(AND(ISNA(VLOOKUP(D173,A:A,1,FALSE())),ISNA(VLOOKUP(D173,BaseType!A:A,1,FALSE())),D173&lt;&gt;"Struct"),"N","Y")</f>
        <v>Y</v>
      </c>
      <c r="G173" s="91" t="s">
        <v>3615</v>
      </c>
      <c r="H173" s="1"/>
      <c r="I173" s="1"/>
      <c r="J173" s="1"/>
      <c r="K173" s="1"/>
      <c r="L173" s="1"/>
      <c r="M173" s="1"/>
    </row>
    <row r="174" spans="1:13" ht="15" customHeight="1" x14ac:dyDescent="0.2">
      <c r="A174" s="80"/>
      <c r="B174" s="269"/>
      <c r="C174" s="148" t="s">
        <v>3616</v>
      </c>
      <c r="D174" s="80" t="s">
        <v>225</v>
      </c>
      <c r="E174" s="95">
        <v>1</v>
      </c>
      <c r="F174" s="143" t="str">
        <f>IF(AND(ISNA(VLOOKUP(D174,A:A,1,FALSE())),ISNA(VLOOKUP(D174,BaseType!A:A,1,FALSE())),D174&lt;&gt;"Struct"),"N","Y")</f>
        <v>Y</v>
      </c>
      <c r="G174" s="91" t="s">
        <v>3617</v>
      </c>
      <c r="H174" s="1"/>
      <c r="I174" s="1"/>
      <c r="J174" s="1"/>
      <c r="K174" s="1"/>
      <c r="L174" s="1"/>
      <c r="M174" s="1"/>
    </row>
    <row r="175" spans="1:13" ht="15" customHeight="1" x14ac:dyDescent="0.2">
      <c r="A175" s="80"/>
      <c r="B175" s="269"/>
      <c r="C175" s="148" t="s">
        <v>3618</v>
      </c>
      <c r="D175" s="80" t="s">
        <v>293</v>
      </c>
      <c r="E175" s="95">
        <v>1</v>
      </c>
      <c r="F175" s="143" t="str">
        <f>IF(AND(ISNA(VLOOKUP(D175,A:A,1,FALSE())),ISNA(VLOOKUP(D175,BaseType!A:A,1,FALSE())),D175&lt;&gt;"Struct"),"N","Y")</f>
        <v>Y</v>
      </c>
      <c r="G175" s="91" t="s">
        <v>3619</v>
      </c>
      <c r="H175" s="1"/>
      <c r="I175" s="1"/>
      <c r="J175" s="1"/>
      <c r="K175" s="1"/>
      <c r="L175" s="1"/>
      <c r="M175" s="1"/>
    </row>
    <row r="176" spans="1:13" ht="15" customHeight="1" x14ac:dyDescent="0.2">
      <c r="A176" s="80"/>
      <c r="B176" s="269"/>
      <c r="C176" s="148" t="s">
        <v>3620</v>
      </c>
      <c r="D176" s="80" t="s">
        <v>193</v>
      </c>
      <c r="E176" s="95">
        <v>1</v>
      </c>
      <c r="F176" s="143" t="str">
        <f>IF(AND(ISNA(VLOOKUP(D176,A:A,1,FALSE())),ISNA(VLOOKUP(D176,BaseType!A:A,1,FALSE())),D176&lt;&gt;"Struct"),"N","Y")</f>
        <v>Y</v>
      </c>
      <c r="G176" s="91" t="s">
        <v>3621</v>
      </c>
      <c r="H176" s="1"/>
      <c r="I176" s="1"/>
      <c r="J176" s="1"/>
      <c r="K176" s="1"/>
      <c r="L176" s="1"/>
      <c r="M176" s="1"/>
    </row>
    <row r="177" spans="1:13" ht="15" customHeight="1" x14ac:dyDescent="0.2">
      <c r="A177" s="80"/>
      <c r="B177" s="269"/>
      <c r="C177" s="148" t="s">
        <v>3622</v>
      </c>
      <c r="D177" s="80" t="s">
        <v>193</v>
      </c>
      <c r="E177" s="95">
        <v>1</v>
      </c>
      <c r="F177" s="143" t="str">
        <f>IF(AND(ISNA(VLOOKUP(D177,A:A,1,FALSE())),ISNA(VLOOKUP(D177,BaseType!A:A,1,FALSE())),D177&lt;&gt;"Struct"),"N","Y")</f>
        <v>Y</v>
      </c>
      <c r="G177" s="91" t="s">
        <v>3623</v>
      </c>
      <c r="H177" s="1"/>
      <c r="I177" s="1"/>
      <c r="J177" s="1"/>
      <c r="K177" s="1"/>
      <c r="L177" s="1"/>
      <c r="M177" s="1"/>
    </row>
    <row r="178" spans="1:13" ht="15" customHeight="1" x14ac:dyDescent="0.2">
      <c r="A178" s="80"/>
      <c r="B178" s="269"/>
      <c r="C178" s="148" t="s">
        <v>3624</v>
      </c>
      <c r="D178" s="80" t="s">
        <v>225</v>
      </c>
      <c r="E178" s="95">
        <v>1</v>
      </c>
      <c r="F178" s="143" t="str">
        <f>IF(AND(ISNA(VLOOKUP(D178,A:A,1,FALSE())),ISNA(VLOOKUP(D178,BaseType!A:A,1,FALSE())),D178&lt;&gt;"Struct"),"N","Y")</f>
        <v>Y</v>
      </c>
      <c r="G178" s="91" t="s">
        <v>3625</v>
      </c>
      <c r="H178" s="1"/>
      <c r="I178" s="1"/>
      <c r="J178" s="1"/>
      <c r="K178" s="1"/>
      <c r="L178" s="1"/>
      <c r="M178" s="1"/>
    </row>
    <row r="179" spans="1:13" ht="15" customHeight="1" x14ac:dyDescent="0.2">
      <c r="A179" s="80"/>
      <c r="B179" s="269"/>
      <c r="C179" s="148" t="s">
        <v>3626</v>
      </c>
      <c r="D179" s="80" t="s">
        <v>193</v>
      </c>
      <c r="E179" s="95">
        <v>1</v>
      </c>
      <c r="F179" s="143" t="str">
        <f>IF(AND(ISNA(VLOOKUP(D179,A:A,1,FALSE())),ISNA(VLOOKUP(D179,BaseType!A:A,1,FALSE())),D179&lt;&gt;"Struct"),"N","Y")</f>
        <v>Y</v>
      </c>
      <c r="G179" s="91" t="s">
        <v>3627</v>
      </c>
      <c r="H179" s="1"/>
      <c r="I179" s="1"/>
      <c r="J179" s="1"/>
      <c r="K179" s="1"/>
      <c r="L179" s="1"/>
      <c r="M179" s="1"/>
    </row>
    <row r="180" spans="1:13" ht="15" customHeight="1" x14ac:dyDescent="0.2">
      <c r="A180" s="80"/>
      <c r="B180" s="269"/>
      <c r="C180" s="148" t="s">
        <v>3628</v>
      </c>
      <c r="D180" s="80" t="s">
        <v>193</v>
      </c>
      <c r="E180" s="95">
        <v>1</v>
      </c>
      <c r="F180" s="143" t="str">
        <f>IF(AND(ISNA(VLOOKUP(D180,A:A,1,FALSE())),ISNA(VLOOKUP(D180,BaseType!A:A,1,FALSE())),D180&lt;&gt;"Struct"),"N","Y")</f>
        <v>Y</v>
      </c>
      <c r="G180" s="91" t="s">
        <v>3629</v>
      </c>
      <c r="H180" s="1"/>
      <c r="I180" s="1"/>
      <c r="J180" s="1"/>
      <c r="K180" s="1"/>
      <c r="L180" s="1"/>
      <c r="M180" s="1"/>
    </row>
    <row r="181" spans="1:13" ht="15" customHeight="1" x14ac:dyDescent="0.2">
      <c r="A181" s="80"/>
      <c r="B181" s="269"/>
      <c r="C181" s="148" t="s">
        <v>3630</v>
      </c>
      <c r="D181" s="80" t="s">
        <v>193</v>
      </c>
      <c r="E181" s="95">
        <v>1</v>
      </c>
      <c r="F181" s="143" t="str">
        <f>IF(AND(ISNA(VLOOKUP(D181,A:A,1,FALSE())),ISNA(VLOOKUP(D181,BaseType!A:A,1,FALSE())),D181&lt;&gt;"Struct"),"N","Y")</f>
        <v>Y</v>
      </c>
      <c r="G181" s="91" t="s">
        <v>3631</v>
      </c>
      <c r="H181" s="1"/>
      <c r="I181" s="1"/>
      <c r="J181" s="1"/>
      <c r="K181" s="1"/>
      <c r="L181" s="1"/>
      <c r="M181" s="1"/>
    </row>
    <row r="182" spans="1:13" ht="15" customHeight="1" x14ac:dyDescent="0.2">
      <c r="A182" s="80"/>
      <c r="B182" s="269"/>
      <c r="C182" s="148" t="s">
        <v>3632</v>
      </c>
      <c r="D182" s="80" t="s">
        <v>293</v>
      </c>
      <c r="E182" s="95">
        <v>1</v>
      </c>
      <c r="F182" s="143" t="str">
        <f>IF(AND(ISNA(VLOOKUP(D182,A:A,1,FALSE())),ISNA(VLOOKUP(D182,BaseType!A:A,1,FALSE())),D182&lt;&gt;"Struct"),"N","Y")</f>
        <v>Y</v>
      </c>
      <c r="G182" s="91" t="s">
        <v>3633</v>
      </c>
      <c r="H182" s="1"/>
      <c r="I182" s="1"/>
      <c r="J182" s="1"/>
      <c r="K182" s="1"/>
      <c r="L182" s="1"/>
      <c r="M182" s="1"/>
    </row>
    <row r="183" spans="1:13" ht="15" customHeight="1" x14ac:dyDescent="0.2">
      <c r="A183" s="80"/>
      <c r="B183" s="269"/>
      <c r="C183" s="148" t="s">
        <v>3634</v>
      </c>
      <c r="D183" s="80" t="s">
        <v>193</v>
      </c>
      <c r="E183" s="95">
        <v>1</v>
      </c>
      <c r="F183" s="143" t="str">
        <f>IF(AND(ISNA(VLOOKUP(D183,A:A,1,FALSE())),ISNA(VLOOKUP(D183,BaseType!A:A,1,FALSE())),D183&lt;&gt;"Struct"),"N","Y")</f>
        <v>Y</v>
      </c>
      <c r="G183" s="91" t="s">
        <v>3635</v>
      </c>
      <c r="H183" s="1"/>
      <c r="I183" s="1"/>
      <c r="J183" s="1"/>
      <c r="K183" s="1"/>
      <c r="L183" s="1"/>
      <c r="M183" s="1"/>
    </row>
    <row r="184" spans="1:13" ht="15" customHeight="1" x14ac:dyDescent="0.2">
      <c r="A184" s="80"/>
      <c r="B184" s="269"/>
      <c r="C184" s="148" t="s">
        <v>3636</v>
      </c>
      <c r="D184" s="80" t="s">
        <v>193</v>
      </c>
      <c r="E184" s="95">
        <v>1</v>
      </c>
      <c r="F184" s="143" t="str">
        <f>IF(AND(ISNA(VLOOKUP(D184,A:A,1,FALSE())),ISNA(VLOOKUP(D184,BaseType!A:A,1,FALSE())),D184&lt;&gt;"Struct"),"N","Y")</f>
        <v>Y</v>
      </c>
      <c r="G184" s="91" t="s">
        <v>3637</v>
      </c>
      <c r="H184" s="1"/>
      <c r="I184" s="1"/>
      <c r="J184" s="1"/>
      <c r="K184" s="1"/>
      <c r="L184" s="1"/>
      <c r="M184" s="1"/>
    </row>
    <row r="185" spans="1:13" ht="15" customHeight="1" x14ac:dyDescent="0.2">
      <c r="A185" s="80"/>
      <c r="B185" s="269"/>
      <c r="C185" s="148" t="s">
        <v>3638</v>
      </c>
      <c r="D185" s="80" t="s">
        <v>293</v>
      </c>
      <c r="E185" s="95">
        <v>1</v>
      </c>
      <c r="F185" s="143" t="str">
        <f>IF(AND(ISNA(VLOOKUP(D185,A:A,1,FALSE())),ISNA(VLOOKUP(D185,BaseType!A:A,1,FALSE())),D185&lt;&gt;"Struct"),"N","Y")</f>
        <v>Y</v>
      </c>
      <c r="G185" s="91" t="s">
        <v>3633</v>
      </c>
      <c r="H185" s="1"/>
      <c r="I185" s="1"/>
      <c r="J185" s="1"/>
      <c r="K185" s="1"/>
      <c r="L185" s="1"/>
      <c r="M185" s="1"/>
    </row>
    <row r="186" spans="1:13" ht="15" customHeight="1" x14ac:dyDescent="0.2">
      <c r="A186" s="80"/>
      <c r="B186" s="269"/>
      <c r="C186" s="148" t="s">
        <v>3639</v>
      </c>
      <c r="D186" s="80" t="s">
        <v>293</v>
      </c>
      <c r="E186" s="95">
        <v>1</v>
      </c>
      <c r="F186" s="143" t="str">
        <f>IF(AND(ISNA(VLOOKUP(D186,A:A,1,FALSE())),ISNA(VLOOKUP(D186,BaseType!A:A,1,FALSE())),D186&lt;&gt;"Struct"),"N","Y")</f>
        <v>Y</v>
      </c>
      <c r="G186" s="91" t="s">
        <v>3640</v>
      </c>
      <c r="H186" s="1"/>
      <c r="I186" s="1"/>
      <c r="J186" s="1"/>
      <c r="K186" s="1"/>
      <c r="L186" s="1"/>
      <c r="M186" s="1"/>
    </row>
    <row r="187" spans="1:13" ht="15" customHeight="1" x14ac:dyDescent="0.2">
      <c r="A187" s="80"/>
      <c r="B187" s="269"/>
      <c r="C187" s="148" t="s">
        <v>3641</v>
      </c>
      <c r="D187" s="80" t="s">
        <v>193</v>
      </c>
      <c r="E187" s="95">
        <v>1</v>
      </c>
      <c r="F187" s="143" t="str">
        <f>IF(AND(ISNA(VLOOKUP(D187,A:A,1,FALSE())),ISNA(VLOOKUP(D187,BaseType!A:A,1,FALSE())),D187&lt;&gt;"Struct"),"N","Y")</f>
        <v>Y</v>
      </c>
      <c r="G187" s="91" t="s">
        <v>3642</v>
      </c>
      <c r="H187" s="1"/>
      <c r="I187" s="1"/>
      <c r="J187" s="1"/>
      <c r="K187" s="1"/>
      <c r="L187" s="1"/>
      <c r="M187" s="1"/>
    </row>
    <row r="188" spans="1:13" ht="15" customHeight="1" x14ac:dyDescent="0.2">
      <c r="A188" s="80"/>
      <c r="B188" s="269"/>
      <c r="C188" s="148" t="s">
        <v>3643</v>
      </c>
      <c r="D188" s="80" t="s">
        <v>225</v>
      </c>
      <c r="E188" s="95">
        <v>1</v>
      </c>
      <c r="F188" s="143" t="str">
        <f>IF(AND(ISNA(VLOOKUP(D188,A:A,1,FALSE())),ISNA(VLOOKUP(D188,BaseType!A:A,1,FALSE())),D188&lt;&gt;"Struct"),"N","Y")</f>
        <v>Y</v>
      </c>
      <c r="G188" s="91" t="s">
        <v>3644</v>
      </c>
      <c r="H188" s="1"/>
      <c r="I188" s="1"/>
      <c r="J188" s="1"/>
      <c r="K188" s="1"/>
      <c r="L188" s="1"/>
      <c r="M188" s="1"/>
    </row>
    <row r="189" spans="1:13" ht="15" customHeight="1" x14ac:dyDescent="0.2">
      <c r="A189" s="80"/>
      <c r="B189" s="269"/>
      <c r="C189" s="148" t="s">
        <v>3645</v>
      </c>
      <c r="D189" s="80" t="s">
        <v>293</v>
      </c>
      <c r="E189" s="95">
        <v>1</v>
      </c>
      <c r="F189" s="143" t="str">
        <f>IF(AND(ISNA(VLOOKUP(D189,A:A,1,FALSE())),ISNA(VLOOKUP(D189,BaseType!A:A,1,FALSE())),D189&lt;&gt;"Struct"),"N","Y")</f>
        <v>Y</v>
      </c>
      <c r="G189" s="91" t="s">
        <v>3646</v>
      </c>
      <c r="H189" s="1"/>
      <c r="I189" s="1"/>
      <c r="J189" s="1"/>
      <c r="K189" s="1"/>
      <c r="L189" s="1"/>
      <c r="M189" s="1"/>
    </row>
    <row r="190" spans="1:13" ht="15" customHeight="1" x14ac:dyDescent="0.2">
      <c r="A190" s="80"/>
      <c r="B190" s="269"/>
      <c r="C190" s="148" t="s">
        <v>3647</v>
      </c>
      <c r="D190" s="80" t="s">
        <v>293</v>
      </c>
      <c r="E190" s="95">
        <v>1</v>
      </c>
      <c r="F190" s="143" t="str">
        <f>IF(AND(ISNA(VLOOKUP(D190,A:A,1,FALSE())),ISNA(VLOOKUP(D190,BaseType!A:A,1,FALSE())),D190&lt;&gt;"Struct"),"N","Y")</f>
        <v>Y</v>
      </c>
      <c r="G190" s="91" t="s">
        <v>3648</v>
      </c>
      <c r="H190" s="1"/>
      <c r="I190" s="1"/>
      <c r="J190" s="1"/>
      <c r="K190" s="1"/>
      <c r="L190" s="1"/>
      <c r="M190" s="1"/>
    </row>
    <row r="191" spans="1:13" ht="15" customHeight="1" x14ac:dyDescent="0.2">
      <c r="A191" s="80"/>
      <c r="B191" s="269"/>
      <c r="C191" s="148" t="s">
        <v>3649</v>
      </c>
      <c r="D191" s="80" t="s">
        <v>193</v>
      </c>
      <c r="E191" s="95">
        <v>1</v>
      </c>
      <c r="F191" s="143" t="str">
        <f>IF(AND(ISNA(VLOOKUP(D191,A:A,1,FALSE())),ISNA(VLOOKUP(D191,BaseType!A:A,1,FALSE())),D191&lt;&gt;"Struct"),"N","Y")</f>
        <v>Y</v>
      </c>
      <c r="G191" s="91" t="s">
        <v>3650</v>
      </c>
      <c r="H191" s="1"/>
      <c r="I191" s="1"/>
      <c r="J191" s="1"/>
      <c r="K191" s="1"/>
      <c r="L191" s="1"/>
      <c r="M191" s="1"/>
    </row>
    <row r="192" spans="1:13" ht="15" customHeight="1" x14ac:dyDescent="0.2">
      <c r="A192" s="80"/>
      <c r="B192" s="269"/>
      <c r="C192" s="148" t="s">
        <v>3651</v>
      </c>
      <c r="D192" s="80" t="s">
        <v>193</v>
      </c>
      <c r="E192" s="95">
        <v>1</v>
      </c>
      <c r="F192" s="143" t="str">
        <f>IF(AND(ISNA(VLOOKUP(D192,A:A,1,FALSE())),ISNA(VLOOKUP(D192,BaseType!A:A,1,FALSE())),D192&lt;&gt;"Struct"),"N","Y")</f>
        <v>Y</v>
      </c>
      <c r="G192" s="91" t="s">
        <v>3652</v>
      </c>
      <c r="H192" s="1"/>
      <c r="I192" s="1"/>
      <c r="J192" s="1"/>
      <c r="K192" s="1"/>
      <c r="L192" s="1"/>
      <c r="M192" s="1"/>
    </row>
    <row r="193" spans="1:13" ht="15" customHeight="1" x14ac:dyDescent="0.2">
      <c r="A193" s="80"/>
      <c r="B193" s="269"/>
      <c r="C193" s="148" t="s">
        <v>3653</v>
      </c>
      <c r="D193" s="80" t="s">
        <v>293</v>
      </c>
      <c r="E193" s="95">
        <v>1</v>
      </c>
      <c r="F193" s="143" t="str">
        <f>IF(AND(ISNA(VLOOKUP(D193,A:A,1,FALSE())),ISNA(VLOOKUP(D193,BaseType!A:A,1,FALSE())),D193&lt;&gt;"Struct"),"N","Y")</f>
        <v>Y</v>
      </c>
      <c r="G193" s="91" t="s">
        <v>3654</v>
      </c>
      <c r="H193" s="1"/>
      <c r="I193" s="1"/>
      <c r="J193" s="1"/>
      <c r="K193" s="1"/>
      <c r="L193" s="1"/>
      <c r="M193" s="1"/>
    </row>
    <row r="194" spans="1:13" ht="15" customHeight="1" x14ac:dyDescent="0.2">
      <c r="A194" s="80"/>
      <c r="B194" s="269"/>
      <c r="C194" s="148" t="s">
        <v>3655</v>
      </c>
      <c r="D194" s="80" t="s">
        <v>293</v>
      </c>
      <c r="E194" s="95">
        <v>1</v>
      </c>
      <c r="F194" s="143" t="str">
        <f>IF(AND(ISNA(VLOOKUP(D194,A:A,1,FALSE())),ISNA(VLOOKUP(D194,BaseType!A:A,1,FALSE())),D194&lt;&gt;"Struct"),"N","Y")</f>
        <v>Y</v>
      </c>
      <c r="G194" s="91" t="s">
        <v>3656</v>
      </c>
      <c r="H194" s="1"/>
      <c r="I194" s="1"/>
      <c r="J194" s="1"/>
      <c r="K194" s="1"/>
      <c r="L194" s="1"/>
      <c r="M194" s="1"/>
    </row>
    <row r="195" spans="1:13" ht="15" customHeight="1" x14ac:dyDescent="0.2">
      <c r="A195" s="80"/>
      <c r="B195" s="269"/>
      <c r="C195" s="148" t="s">
        <v>3657</v>
      </c>
      <c r="D195" s="80" t="s">
        <v>293</v>
      </c>
      <c r="E195" s="95">
        <v>1</v>
      </c>
      <c r="F195" s="143" t="str">
        <f>IF(AND(ISNA(VLOOKUP(D195,A:A,1,FALSE())),ISNA(VLOOKUP(D195,BaseType!A:A,1,FALSE())),D195&lt;&gt;"Struct"),"N","Y")</f>
        <v>Y</v>
      </c>
      <c r="G195" s="91" t="s">
        <v>3654</v>
      </c>
      <c r="H195" s="1"/>
      <c r="I195" s="1"/>
      <c r="J195" s="1"/>
      <c r="K195" s="1"/>
      <c r="L195" s="1"/>
      <c r="M195" s="1"/>
    </row>
    <row r="196" spans="1:13" ht="15" customHeight="1" x14ac:dyDescent="0.2">
      <c r="A196" s="80"/>
      <c r="B196" s="269"/>
      <c r="C196" s="148" t="s">
        <v>3658</v>
      </c>
      <c r="D196" s="80" t="s">
        <v>225</v>
      </c>
      <c r="E196" s="95">
        <v>1</v>
      </c>
      <c r="F196" s="143" t="str">
        <f>IF(AND(ISNA(VLOOKUP(D196,A:A,1,FALSE())),ISNA(VLOOKUP(D196,BaseType!A:A,1,FALSE())),D196&lt;&gt;"Struct"),"N","Y")</f>
        <v>Y</v>
      </c>
      <c r="G196" s="91" t="s">
        <v>3659</v>
      </c>
      <c r="H196" s="1"/>
      <c r="I196" s="1"/>
      <c r="J196" s="1"/>
      <c r="K196" s="1"/>
      <c r="L196" s="1"/>
      <c r="M196" s="1"/>
    </row>
    <row r="197" spans="1:13" ht="15" customHeight="1" x14ac:dyDescent="0.2">
      <c r="A197" s="80"/>
      <c r="B197" s="269"/>
      <c r="C197" s="148" t="s">
        <v>3660</v>
      </c>
      <c r="D197" s="80" t="s">
        <v>225</v>
      </c>
      <c r="E197" s="95">
        <v>1</v>
      </c>
      <c r="F197" s="143" t="str">
        <f>IF(AND(ISNA(VLOOKUP(D197,A:A,1,FALSE())),ISNA(VLOOKUP(D197,BaseType!A:A,1,FALSE())),D197&lt;&gt;"Struct"),"N","Y")</f>
        <v>Y</v>
      </c>
      <c r="G197" s="91" t="s">
        <v>3661</v>
      </c>
      <c r="H197" s="1"/>
      <c r="I197" s="1"/>
      <c r="J197" s="1"/>
      <c r="K197" s="1"/>
      <c r="L197" s="1"/>
      <c r="M197" s="1"/>
    </row>
    <row r="198" spans="1:13" ht="15" customHeight="1" x14ac:dyDescent="0.2">
      <c r="A198" s="80"/>
      <c r="B198" s="269"/>
      <c r="C198" s="148" t="s">
        <v>3662</v>
      </c>
      <c r="D198" s="80" t="s">
        <v>293</v>
      </c>
      <c r="E198" s="95">
        <v>1</v>
      </c>
      <c r="F198" s="143" t="str">
        <f>IF(AND(ISNA(VLOOKUP(D198,A:A,1,FALSE())),ISNA(VLOOKUP(D198,BaseType!A:A,1,FALSE())),D198&lt;&gt;"Struct"),"N","Y")</f>
        <v>Y</v>
      </c>
      <c r="G198" s="91" t="s">
        <v>3663</v>
      </c>
      <c r="H198" s="1"/>
      <c r="I198" s="1"/>
      <c r="J198" s="1"/>
      <c r="K198" s="1"/>
      <c r="L198" s="1"/>
      <c r="M198" s="1"/>
    </row>
    <row r="199" spans="1:13" ht="15" customHeight="1" x14ac:dyDescent="0.2">
      <c r="A199" s="80"/>
      <c r="B199" s="269"/>
      <c r="C199" s="148" t="s">
        <v>3664</v>
      </c>
      <c r="D199" s="80" t="s">
        <v>293</v>
      </c>
      <c r="E199" s="95">
        <v>1</v>
      </c>
      <c r="F199" s="143" t="str">
        <f>IF(AND(ISNA(VLOOKUP(D199,A:A,1,FALSE())),ISNA(VLOOKUP(D199,BaseType!A:A,1,FALSE())),D199&lt;&gt;"Struct"),"N","Y")</f>
        <v>Y</v>
      </c>
      <c r="G199" s="91" t="s">
        <v>3665</v>
      </c>
      <c r="H199" s="1"/>
      <c r="I199" s="1"/>
      <c r="J199" s="1"/>
      <c r="K199" s="1"/>
      <c r="L199" s="1"/>
      <c r="M199" s="1"/>
    </row>
    <row r="200" spans="1:13" ht="15" customHeight="1" x14ac:dyDescent="0.2">
      <c r="A200" s="80"/>
      <c r="B200" s="269"/>
      <c r="C200" s="148" t="s">
        <v>3666</v>
      </c>
      <c r="D200" s="80" t="s">
        <v>225</v>
      </c>
      <c r="E200" s="95">
        <v>1</v>
      </c>
      <c r="F200" s="143" t="str">
        <f>IF(AND(ISNA(VLOOKUP(D200,A:A,1,FALSE())),ISNA(VLOOKUP(D200,BaseType!A:A,1,FALSE())),D200&lt;&gt;"Struct"),"N","Y")</f>
        <v>Y</v>
      </c>
      <c r="G200" s="91" t="s">
        <v>3667</v>
      </c>
      <c r="H200" s="1"/>
      <c r="I200" s="1"/>
      <c r="J200" s="1"/>
      <c r="K200" s="1"/>
      <c r="L200" s="1"/>
      <c r="M200" s="1"/>
    </row>
    <row r="201" spans="1:13" ht="15" customHeight="1" x14ac:dyDescent="0.2">
      <c r="A201" s="80"/>
      <c r="B201" s="269"/>
      <c r="C201" s="148" t="s">
        <v>3668</v>
      </c>
      <c r="D201" s="80" t="s">
        <v>293</v>
      </c>
      <c r="E201" s="95">
        <v>1</v>
      </c>
      <c r="F201" s="143" t="str">
        <f>IF(AND(ISNA(VLOOKUP(D201,A:A,1,FALSE())),ISNA(VLOOKUP(D201,BaseType!A:A,1,FALSE())),D201&lt;&gt;"Struct"),"N","Y")</f>
        <v>Y</v>
      </c>
      <c r="G201" s="91" t="s">
        <v>3669</v>
      </c>
      <c r="H201" s="1"/>
      <c r="I201" s="1"/>
      <c r="J201" s="1"/>
      <c r="K201" s="1"/>
      <c r="L201" s="1"/>
      <c r="M201" s="1"/>
    </row>
    <row r="202" spans="1:13" ht="15" customHeight="1" x14ac:dyDescent="0.2">
      <c r="A202" s="80"/>
      <c r="B202" s="269"/>
      <c r="C202" s="148" t="s">
        <v>3670</v>
      </c>
      <c r="D202" s="80" t="s">
        <v>293</v>
      </c>
      <c r="E202" s="95">
        <v>1</v>
      </c>
      <c r="F202" s="143" t="str">
        <f>IF(AND(ISNA(VLOOKUP(D202,A:A,1,FALSE())),ISNA(VLOOKUP(D202,BaseType!A:A,1,FALSE())),D202&lt;&gt;"Struct"),"N","Y")</f>
        <v>Y</v>
      </c>
      <c r="G202" s="91" t="s">
        <v>3671</v>
      </c>
      <c r="H202" s="1"/>
      <c r="I202" s="1"/>
      <c r="J202" s="1"/>
      <c r="K202" s="1"/>
      <c r="L202" s="1"/>
      <c r="M202" s="1"/>
    </row>
    <row r="203" spans="1:13" ht="15" customHeight="1" x14ac:dyDescent="0.2">
      <c r="A203" s="80"/>
      <c r="B203" s="269"/>
      <c r="C203" s="148" t="s">
        <v>3672</v>
      </c>
      <c r="D203" s="80" t="s">
        <v>293</v>
      </c>
      <c r="E203" s="95">
        <v>1</v>
      </c>
      <c r="F203" s="143" t="str">
        <f>IF(AND(ISNA(VLOOKUP(D203,A:A,1,FALSE())),ISNA(VLOOKUP(D203,BaseType!A:A,1,FALSE())),D203&lt;&gt;"Struct"),"N","Y")</f>
        <v>Y</v>
      </c>
      <c r="G203" s="91" t="s">
        <v>3673</v>
      </c>
      <c r="H203" s="1"/>
      <c r="I203" s="1"/>
      <c r="J203" s="1"/>
      <c r="K203" s="1"/>
      <c r="L203" s="1"/>
      <c r="M203" s="1"/>
    </row>
    <row r="204" spans="1:13" ht="15" customHeight="1" x14ac:dyDescent="0.2">
      <c r="A204" s="80"/>
      <c r="B204" s="269"/>
      <c r="C204" s="148" t="s">
        <v>3674</v>
      </c>
      <c r="D204" s="80" t="s">
        <v>293</v>
      </c>
      <c r="E204" s="95">
        <v>1</v>
      </c>
      <c r="F204" s="143" t="str">
        <f>IF(AND(ISNA(VLOOKUP(D204,A:A,1,FALSE())),ISNA(VLOOKUP(D204,BaseType!A:A,1,FALSE())),D204&lt;&gt;"Struct"),"N","Y")</f>
        <v>Y</v>
      </c>
      <c r="G204" s="91" t="s">
        <v>3675</v>
      </c>
      <c r="H204" s="1"/>
      <c r="I204" s="1"/>
      <c r="J204" s="1"/>
      <c r="K204" s="1"/>
      <c r="L204" s="1"/>
      <c r="M204" s="1"/>
    </row>
    <row r="205" spans="1:13" ht="15" customHeight="1" x14ac:dyDescent="0.2">
      <c r="A205" s="80"/>
      <c r="B205" s="269"/>
      <c r="C205" s="148" t="s">
        <v>3676</v>
      </c>
      <c r="D205" s="80" t="s">
        <v>293</v>
      </c>
      <c r="E205" s="95">
        <v>1</v>
      </c>
      <c r="F205" s="143" t="str">
        <f>IF(AND(ISNA(VLOOKUP(D205,A:A,1,FALSE())),ISNA(VLOOKUP(D205,BaseType!A:A,1,FALSE())),D205&lt;&gt;"Struct"),"N","Y")</f>
        <v>Y</v>
      </c>
      <c r="G205" s="91" t="s">
        <v>3677</v>
      </c>
      <c r="H205" s="1"/>
      <c r="I205" s="1"/>
      <c r="J205" s="1"/>
      <c r="K205" s="1"/>
      <c r="L205" s="1"/>
      <c r="M205" s="1"/>
    </row>
    <row r="206" spans="1:13" ht="15" customHeight="1" x14ac:dyDescent="0.2">
      <c r="A206" s="80"/>
      <c r="B206" s="269"/>
      <c r="C206" s="148" t="s">
        <v>3678</v>
      </c>
      <c r="D206" s="80" t="s">
        <v>293</v>
      </c>
      <c r="E206" s="95">
        <v>1</v>
      </c>
      <c r="F206" s="143" t="str">
        <f>IF(AND(ISNA(VLOOKUP(D206,A:A,1,FALSE())),ISNA(VLOOKUP(D206,BaseType!A:A,1,FALSE())),D206&lt;&gt;"Struct"),"N","Y")</f>
        <v>Y</v>
      </c>
      <c r="G206" s="91" t="s">
        <v>3679</v>
      </c>
      <c r="H206" s="1"/>
      <c r="I206" s="1"/>
      <c r="J206" s="1"/>
      <c r="K206" s="1"/>
      <c r="L206" s="1"/>
      <c r="M206" s="1"/>
    </row>
    <row r="207" spans="1:13" ht="15" customHeight="1" x14ac:dyDescent="0.2">
      <c r="A207" s="80"/>
      <c r="B207" s="269"/>
      <c r="C207" s="148" t="s">
        <v>3680</v>
      </c>
      <c r="D207" s="80" t="s">
        <v>293</v>
      </c>
      <c r="E207" s="95">
        <v>1</v>
      </c>
      <c r="F207" s="143" t="str">
        <f>IF(AND(ISNA(VLOOKUP(D207,A:A,1,FALSE())),ISNA(VLOOKUP(D207,BaseType!A:A,1,FALSE())),D207&lt;&gt;"Struct"),"N","Y")</f>
        <v>Y</v>
      </c>
      <c r="G207" s="91" t="s">
        <v>3681</v>
      </c>
      <c r="H207" s="1"/>
      <c r="I207" s="1"/>
      <c r="J207" s="1"/>
      <c r="K207" s="1"/>
      <c r="L207" s="1"/>
      <c r="M207" s="1"/>
    </row>
    <row r="208" spans="1:13" ht="15" customHeight="1" x14ac:dyDescent="0.2">
      <c r="A208" s="80"/>
      <c r="B208" s="269"/>
      <c r="C208" s="148" t="s">
        <v>3682</v>
      </c>
      <c r="D208" s="80" t="s">
        <v>193</v>
      </c>
      <c r="E208" s="95">
        <v>1</v>
      </c>
      <c r="F208" s="143" t="str">
        <f>IF(AND(ISNA(VLOOKUP(D208,A:A,1,FALSE())),ISNA(VLOOKUP(D208,BaseType!A:A,1,FALSE())),D208&lt;&gt;"Struct"),"N","Y")</f>
        <v>Y</v>
      </c>
      <c r="G208" s="91" t="s">
        <v>3683</v>
      </c>
      <c r="H208" s="1"/>
      <c r="I208" s="1"/>
      <c r="J208" s="1"/>
      <c r="K208" s="1"/>
      <c r="L208" s="1"/>
      <c r="M208" s="1"/>
    </row>
    <row r="209" spans="1:13" ht="15" customHeight="1" x14ac:dyDescent="0.2">
      <c r="A209" s="80"/>
      <c r="B209" s="269"/>
      <c r="C209" s="148" t="s">
        <v>3684</v>
      </c>
      <c r="D209" s="80" t="s">
        <v>293</v>
      </c>
      <c r="E209" s="95">
        <v>1</v>
      </c>
      <c r="F209" s="143" t="str">
        <f>IF(AND(ISNA(VLOOKUP(D209,A:A,1,FALSE())),ISNA(VLOOKUP(D209,BaseType!A:A,1,FALSE())),D209&lt;&gt;"Struct"),"N","Y")</f>
        <v>Y</v>
      </c>
      <c r="G209" s="91" t="s">
        <v>3685</v>
      </c>
      <c r="H209" s="1"/>
      <c r="I209" s="1"/>
      <c r="J209" s="1"/>
      <c r="K209" s="1"/>
      <c r="L209" s="1"/>
      <c r="M209" s="1"/>
    </row>
    <row r="210" spans="1:13" ht="15" customHeight="1" x14ac:dyDescent="0.2">
      <c r="A210" s="80"/>
      <c r="B210" s="269"/>
      <c r="C210" s="148" t="s">
        <v>3686</v>
      </c>
      <c r="D210" s="80" t="s">
        <v>293</v>
      </c>
      <c r="E210" s="95">
        <v>1</v>
      </c>
      <c r="F210" s="143" t="str">
        <f>IF(AND(ISNA(VLOOKUP(D210,A:A,1,FALSE())),ISNA(VLOOKUP(D210,BaseType!A:A,1,FALSE())),D210&lt;&gt;"Struct"),"N","Y")</f>
        <v>Y</v>
      </c>
      <c r="G210" s="91" t="s">
        <v>3687</v>
      </c>
      <c r="H210" s="1"/>
      <c r="I210" s="1"/>
      <c r="J210" s="1"/>
      <c r="K210" s="1"/>
      <c r="L210" s="1"/>
      <c r="M210" s="1"/>
    </row>
    <row r="211" spans="1:13" ht="15" customHeight="1" x14ac:dyDescent="0.2">
      <c r="A211" s="80"/>
      <c r="B211" s="269"/>
      <c r="C211" s="148" t="s">
        <v>3688</v>
      </c>
      <c r="D211" s="80" t="s">
        <v>293</v>
      </c>
      <c r="E211" s="95">
        <v>1</v>
      </c>
      <c r="F211" s="143" t="str">
        <f>IF(AND(ISNA(VLOOKUP(D211,A:A,1,FALSE())),ISNA(VLOOKUP(D211,BaseType!A:A,1,FALSE())),D211&lt;&gt;"Struct"),"N","Y")</f>
        <v>Y</v>
      </c>
      <c r="G211" s="91" t="s">
        <v>3689</v>
      </c>
      <c r="H211" s="1"/>
      <c r="I211" s="1"/>
      <c r="J211" s="1"/>
      <c r="K211" s="1"/>
      <c r="L211" s="1"/>
      <c r="M211" s="1"/>
    </row>
    <row r="212" spans="1:13" ht="15" customHeight="1" x14ac:dyDescent="0.2">
      <c r="A212" s="80"/>
      <c r="B212" s="269"/>
      <c r="C212" s="148" t="s">
        <v>3690</v>
      </c>
      <c r="D212" s="80" t="s">
        <v>293</v>
      </c>
      <c r="E212" s="95">
        <v>1</v>
      </c>
      <c r="F212" s="143" t="str">
        <f>IF(AND(ISNA(VLOOKUP(D212,A:A,1,FALSE())),ISNA(VLOOKUP(D212,BaseType!A:A,1,FALSE())),D212&lt;&gt;"Struct"),"N","Y")</f>
        <v>Y</v>
      </c>
      <c r="G212" s="91" t="s">
        <v>3691</v>
      </c>
      <c r="H212" s="1"/>
      <c r="I212" s="1"/>
      <c r="J212" s="1"/>
      <c r="K212" s="1"/>
      <c r="L212" s="1"/>
      <c r="M212" s="1"/>
    </row>
    <row r="213" spans="1:13" ht="15" customHeight="1" x14ac:dyDescent="0.2">
      <c r="A213" s="80"/>
      <c r="B213" s="269"/>
      <c r="C213" s="148" t="s">
        <v>3692</v>
      </c>
      <c r="D213" s="80" t="s">
        <v>225</v>
      </c>
      <c r="E213" s="95">
        <v>1</v>
      </c>
      <c r="F213" s="143" t="str">
        <f>IF(AND(ISNA(VLOOKUP(D213,A:A,1,FALSE())),ISNA(VLOOKUP(D213,BaseType!A:A,1,FALSE())),D213&lt;&gt;"Struct"),"N","Y")</f>
        <v>Y</v>
      </c>
      <c r="G213" s="91" t="s">
        <v>3693</v>
      </c>
      <c r="H213" s="1"/>
      <c r="I213" s="1"/>
      <c r="J213" s="1"/>
      <c r="K213" s="1"/>
      <c r="L213" s="1"/>
      <c r="M213" s="1"/>
    </row>
    <row r="214" spans="1:13" ht="15" customHeight="1" x14ac:dyDescent="0.2">
      <c r="A214" s="80"/>
      <c r="B214" s="269"/>
      <c r="C214" s="148" t="s">
        <v>3694</v>
      </c>
      <c r="D214" s="80" t="s">
        <v>225</v>
      </c>
      <c r="E214" s="95">
        <v>1</v>
      </c>
      <c r="F214" s="143" t="str">
        <f>IF(AND(ISNA(VLOOKUP(D214,A:A,1,FALSE())),ISNA(VLOOKUP(D214,BaseType!A:A,1,FALSE())),D214&lt;&gt;"Struct"),"N","Y")</f>
        <v>Y</v>
      </c>
      <c r="G214" s="91" t="s">
        <v>3695</v>
      </c>
      <c r="H214" s="1"/>
      <c r="I214" s="1"/>
      <c r="J214" s="1"/>
      <c r="K214" s="1"/>
      <c r="L214" s="1"/>
      <c r="M214" s="1"/>
    </row>
    <row r="215" spans="1:13" ht="15" customHeight="1" x14ac:dyDescent="0.2">
      <c r="A215" s="80"/>
      <c r="B215" s="269"/>
      <c r="C215" s="148" t="s">
        <v>3696</v>
      </c>
      <c r="D215" s="80" t="s">
        <v>193</v>
      </c>
      <c r="E215" s="95">
        <v>1</v>
      </c>
      <c r="F215" s="143" t="str">
        <f>IF(AND(ISNA(VLOOKUP(D215,A:A,1,FALSE())),ISNA(VLOOKUP(D215,BaseType!A:A,1,FALSE())),D215&lt;&gt;"Struct"),"N","Y")</f>
        <v>Y</v>
      </c>
      <c r="G215" s="91" t="s">
        <v>3697</v>
      </c>
      <c r="H215" s="1"/>
      <c r="I215" s="1"/>
      <c r="J215" s="1"/>
      <c r="K215" s="1"/>
      <c r="L215" s="1"/>
      <c r="M215" s="1"/>
    </row>
    <row r="216" spans="1:13" ht="15" customHeight="1" x14ac:dyDescent="0.2">
      <c r="A216" s="80"/>
      <c r="B216" s="269"/>
      <c r="C216" s="148" t="s">
        <v>3698</v>
      </c>
      <c r="D216" s="80" t="s">
        <v>293</v>
      </c>
      <c r="E216" s="95">
        <v>1</v>
      </c>
      <c r="F216" s="143" t="str">
        <f>IF(AND(ISNA(VLOOKUP(D216,A:A,1,FALSE())),ISNA(VLOOKUP(D216,BaseType!A:A,1,FALSE())),D216&lt;&gt;"Struct"),"N","Y")</f>
        <v>Y</v>
      </c>
      <c r="G216" s="91" t="s">
        <v>3699</v>
      </c>
      <c r="H216" s="1"/>
      <c r="I216" s="1"/>
      <c r="J216" s="1"/>
      <c r="K216" s="1"/>
      <c r="L216" s="1"/>
      <c r="M216" s="1"/>
    </row>
    <row r="217" spans="1:13" ht="15" customHeight="1" x14ac:dyDescent="0.2">
      <c r="A217" s="80"/>
      <c r="B217" s="269"/>
      <c r="C217" s="148" t="s">
        <v>3700</v>
      </c>
      <c r="D217" s="80" t="s">
        <v>193</v>
      </c>
      <c r="E217" s="95">
        <v>1</v>
      </c>
      <c r="F217" s="143" t="str">
        <f>IF(AND(ISNA(VLOOKUP(D217,A:A,1,FALSE())),ISNA(VLOOKUP(D217,BaseType!A:A,1,FALSE())),D217&lt;&gt;"Struct"),"N","Y")</f>
        <v>Y</v>
      </c>
      <c r="G217" s="91" t="s">
        <v>3701</v>
      </c>
      <c r="H217" s="1"/>
      <c r="I217" s="1"/>
      <c r="J217" s="1"/>
      <c r="K217" s="1"/>
      <c r="L217" s="1"/>
      <c r="M217" s="1"/>
    </row>
    <row r="218" spans="1:13" ht="15" customHeight="1" x14ac:dyDescent="0.2">
      <c r="A218" s="80"/>
      <c r="B218" s="269"/>
      <c r="C218" s="148" t="s">
        <v>3702</v>
      </c>
      <c r="D218" s="80" t="s">
        <v>293</v>
      </c>
      <c r="E218" s="95">
        <v>1</v>
      </c>
      <c r="F218" s="143" t="str">
        <f>IF(AND(ISNA(VLOOKUP(D218,A:A,1,FALSE())),ISNA(VLOOKUP(D218,BaseType!A:A,1,FALSE())),D218&lt;&gt;"Struct"),"N","Y")</f>
        <v>Y</v>
      </c>
      <c r="G218" s="91" t="s">
        <v>3703</v>
      </c>
      <c r="H218" s="1"/>
      <c r="I218" s="1"/>
      <c r="J218" s="1"/>
      <c r="K218" s="1"/>
      <c r="L218" s="1"/>
      <c r="M218" s="1"/>
    </row>
    <row r="219" spans="1:13" ht="15" customHeight="1" x14ac:dyDescent="0.2">
      <c r="A219" s="80"/>
      <c r="B219" s="269"/>
      <c r="C219" s="148" t="s">
        <v>3704</v>
      </c>
      <c r="D219" s="80" t="s">
        <v>193</v>
      </c>
      <c r="E219" s="95">
        <v>1</v>
      </c>
      <c r="F219" s="143" t="str">
        <f>IF(AND(ISNA(VLOOKUP(D219,A:A,1,FALSE())),ISNA(VLOOKUP(D219,BaseType!A:A,1,FALSE())),D219&lt;&gt;"Struct"),"N","Y")</f>
        <v>Y</v>
      </c>
      <c r="G219" s="91" t="s">
        <v>3705</v>
      </c>
      <c r="H219" s="1"/>
      <c r="I219" s="1"/>
      <c r="J219" s="1"/>
      <c r="K219" s="1"/>
      <c r="L219" s="1"/>
      <c r="M219" s="1"/>
    </row>
    <row r="220" spans="1:13" ht="15" customHeight="1" x14ac:dyDescent="0.2">
      <c r="A220" s="80"/>
      <c r="B220" s="269"/>
      <c r="C220" s="148" t="s">
        <v>3706</v>
      </c>
      <c r="D220" s="80" t="s">
        <v>293</v>
      </c>
      <c r="E220" s="95">
        <v>1</v>
      </c>
      <c r="F220" s="143" t="str">
        <f>IF(AND(ISNA(VLOOKUP(D220,A:A,1,FALSE())),ISNA(VLOOKUP(D220,BaseType!A:A,1,FALSE())),D220&lt;&gt;"Struct"),"N","Y")</f>
        <v>Y</v>
      </c>
      <c r="G220" s="91" t="s">
        <v>3707</v>
      </c>
      <c r="H220" s="1"/>
      <c r="I220" s="1"/>
      <c r="J220" s="1"/>
      <c r="K220" s="1"/>
      <c r="L220" s="1"/>
      <c r="M220" s="1"/>
    </row>
    <row r="221" spans="1:13" ht="15" customHeight="1" x14ac:dyDescent="0.2">
      <c r="A221" s="80"/>
      <c r="B221" s="269"/>
      <c r="C221" s="148" t="s">
        <v>3708</v>
      </c>
      <c r="D221" s="80" t="s">
        <v>193</v>
      </c>
      <c r="E221" s="95">
        <v>1</v>
      </c>
      <c r="F221" s="143" t="str">
        <f>IF(AND(ISNA(VLOOKUP(D221,A:A,1,FALSE())),ISNA(VLOOKUP(D221,BaseType!A:A,1,FALSE())),D221&lt;&gt;"Struct"),"N","Y")</f>
        <v>Y</v>
      </c>
      <c r="G221" s="91" t="s">
        <v>3709</v>
      </c>
      <c r="H221" s="1"/>
      <c r="I221" s="1"/>
      <c r="J221" s="1"/>
      <c r="K221" s="1"/>
      <c r="L221" s="1"/>
      <c r="M221" s="1"/>
    </row>
    <row r="222" spans="1:13" ht="15" customHeight="1" x14ac:dyDescent="0.2">
      <c r="A222" s="80"/>
      <c r="B222" s="269"/>
      <c r="C222" s="148" t="s">
        <v>3710</v>
      </c>
      <c r="D222" s="80" t="s">
        <v>293</v>
      </c>
      <c r="E222" s="95">
        <v>1</v>
      </c>
      <c r="F222" s="143" t="str">
        <f>IF(AND(ISNA(VLOOKUP(D222,A:A,1,FALSE())),ISNA(VLOOKUP(D222,BaseType!A:A,1,FALSE())),D222&lt;&gt;"Struct"),"N","Y")</f>
        <v>Y</v>
      </c>
      <c r="G222" s="91" t="s">
        <v>3711</v>
      </c>
      <c r="H222" s="1"/>
      <c r="I222" s="1"/>
      <c r="J222" s="1"/>
      <c r="K222" s="1"/>
      <c r="L222" s="1"/>
      <c r="M222" s="1"/>
    </row>
    <row r="223" spans="1:13" ht="15" customHeight="1" x14ac:dyDescent="0.2">
      <c r="A223" s="80"/>
      <c r="B223" s="269"/>
      <c r="C223" s="148" t="s">
        <v>3712</v>
      </c>
      <c r="D223" s="80" t="s">
        <v>293</v>
      </c>
      <c r="E223" s="95">
        <v>1</v>
      </c>
      <c r="F223" s="143" t="str">
        <f>IF(AND(ISNA(VLOOKUP(D223,A:A,1,FALSE())),ISNA(VLOOKUP(D223,BaseType!A:A,1,FALSE())),D223&lt;&gt;"Struct"),"N","Y")</f>
        <v>Y</v>
      </c>
      <c r="G223" s="91" t="s">
        <v>3713</v>
      </c>
      <c r="H223" s="1"/>
      <c r="I223" s="1"/>
      <c r="J223" s="1"/>
      <c r="K223" s="1"/>
      <c r="L223" s="1"/>
      <c r="M223" s="1"/>
    </row>
    <row r="224" spans="1:13" ht="15" customHeight="1" x14ac:dyDescent="0.2">
      <c r="A224" s="80"/>
      <c r="B224" s="269"/>
      <c r="C224" s="148" t="s">
        <v>3714</v>
      </c>
      <c r="D224" s="80" t="s">
        <v>293</v>
      </c>
      <c r="E224" s="95">
        <v>1</v>
      </c>
      <c r="F224" s="143" t="str">
        <f>IF(AND(ISNA(VLOOKUP(D224,A:A,1,FALSE())),ISNA(VLOOKUP(D224,BaseType!A:A,1,FALSE())),D224&lt;&gt;"Struct"),"N","Y")</f>
        <v>Y</v>
      </c>
      <c r="G224" s="91" t="s">
        <v>3715</v>
      </c>
      <c r="H224" s="1"/>
      <c r="I224" s="1"/>
      <c r="J224" s="1"/>
      <c r="K224" s="1"/>
      <c r="L224" s="1"/>
      <c r="M224" s="1"/>
    </row>
    <row r="225" spans="1:13" ht="15" customHeight="1" x14ac:dyDescent="0.2">
      <c r="A225" s="80"/>
      <c r="B225" s="269"/>
      <c r="C225" s="148" t="s">
        <v>3716</v>
      </c>
      <c r="D225" s="80" t="s">
        <v>293</v>
      </c>
      <c r="E225" s="95">
        <v>1</v>
      </c>
      <c r="F225" s="143" t="str">
        <f>IF(AND(ISNA(VLOOKUP(D225,A:A,1,FALSE())),ISNA(VLOOKUP(D225,BaseType!A:A,1,FALSE())),D225&lt;&gt;"Struct"),"N","Y")</f>
        <v>Y</v>
      </c>
      <c r="G225" s="91" t="s">
        <v>3717</v>
      </c>
      <c r="H225" s="1"/>
      <c r="I225" s="1"/>
      <c r="J225" s="1"/>
      <c r="K225" s="1"/>
      <c r="L225" s="1"/>
      <c r="M225" s="1"/>
    </row>
    <row r="226" spans="1:13" ht="15" customHeight="1" x14ac:dyDescent="0.2">
      <c r="A226" s="80"/>
      <c r="B226" s="269"/>
      <c r="C226" s="148" t="s">
        <v>3718</v>
      </c>
      <c r="D226" s="80" t="s">
        <v>293</v>
      </c>
      <c r="E226" s="95">
        <v>1</v>
      </c>
      <c r="F226" s="143" t="str">
        <f>IF(AND(ISNA(VLOOKUP(D226,A:A,1,FALSE())),ISNA(VLOOKUP(D226,BaseType!A:A,1,FALSE())),D226&lt;&gt;"Struct"),"N","Y")</f>
        <v>Y</v>
      </c>
      <c r="G226" s="91" t="s">
        <v>3719</v>
      </c>
      <c r="H226" s="1"/>
      <c r="I226" s="1"/>
      <c r="J226" s="1"/>
      <c r="K226" s="1"/>
      <c r="L226" s="1"/>
      <c r="M226" s="1"/>
    </row>
    <row r="227" spans="1:13" ht="15" customHeight="1" x14ac:dyDescent="0.2">
      <c r="A227" s="80"/>
      <c r="B227" s="269"/>
      <c r="C227" s="148" t="s">
        <v>3720</v>
      </c>
      <c r="D227" s="80" t="s">
        <v>193</v>
      </c>
      <c r="E227" s="95">
        <v>1</v>
      </c>
      <c r="F227" s="143" t="str">
        <f>IF(AND(ISNA(VLOOKUP(D227,A:A,1,FALSE())),ISNA(VLOOKUP(D227,BaseType!A:A,1,FALSE())),D227&lt;&gt;"Struct"),"N","Y")</f>
        <v>Y</v>
      </c>
      <c r="G227" s="91" t="s">
        <v>3721</v>
      </c>
      <c r="H227" s="1"/>
      <c r="I227" s="1"/>
      <c r="J227" s="1"/>
      <c r="K227" s="1"/>
      <c r="L227" s="1"/>
      <c r="M227" s="1"/>
    </row>
    <row r="228" spans="1:13" ht="15" customHeight="1" x14ac:dyDescent="0.2">
      <c r="A228" s="80"/>
      <c r="B228" s="269"/>
      <c r="C228" s="148" t="s">
        <v>3722</v>
      </c>
      <c r="D228" s="80" t="s">
        <v>293</v>
      </c>
      <c r="E228" s="95">
        <v>1</v>
      </c>
      <c r="F228" s="143" t="str">
        <f>IF(AND(ISNA(VLOOKUP(D228,A:A,1,FALSE())),ISNA(VLOOKUP(D228,BaseType!A:A,1,FALSE())),D228&lt;&gt;"Struct"),"N","Y")</f>
        <v>Y</v>
      </c>
      <c r="G228" s="91" t="s">
        <v>3723</v>
      </c>
      <c r="H228" s="1"/>
      <c r="I228" s="1"/>
      <c r="J228" s="1"/>
      <c r="K228" s="1"/>
      <c r="L228" s="1"/>
      <c r="M228" s="1"/>
    </row>
    <row r="229" spans="1:13" ht="15" customHeight="1" x14ac:dyDescent="0.2">
      <c r="A229" s="80"/>
      <c r="B229" s="269"/>
      <c r="C229" s="148" t="s">
        <v>3724</v>
      </c>
      <c r="D229" s="80" t="s">
        <v>293</v>
      </c>
      <c r="E229" s="95">
        <v>1</v>
      </c>
      <c r="F229" s="143" t="str">
        <f>IF(AND(ISNA(VLOOKUP(D229,A:A,1,FALSE())),ISNA(VLOOKUP(D229,BaseType!A:A,1,FALSE())),D229&lt;&gt;"Struct"),"N","Y")</f>
        <v>Y</v>
      </c>
      <c r="G229" s="91" t="s">
        <v>3725</v>
      </c>
      <c r="H229" s="1"/>
      <c r="I229" s="1"/>
      <c r="J229" s="1"/>
      <c r="K229" s="1"/>
      <c r="L229" s="1"/>
      <c r="M229" s="1"/>
    </row>
    <row r="230" spans="1:13" ht="15" customHeight="1" x14ac:dyDescent="0.2">
      <c r="A230" s="80"/>
      <c r="B230" s="269"/>
      <c r="C230" s="148" t="s">
        <v>3726</v>
      </c>
      <c r="D230" s="80" t="s">
        <v>293</v>
      </c>
      <c r="E230" s="95">
        <v>1</v>
      </c>
      <c r="F230" s="143" t="str">
        <f>IF(AND(ISNA(VLOOKUP(D230,A:A,1,FALSE())),ISNA(VLOOKUP(D230,BaseType!A:A,1,FALSE())),D230&lt;&gt;"Struct"),"N","Y")</f>
        <v>Y</v>
      </c>
      <c r="G230" s="91" t="s">
        <v>3727</v>
      </c>
      <c r="H230" s="1"/>
      <c r="I230" s="1"/>
      <c r="J230" s="1"/>
      <c r="K230" s="1"/>
      <c r="L230" s="1"/>
      <c r="M230" s="1"/>
    </row>
    <row r="231" spans="1:13" ht="15" customHeight="1" x14ac:dyDescent="0.2">
      <c r="A231" s="80"/>
      <c r="B231" s="269"/>
      <c r="C231" s="148" t="s">
        <v>3728</v>
      </c>
      <c r="D231" s="80" t="s">
        <v>293</v>
      </c>
      <c r="E231" s="95">
        <v>1</v>
      </c>
      <c r="F231" s="143" t="str">
        <f>IF(AND(ISNA(VLOOKUP(D231,A:A,1,FALSE())),ISNA(VLOOKUP(D231,BaseType!A:A,1,FALSE())),D231&lt;&gt;"Struct"),"N","Y")</f>
        <v>Y</v>
      </c>
      <c r="G231" s="91" t="s">
        <v>3717</v>
      </c>
      <c r="H231" s="1"/>
      <c r="I231" s="1"/>
      <c r="J231" s="1"/>
      <c r="K231" s="1"/>
      <c r="L231" s="1"/>
      <c r="M231" s="1"/>
    </row>
    <row r="232" spans="1:13" ht="15" customHeight="1" x14ac:dyDescent="0.2">
      <c r="A232" s="80"/>
      <c r="B232" s="269"/>
      <c r="C232" s="148" t="s">
        <v>3729</v>
      </c>
      <c r="D232" s="80" t="s">
        <v>293</v>
      </c>
      <c r="E232" s="95">
        <v>1</v>
      </c>
      <c r="F232" s="143" t="str">
        <f>IF(AND(ISNA(VLOOKUP(D232,A:A,1,FALSE())),ISNA(VLOOKUP(D232,BaseType!A:A,1,FALSE())),D232&lt;&gt;"Struct"),"N","Y")</f>
        <v>Y</v>
      </c>
      <c r="G232" s="91" t="s">
        <v>3717</v>
      </c>
      <c r="H232" s="1"/>
      <c r="I232" s="1"/>
      <c r="J232" s="1"/>
      <c r="K232" s="1"/>
      <c r="L232" s="1"/>
      <c r="M232" s="1"/>
    </row>
    <row r="233" spans="1:13" ht="15" customHeight="1" x14ac:dyDescent="0.2">
      <c r="A233" s="80"/>
      <c r="B233" s="269"/>
      <c r="C233" s="148" t="s">
        <v>3730</v>
      </c>
      <c r="D233" s="80" t="s">
        <v>225</v>
      </c>
      <c r="E233" s="95">
        <v>1</v>
      </c>
      <c r="F233" s="143" t="str">
        <f>IF(AND(ISNA(VLOOKUP(D233,A:A,1,FALSE())),ISNA(VLOOKUP(D233,BaseType!A:A,1,FALSE())),D233&lt;&gt;"Struct"),"N","Y")</f>
        <v>Y</v>
      </c>
      <c r="G233" s="91" t="s">
        <v>3731</v>
      </c>
      <c r="H233" s="1"/>
      <c r="I233" s="1"/>
      <c r="J233" s="1"/>
      <c r="K233" s="1"/>
      <c r="L233" s="1"/>
      <c r="M233" s="1"/>
    </row>
    <row r="234" spans="1:13" ht="15" customHeight="1" x14ac:dyDescent="0.2">
      <c r="A234" s="80"/>
      <c r="B234" s="269"/>
      <c r="C234" s="148" t="s">
        <v>3732</v>
      </c>
      <c r="D234" s="80" t="s">
        <v>225</v>
      </c>
      <c r="E234" s="95">
        <v>1</v>
      </c>
      <c r="F234" s="143" t="str">
        <f>IF(AND(ISNA(VLOOKUP(D234,A:A,1,FALSE())),ISNA(VLOOKUP(D234,BaseType!A:A,1,FALSE())),D234&lt;&gt;"Struct"),"N","Y")</f>
        <v>Y</v>
      </c>
      <c r="G234" s="91" t="s">
        <v>3733</v>
      </c>
      <c r="H234" s="1"/>
      <c r="I234" s="1"/>
      <c r="J234" s="1"/>
      <c r="K234" s="1"/>
      <c r="L234" s="1"/>
      <c r="M234" s="1"/>
    </row>
    <row r="235" spans="1:13" ht="15" customHeight="1" x14ac:dyDescent="0.2">
      <c r="A235" s="80"/>
      <c r="B235" s="269"/>
      <c r="C235" s="148" t="s">
        <v>3734</v>
      </c>
      <c r="D235" s="80" t="s">
        <v>293</v>
      </c>
      <c r="E235" s="95">
        <v>1</v>
      </c>
      <c r="F235" s="143" t="str">
        <f>IF(AND(ISNA(VLOOKUP(D235,A:A,1,FALSE())),ISNA(VLOOKUP(D235,BaseType!A:A,1,FALSE())),D235&lt;&gt;"Struct"),"N","Y")</f>
        <v>Y</v>
      </c>
      <c r="G235" s="91" t="s">
        <v>3735</v>
      </c>
      <c r="H235" s="1"/>
      <c r="I235" s="1"/>
      <c r="J235" s="1"/>
      <c r="K235" s="1"/>
      <c r="L235" s="1"/>
      <c r="M235" s="1"/>
    </row>
    <row r="236" spans="1:13" ht="15" customHeight="1" x14ac:dyDescent="0.2">
      <c r="A236" s="80"/>
      <c r="B236" s="269"/>
      <c r="C236" s="148" t="s">
        <v>3736</v>
      </c>
      <c r="D236" s="80" t="s">
        <v>193</v>
      </c>
      <c r="E236" s="95">
        <v>1</v>
      </c>
      <c r="F236" s="143" t="str">
        <f>IF(AND(ISNA(VLOOKUP(D236,A:A,1,FALSE())),ISNA(VLOOKUP(D236,BaseType!A:A,1,FALSE())),D236&lt;&gt;"Struct"),"N","Y")</f>
        <v>Y</v>
      </c>
      <c r="G236" s="91" t="s">
        <v>3737</v>
      </c>
      <c r="H236" s="1"/>
      <c r="I236" s="1"/>
      <c r="J236" s="1"/>
      <c r="K236" s="1"/>
      <c r="L236" s="1"/>
      <c r="M236" s="1"/>
    </row>
    <row r="237" spans="1:13" ht="15" customHeight="1" x14ac:dyDescent="0.2">
      <c r="A237" s="80"/>
      <c r="B237" s="269"/>
      <c r="C237" s="148" t="s">
        <v>3738</v>
      </c>
      <c r="D237" s="80" t="s">
        <v>193</v>
      </c>
      <c r="E237" s="95">
        <v>1</v>
      </c>
      <c r="F237" s="143" t="str">
        <f>IF(AND(ISNA(VLOOKUP(D237,A:A,1,FALSE())),ISNA(VLOOKUP(D237,BaseType!A:A,1,FALSE())),D237&lt;&gt;"Struct"),"N","Y")</f>
        <v>Y</v>
      </c>
      <c r="G237" s="91" t="s">
        <v>3739</v>
      </c>
      <c r="H237" s="1"/>
      <c r="I237" s="1"/>
      <c r="J237" s="1"/>
      <c r="K237" s="1"/>
      <c r="L237" s="1"/>
      <c r="M237" s="1"/>
    </row>
    <row r="238" spans="1:13" ht="15" customHeight="1" x14ac:dyDescent="0.2">
      <c r="A238" s="80"/>
      <c r="B238" s="269"/>
      <c r="C238" s="148" t="s">
        <v>3740</v>
      </c>
      <c r="D238" s="80" t="s">
        <v>193</v>
      </c>
      <c r="E238" s="95">
        <v>1</v>
      </c>
      <c r="F238" s="143" t="str">
        <f>IF(AND(ISNA(VLOOKUP(D238,A:A,1,FALSE())),ISNA(VLOOKUP(D238,BaseType!A:A,1,FALSE())),D238&lt;&gt;"Struct"),"N","Y")</f>
        <v>Y</v>
      </c>
      <c r="G238" s="91" t="s">
        <v>3741</v>
      </c>
      <c r="H238" s="1"/>
      <c r="I238" s="1"/>
      <c r="J238" s="1"/>
      <c r="K238" s="1"/>
      <c r="L238" s="1"/>
      <c r="M238" s="1"/>
    </row>
    <row r="239" spans="1:13" ht="15" customHeight="1" x14ac:dyDescent="0.2">
      <c r="A239" s="80"/>
      <c r="B239" s="269"/>
      <c r="C239" s="148" t="s">
        <v>3742</v>
      </c>
      <c r="D239" s="80" t="s">
        <v>193</v>
      </c>
      <c r="E239" s="95">
        <v>1</v>
      </c>
      <c r="F239" s="143" t="str">
        <f>IF(AND(ISNA(VLOOKUP(D239,A:A,1,FALSE())),ISNA(VLOOKUP(D239,BaseType!A:A,1,FALSE())),D239&lt;&gt;"Struct"),"N","Y")</f>
        <v>Y</v>
      </c>
      <c r="G239" s="91" t="s">
        <v>3743</v>
      </c>
      <c r="H239" s="1"/>
      <c r="I239" s="1"/>
      <c r="J239" s="1"/>
      <c r="K239" s="1"/>
      <c r="L239" s="1"/>
      <c r="M239" s="1"/>
    </row>
    <row r="240" spans="1:13" ht="15" customHeight="1" x14ac:dyDescent="0.2">
      <c r="A240" s="80"/>
      <c r="B240" s="269"/>
      <c r="C240" s="148" t="s">
        <v>3744</v>
      </c>
      <c r="D240" s="80" t="s">
        <v>193</v>
      </c>
      <c r="E240" s="95">
        <v>1</v>
      </c>
      <c r="F240" s="143" t="str">
        <f>IF(AND(ISNA(VLOOKUP(D240,A:A,1,FALSE())),ISNA(VLOOKUP(D240,BaseType!A:A,1,FALSE())),D240&lt;&gt;"Struct"),"N","Y")</f>
        <v>Y</v>
      </c>
      <c r="G240" s="91" t="s">
        <v>3745</v>
      </c>
      <c r="H240" s="1"/>
      <c r="I240" s="1"/>
      <c r="J240" s="1"/>
      <c r="K240" s="1"/>
      <c r="L240" s="1"/>
      <c r="M240" s="1"/>
    </row>
    <row r="241" spans="1:13" ht="15" customHeight="1" x14ac:dyDescent="0.2">
      <c r="A241" s="80"/>
      <c r="B241" s="269"/>
      <c r="C241" s="148" t="s">
        <v>3746</v>
      </c>
      <c r="D241" s="80" t="s">
        <v>293</v>
      </c>
      <c r="E241" s="95">
        <v>1</v>
      </c>
      <c r="F241" s="143" t="str">
        <f>IF(AND(ISNA(VLOOKUP(D241,A:A,1,FALSE())),ISNA(VLOOKUP(D241,BaseType!A:A,1,FALSE())),D241&lt;&gt;"Struct"),"N","Y")</f>
        <v>Y</v>
      </c>
      <c r="G241" s="91" t="s">
        <v>3747</v>
      </c>
      <c r="H241" s="1"/>
      <c r="I241" s="1"/>
      <c r="J241" s="1"/>
      <c r="K241" s="1"/>
      <c r="L241" s="1"/>
      <c r="M241" s="1"/>
    </row>
    <row r="242" spans="1:13" ht="15" customHeight="1" x14ac:dyDescent="0.2">
      <c r="A242" s="80"/>
      <c r="B242" s="269"/>
      <c r="C242" s="148" t="s">
        <v>3748</v>
      </c>
      <c r="D242" s="80" t="s">
        <v>293</v>
      </c>
      <c r="E242" s="95">
        <v>1</v>
      </c>
      <c r="F242" s="143" t="str">
        <f>IF(AND(ISNA(VLOOKUP(D242,A:A,1,FALSE())),ISNA(VLOOKUP(D242,BaseType!A:A,1,FALSE())),D242&lt;&gt;"Struct"),"N","Y")</f>
        <v>Y</v>
      </c>
      <c r="G242" s="91" t="s">
        <v>3749</v>
      </c>
      <c r="H242" s="1"/>
      <c r="I242" s="1"/>
      <c r="J242" s="1"/>
      <c r="K242" s="1"/>
      <c r="L242" s="1"/>
      <c r="M242" s="1"/>
    </row>
    <row r="243" spans="1:13" ht="15" customHeight="1" x14ac:dyDescent="0.2">
      <c r="A243" s="80"/>
      <c r="B243" s="269"/>
      <c r="C243" s="148" t="s">
        <v>3750</v>
      </c>
      <c r="D243" s="80" t="s">
        <v>193</v>
      </c>
      <c r="E243" s="95">
        <v>1</v>
      </c>
      <c r="F243" s="143" t="str">
        <f>IF(AND(ISNA(VLOOKUP(D243,A:A,1,FALSE())),ISNA(VLOOKUP(D243,BaseType!A:A,1,FALSE())),D243&lt;&gt;"Struct"),"N","Y")</f>
        <v>Y</v>
      </c>
      <c r="G243" s="91" t="s">
        <v>3751</v>
      </c>
      <c r="H243" s="1"/>
      <c r="I243" s="1"/>
      <c r="J243" s="1"/>
      <c r="K243" s="1"/>
      <c r="L243" s="1"/>
      <c r="M243" s="1"/>
    </row>
    <row r="244" spans="1:13" ht="15" customHeight="1" x14ac:dyDescent="0.2">
      <c r="A244" s="80"/>
      <c r="B244" s="269"/>
      <c r="C244" s="148" t="s">
        <v>3752</v>
      </c>
      <c r="D244" s="80" t="s">
        <v>293</v>
      </c>
      <c r="E244" s="95">
        <v>1</v>
      </c>
      <c r="F244" s="143" t="str">
        <f>IF(AND(ISNA(VLOOKUP(D244,A:A,1,FALSE())),ISNA(VLOOKUP(D244,BaseType!A:A,1,FALSE())),D244&lt;&gt;"Struct"),"N","Y")</f>
        <v>Y</v>
      </c>
      <c r="G244" s="91" t="s">
        <v>3753</v>
      </c>
      <c r="H244" s="1"/>
      <c r="I244" s="1"/>
      <c r="J244" s="1"/>
      <c r="K244" s="1"/>
      <c r="L244" s="1"/>
      <c r="M244" s="1"/>
    </row>
    <row r="245" spans="1:13" ht="15" customHeight="1" x14ac:dyDescent="0.2">
      <c r="A245" s="80"/>
      <c r="B245" s="269"/>
      <c r="C245" s="148" t="s">
        <v>3754</v>
      </c>
      <c r="D245" s="80" t="s">
        <v>193</v>
      </c>
      <c r="E245" s="95">
        <v>1</v>
      </c>
      <c r="F245" s="143" t="str">
        <f>IF(AND(ISNA(VLOOKUP(D245,A:A,1,FALSE())),ISNA(VLOOKUP(D245,BaseType!A:A,1,FALSE())),D245&lt;&gt;"Struct"),"N","Y")</f>
        <v>Y</v>
      </c>
      <c r="G245" s="91" t="s">
        <v>3755</v>
      </c>
      <c r="H245" s="1"/>
      <c r="I245" s="1"/>
      <c r="J245" s="1"/>
      <c r="K245" s="1"/>
      <c r="L245" s="1"/>
      <c r="M245" s="1"/>
    </row>
    <row r="246" spans="1:13" ht="15" customHeight="1" x14ac:dyDescent="0.2">
      <c r="A246" s="80"/>
      <c r="B246" s="269"/>
      <c r="C246" s="148" t="s">
        <v>3756</v>
      </c>
      <c r="D246" s="80" t="s">
        <v>193</v>
      </c>
      <c r="E246" s="95">
        <v>1</v>
      </c>
      <c r="F246" s="143" t="str">
        <f>IF(AND(ISNA(VLOOKUP(D246,A:A,1,FALSE())),ISNA(VLOOKUP(D246,BaseType!A:A,1,FALSE())),D246&lt;&gt;"Struct"),"N","Y")</f>
        <v>Y</v>
      </c>
      <c r="G246" s="91" t="s">
        <v>3745</v>
      </c>
      <c r="H246" s="1"/>
      <c r="I246" s="1"/>
      <c r="J246" s="1"/>
      <c r="K246" s="1"/>
      <c r="L246" s="1"/>
      <c r="M246" s="1"/>
    </row>
    <row r="247" spans="1:13" ht="15" customHeight="1" x14ac:dyDescent="0.2">
      <c r="A247" s="80"/>
      <c r="B247" s="269"/>
      <c r="C247" s="148" t="s">
        <v>3757</v>
      </c>
      <c r="D247" s="80" t="s">
        <v>193</v>
      </c>
      <c r="E247" s="95">
        <v>1</v>
      </c>
      <c r="F247" s="143" t="str">
        <f>IF(AND(ISNA(VLOOKUP(D247,A:A,1,FALSE())),ISNA(VLOOKUP(D247,BaseType!A:A,1,FALSE())),D247&lt;&gt;"Struct"),"N","Y")</f>
        <v>Y</v>
      </c>
      <c r="G247" s="91" t="s">
        <v>3745</v>
      </c>
      <c r="H247" s="1"/>
      <c r="I247" s="1"/>
      <c r="J247" s="1"/>
      <c r="K247" s="1"/>
      <c r="L247" s="1"/>
      <c r="M247" s="1"/>
    </row>
    <row r="248" spans="1:13" ht="15" customHeight="1" x14ac:dyDescent="0.2">
      <c r="A248" s="80"/>
      <c r="B248" s="269"/>
      <c r="C248" s="148" t="s">
        <v>3758</v>
      </c>
      <c r="D248" s="80" t="s">
        <v>193</v>
      </c>
      <c r="E248" s="95">
        <v>1</v>
      </c>
      <c r="F248" s="143" t="str">
        <f>IF(AND(ISNA(VLOOKUP(D248,A:A,1,FALSE())),ISNA(VLOOKUP(D248,BaseType!A:A,1,FALSE())),D248&lt;&gt;"Struct"),"N","Y")</f>
        <v>Y</v>
      </c>
      <c r="G248" s="91" t="s">
        <v>3759</v>
      </c>
      <c r="H248" s="1"/>
      <c r="I248" s="1"/>
      <c r="J248" s="1"/>
      <c r="K248" s="1"/>
      <c r="L248" s="1"/>
      <c r="M248" s="1"/>
    </row>
    <row r="249" spans="1:13" ht="15" customHeight="1" x14ac:dyDescent="0.2">
      <c r="A249" s="80"/>
      <c r="B249" s="269"/>
      <c r="C249" s="148" t="s">
        <v>3760</v>
      </c>
      <c r="D249" s="80" t="s">
        <v>293</v>
      </c>
      <c r="E249" s="95">
        <v>1</v>
      </c>
      <c r="F249" s="143" t="str">
        <f>IF(AND(ISNA(VLOOKUP(D249,A:A,1,FALSE())),ISNA(VLOOKUP(D249,BaseType!A:A,1,FALSE())),D249&lt;&gt;"Struct"),"N","Y")</f>
        <v>Y</v>
      </c>
      <c r="G249" s="91" t="s">
        <v>3761</v>
      </c>
      <c r="H249" s="1"/>
      <c r="I249" s="1"/>
      <c r="J249" s="1"/>
      <c r="K249" s="1"/>
      <c r="L249" s="1"/>
      <c r="M249" s="1"/>
    </row>
    <row r="250" spans="1:13" ht="15" customHeight="1" x14ac:dyDescent="0.2">
      <c r="A250" s="80"/>
      <c r="B250" s="269"/>
      <c r="C250" s="148" t="s">
        <v>3762</v>
      </c>
      <c r="D250" s="80" t="s">
        <v>193</v>
      </c>
      <c r="E250" s="95">
        <v>1</v>
      </c>
      <c r="F250" s="143" t="str">
        <f>IF(AND(ISNA(VLOOKUP(D250,A:A,1,FALSE())),ISNA(VLOOKUP(D250,BaseType!A:A,1,FALSE())),D250&lt;&gt;"Struct"),"N","Y")</f>
        <v>Y</v>
      </c>
      <c r="G250" s="91" t="s">
        <v>3745</v>
      </c>
      <c r="H250" s="1"/>
      <c r="I250" s="1"/>
      <c r="J250" s="1"/>
      <c r="K250" s="1"/>
      <c r="L250" s="1"/>
      <c r="M250" s="1"/>
    </row>
    <row r="251" spans="1:13" ht="15" customHeight="1" x14ac:dyDescent="0.2">
      <c r="A251" s="80"/>
      <c r="B251" s="269"/>
      <c r="C251" s="148" t="s">
        <v>3763</v>
      </c>
      <c r="D251" s="80" t="s">
        <v>193</v>
      </c>
      <c r="E251" s="95">
        <v>1</v>
      </c>
      <c r="F251" s="143" t="str">
        <f>IF(AND(ISNA(VLOOKUP(D251,A:A,1,FALSE())),ISNA(VLOOKUP(D251,BaseType!A:A,1,FALSE())),D251&lt;&gt;"Struct"),"N","Y")</f>
        <v>Y</v>
      </c>
      <c r="G251" s="91" t="s">
        <v>3764</v>
      </c>
      <c r="H251" s="1"/>
      <c r="I251" s="1"/>
      <c r="J251" s="1"/>
      <c r="K251" s="1"/>
      <c r="L251" s="1"/>
      <c r="M251" s="1"/>
    </row>
    <row r="252" spans="1:13" ht="15" customHeight="1" x14ac:dyDescent="0.2">
      <c r="A252" s="80"/>
      <c r="B252" s="269"/>
      <c r="C252" s="148" t="s">
        <v>3765</v>
      </c>
      <c r="D252" s="80" t="s">
        <v>193</v>
      </c>
      <c r="E252" s="95">
        <v>1</v>
      </c>
      <c r="F252" s="143" t="str">
        <f>IF(AND(ISNA(VLOOKUP(D252,A:A,1,FALSE())),ISNA(VLOOKUP(D252,BaseType!A:A,1,FALSE())),D252&lt;&gt;"Struct"),"N","Y")</f>
        <v>Y</v>
      </c>
      <c r="G252" s="91" t="s">
        <v>3764</v>
      </c>
      <c r="H252" s="1"/>
      <c r="I252" s="1"/>
      <c r="J252" s="1"/>
      <c r="K252" s="1"/>
      <c r="L252" s="1"/>
      <c r="M252" s="1"/>
    </row>
    <row r="253" spans="1:13" ht="15" customHeight="1" x14ac:dyDescent="0.2">
      <c r="A253" s="80" t="s">
        <v>3245</v>
      </c>
      <c r="B253" s="144" t="str">
        <f>IF(ISBLANK(A253),"",IF(AND(ISNA(VLOOKUP(A253,Interface_E01!E:E,1,FALSE())),ISNA(VLOOKUP(A253,D:D,1,FALSE()))),"N","Y"))</f>
        <v>Y</v>
      </c>
      <c r="C253" s="148"/>
      <c r="D253" s="274" t="s">
        <v>484</v>
      </c>
      <c r="E253" s="95"/>
      <c r="F253" s="143" t="str">
        <f>IF(AND(ISNA(VLOOKUP(D253,A:A,1,FALSE())),ISNA(VLOOKUP(D253,BaseType!A:A,1,FALSE())),D253&lt;&gt;"Struct"),"N","Y")</f>
        <v>Y</v>
      </c>
      <c r="G253" s="91"/>
      <c r="H253" s="1"/>
      <c r="I253" s="1"/>
      <c r="J253" s="1"/>
      <c r="K253" s="1"/>
      <c r="L253" s="1"/>
      <c r="M253" s="1"/>
    </row>
    <row r="254" spans="1:13" ht="15" customHeight="1" x14ac:dyDescent="0.2">
      <c r="A254" s="80"/>
      <c r="B254" s="158"/>
      <c r="C254" s="148" t="s">
        <v>3766</v>
      </c>
      <c r="D254" s="80" t="s">
        <v>193</v>
      </c>
      <c r="E254" s="95">
        <v>1</v>
      </c>
      <c r="F254" s="143" t="str">
        <f>IF(AND(ISNA(VLOOKUP(D254,A:A,1,FALSE())),ISNA(VLOOKUP(D254,BaseType!A:A,1,FALSE())),D254&lt;&gt;"Struct"),"N","Y")</f>
        <v>Y</v>
      </c>
      <c r="G254" s="91" t="s">
        <v>3767</v>
      </c>
      <c r="H254" s="1"/>
      <c r="I254" s="1"/>
      <c r="J254" s="1"/>
      <c r="K254" s="1"/>
      <c r="L254" s="1"/>
      <c r="M254" s="1"/>
    </row>
    <row r="255" spans="1:13" ht="15" customHeight="1" x14ac:dyDescent="0.2">
      <c r="A255" s="80"/>
      <c r="B255" s="158"/>
      <c r="C255" s="148" t="s">
        <v>3768</v>
      </c>
      <c r="D255" s="80" t="s">
        <v>193</v>
      </c>
      <c r="E255" s="95">
        <v>1</v>
      </c>
      <c r="F255" s="143" t="str">
        <f>IF(AND(ISNA(VLOOKUP(D255,A:A,1,FALSE())),ISNA(VLOOKUP(D255,BaseType!A:A,1,FALSE())),D255&lt;&gt;"Struct"),"N","Y")</f>
        <v>Y</v>
      </c>
      <c r="G255" s="91" t="s">
        <v>3769</v>
      </c>
      <c r="H255" s="1"/>
      <c r="I255" s="1"/>
      <c r="J255" s="1"/>
      <c r="K255" s="1"/>
      <c r="L255" s="1"/>
      <c r="M255" s="1"/>
    </row>
    <row r="256" spans="1:13" ht="15" customHeight="1" x14ac:dyDescent="0.2">
      <c r="A256" s="80"/>
      <c r="B256" s="158"/>
      <c r="C256" s="148" t="s">
        <v>3770</v>
      </c>
      <c r="D256" s="80" t="s">
        <v>764</v>
      </c>
      <c r="E256" s="95">
        <v>1</v>
      </c>
      <c r="F256" s="143" t="str">
        <f>IF(AND(ISNA(VLOOKUP(D256,A:A,1,FALSE())),ISNA(VLOOKUP(D256,BaseType!A:A,1,FALSE())),D256&lt;&gt;"Struct"),"N","Y")</f>
        <v>Y</v>
      </c>
      <c r="G256" s="91" t="s">
        <v>3771</v>
      </c>
      <c r="H256" s="1"/>
      <c r="I256" s="1"/>
      <c r="J256" s="1"/>
      <c r="K256" s="1"/>
      <c r="L256" s="1"/>
      <c r="M256" s="1"/>
    </row>
    <row r="257" spans="1:20" ht="15" customHeight="1" x14ac:dyDescent="0.2">
      <c r="A257" s="80"/>
      <c r="B257" s="158"/>
      <c r="C257" s="148" t="s">
        <v>3772</v>
      </c>
      <c r="D257" s="80" t="s">
        <v>764</v>
      </c>
      <c r="E257" s="95">
        <v>1</v>
      </c>
      <c r="F257" s="143" t="str">
        <f>IF(AND(ISNA(VLOOKUP(D257,A:A,1,FALSE())),ISNA(VLOOKUP(D257,BaseType!A:A,1,FALSE())),D257&lt;&gt;"Struct"),"N","Y")</f>
        <v>Y</v>
      </c>
      <c r="G257" s="91" t="s">
        <v>3773</v>
      </c>
      <c r="H257" s="1"/>
      <c r="I257" s="1"/>
      <c r="J257" s="1"/>
      <c r="K257" s="1"/>
      <c r="L257" s="1"/>
      <c r="M257" s="1"/>
    </row>
    <row r="258" spans="1:20" ht="15" customHeight="1" x14ac:dyDescent="0.2">
      <c r="A258" s="80"/>
      <c r="B258" s="158"/>
      <c r="C258" s="148" t="s">
        <v>3774</v>
      </c>
      <c r="D258" s="80" t="s">
        <v>193</v>
      </c>
      <c r="E258" s="95">
        <v>1</v>
      </c>
      <c r="F258" s="143" t="str">
        <f>IF(AND(ISNA(VLOOKUP(D258,A:A,1,FALSE())),ISNA(VLOOKUP(D258,BaseType!A:A,1,FALSE())),D258&lt;&gt;"Struct"),"N","Y")</f>
        <v>Y</v>
      </c>
      <c r="G258" s="91" t="s">
        <v>3775</v>
      </c>
      <c r="H258" s="1"/>
      <c r="I258" s="1"/>
      <c r="J258" s="1"/>
      <c r="K258" s="1"/>
      <c r="L258" s="1"/>
      <c r="M258" s="1"/>
    </row>
    <row r="259" spans="1:20" ht="15" customHeight="1" x14ac:dyDescent="0.2">
      <c r="A259" s="80"/>
      <c r="B259" s="158"/>
      <c r="C259" s="148" t="s">
        <v>3776</v>
      </c>
      <c r="D259" s="80" t="s">
        <v>193</v>
      </c>
      <c r="E259" s="95">
        <v>1</v>
      </c>
      <c r="F259" s="143" t="str">
        <f>IF(AND(ISNA(VLOOKUP(D259,A:A,1,FALSE())),ISNA(VLOOKUP(D259,BaseType!A:A,1,FALSE())),D259&lt;&gt;"Struct"),"N","Y")</f>
        <v>Y</v>
      </c>
      <c r="G259" s="91" t="s">
        <v>3777</v>
      </c>
      <c r="H259" s="1"/>
      <c r="I259" s="1"/>
      <c r="J259" s="1"/>
      <c r="K259" s="1"/>
      <c r="L259" s="1"/>
      <c r="M259" s="1"/>
    </row>
    <row r="260" spans="1:20" ht="15" customHeight="1" x14ac:dyDescent="0.2">
      <c r="A260" s="80"/>
      <c r="B260" s="158"/>
      <c r="C260" s="148" t="s">
        <v>3778</v>
      </c>
      <c r="D260" s="80" t="s">
        <v>298</v>
      </c>
      <c r="E260" s="95">
        <v>1</v>
      </c>
      <c r="F260" s="143" t="str">
        <f>IF(AND(ISNA(VLOOKUP(D260,A:A,1,FALSE())),ISNA(VLOOKUP(D260,BaseType!A:A,1,FALSE())),D260&lt;&gt;"Struct"),"N","Y")</f>
        <v>Y</v>
      </c>
      <c r="G260" s="91" t="s">
        <v>3779</v>
      </c>
      <c r="H260" s="1"/>
      <c r="I260" s="1"/>
      <c r="J260" s="1"/>
      <c r="K260" s="1"/>
      <c r="L260" s="1"/>
      <c r="M260" s="1"/>
    </row>
    <row r="261" spans="1:20" ht="15" customHeight="1" x14ac:dyDescent="0.2">
      <c r="A261" s="80"/>
      <c r="B261" s="158"/>
      <c r="C261" s="148" t="s">
        <v>3780</v>
      </c>
      <c r="D261" s="80" t="s">
        <v>298</v>
      </c>
      <c r="E261" s="95">
        <v>1</v>
      </c>
      <c r="F261" s="143" t="str">
        <f>IF(AND(ISNA(VLOOKUP(D261,A:A,1,FALSE())),ISNA(VLOOKUP(D261,BaseType!A:A,1,FALSE())),D261&lt;&gt;"Struct"),"N","Y")</f>
        <v>Y</v>
      </c>
      <c r="G261" s="91" t="s">
        <v>3781</v>
      </c>
      <c r="H261" s="1"/>
      <c r="I261" s="1"/>
      <c r="J261" s="1"/>
      <c r="K261" s="1"/>
      <c r="L261" s="1"/>
      <c r="M261" s="1"/>
    </row>
    <row r="262" spans="1:20" ht="15" customHeight="1" x14ac:dyDescent="0.2">
      <c r="A262" s="80"/>
      <c r="B262" s="158"/>
      <c r="C262" s="148" t="s">
        <v>3782</v>
      </c>
      <c r="D262" s="80" t="s">
        <v>298</v>
      </c>
      <c r="E262" s="95">
        <v>1</v>
      </c>
      <c r="F262" s="143" t="str">
        <f>IF(AND(ISNA(VLOOKUP(D262,A:A,1,FALSE())),ISNA(VLOOKUP(D262,BaseType!A:A,1,FALSE())),D262&lt;&gt;"Struct"),"N","Y")</f>
        <v>Y</v>
      </c>
      <c r="G262" s="91" t="s">
        <v>3783</v>
      </c>
      <c r="H262" s="1"/>
      <c r="I262" s="1"/>
      <c r="J262" s="1"/>
      <c r="K262" s="1"/>
      <c r="L262" s="1"/>
      <c r="M262" s="1"/>
    </row>
    <row r="263" spans="1:20" ht="15" customHeight="1" x14ac:dyDescent="0.2">
      <c r="A263" s="80"/>
      <c r="B263" s="158"/>
      <c r="C263" s="148" t="s">
        <v>3784</v>
      </c>
      <c r="D263" s="80" t="s">
        <v>298</v>
      </c>
      <c r="E263" s="95">
        <v>1</v>
      </c>
      <c r="F263" s="143" t="str">
        <f>IF(AND(ISNA(VLOOKUP(D263,A:A,1,FALSE())),ISNA(VLOOKUP(D263,BaseType!A:A,1,FALSE())),D263&lt;&gt;"Struct"),"N","Y")</f>
        <v>Y</v>
      </c>
      <c r="G263" s="91" t="s">
        <v>3785</v>
      </c>
      <c r="H263" s="1"/>
      <c r="I263" s="1"/>
      <c r="J263" s="1"/>
      <c r="K263" s="1"/>
      <c r="L263" s="1"/>
      <c r="M263" s="1"/>
    </row>
    <row r="264" spans="1:20" ht="15" customHeight="1" x14ac:dyDescent="0.2">
      <c r="A264" s="80"/>
      <c r="B264" s="158"/>
      <c r="C264" s="148" t="s">
        <v>3786</v>
      </c>
      <c r="D264" s="80" t="s">
        <v>298</v>
      </c>
      <c r="E264" s="95">
        <v>1</v>
      </c>
      <c r="F264" s="143" t="str">
        <f>IF(AND(ISNA(VLOOKUP(D264,A:A,1,FALSE())),ISNA(VLOOKUP(D264,BaseType!A:A,1,FALSE())),D264&lt;&gt;"Struct"),"N","Y")</f>
        <v>Y</v>
      </c>
      <c r="G264" s="91" t="s">
        <v>1860</v>
      </c>
      <c r="H264" s="1"/>
      <c r="I264" s="1"/>
      <c r="J264" s="1"/>
      <c r="K264" s="1"/>
      <c r="L264" s="1"/>
      <c r="M264" s="1"/>
    </row>
    <row r="265" spans="1:20" ht="15" customHeight="1" x14ac:dyDescent="0.2">
      <c r="A265" s="80" t="s">
        <v>3248</v>
      </c>
      <c r="B265" s="158" t="str">
        <f>IF(ISBLANK(A265),"",IF(AND(ISNA(VLOOKUP(A265,Interface_E01!E:E,1,FALSE())),ISNA(VLOOKUP(A265,D:D,1,FALSE()))),"N","Y"))</f>
        <v>Y</v>
      </c>
      <c r="C265" s="148"/>
      <c r="D265" s="80" t="s">
        <v>484</v>
      </c>
      <c r="E265" s="95"/>
      <c r="F265" s="143" t="str">
        <f>IF(AND(ISNA(VLOOKUP(D265,A:A,1,FALSE())),ISNA(VLOOKUP(D265,BaseType!A:A,1,FALSE())),D265&lt;&gt;"Struct"),"N","Y")</f>
        <v>Y</v>
      </c>
      <c r="G265" s="91"/>
    </row>
    <row r="266" spans="1:20" ht="15" customHeight="1" x14ac:dyDescent="0.2">
      <c r="A266" s="80"/>
      <c r="B266" s="158"/>
      <c r="C266" s="148" t="s">
        <v>3787</v>
      </c>
      <c r="D266" s="227" t="s">
        <v>3788</v>
      </c>
      <c r="E266" s="95">
        <v>1</v>
      </c>
      <c r="F266" s="143" t="str">
        <f>IF(AND(ISNA(VLOOKUP(D266,A:A,1,FALSE())),ISNA(VLOOKUP(D266,BaseType!A:A,1,FALSE())),D266&lt;&gt;"Struct"),"N","Y")</f>
        <v>Y</v>
      </c>
      <c r="G266" s="258" t="s">
        <v>3789</v>
      </c>
    </row>
    <row r="267" spans="1:20" ht="15" customHeight="1" x14ac:dyDescent="0.2">
      <c r="A267" s="80"/>
      <c r="B267" s="158"/>
      <c r="C267" s="148" t="s">
        <v>3790</v>
      </c>
      <c r="D267" s="227" t="s">
        <v>3791</v>
      </c>
      <c r="E267" s="95">
        <v>1</v>
      </c>
      <c r="F267" s="143" t="str">
        <f>IF(AND(ISNA(VLOOKUP(D267,A:A,1,FALSE())),ISNA(VLOOKUP(D267,BaseType!A:A,1,FALSE())),D267&lt;&gt;"Struct"),"N","Y")</f>
        <v>Y</v>
      </c>
      <c r="G267" s="258" t="s">
        <v>3789</v>
      </c>
    </row>
    <row r="268" spans="1:20" ht="15" customHeight="1" x14ac:dyDescent="0.2">
      <c r="A268" s="157" t="s">
        <v>3788</v>
      </c>
      <c r="B268" s="235" t="str">
        <f>IF(ISBLANK(A268),"",IF(AND(ISNA(VLOOKUP(A268,Interface_E01!E:E,1,FALSE())),ISNA(VLOOKUP(A268,D:D,1,FALSE()))),"N","Y"))</f>
        <v>Y</v>
      </c>
      <c r="C268" s="156"/>
      <c r="D268" s="157" t="s">
        <v>484</v>
      </c>
      <c r="E268" s="157"/>
      <c r="F268" s="235" t="str">
        <f>IF(AND(ISNA(VLOOKUP(D268,A:A,1,FALSE())),ISNA(VLOOKUP(D268,BaseType!A:A,1,FALSE())),D268&lt;&gt;"Struct"),"N","Y")</f>
        <v>Y</v>
      </c>
      <c r="G268" s="157"/>
      <c r="H268" s="35"/>
      <c r="I268" s="35"/>
      <c r="J268" s="35"/>
      <c r="K268" s="35"/>
      <c r="L268" s="35"/>
      <c r="M268" s="35"/>
      <c r="N268" s="35"/>
      <c r="O268" s="35"/>
      <c r="P268" s="35"/>
      <c r="Q268" s="35"/>
      <c r="R268" s="35"/>
      <c r="S268" s="35"/>
      <c r="T268" s="35"/>
    </row>
    <row r="269" spans="1:20" ht="15" customHeight="1" x14ac:dyDescent="0.2">
      <c r="A269" s="157"/>
      <c r="B269" s="235" t="str">
        <f>IF(ISBLANK(A269),"",IF(AND(ISNA(VLOOKUP(A269,Interface_E01!E:E,1,FALSE())),ISNA(VLOOKUP(A269,D:D,1,FALSE()))),"N","Y"))</f>
        <v/>
      </c>
      <c r="C269" s="156" t="s">
        <v>3792</v>
      </c>
      <c r="D269" s="157" t="s">
        <v>193</v>
      </c>
      <c r="E269" s="157">
        <v>1</v>
      </c>
      <c r="F269" s="235" t="str">
        <f>IF(AND(ISNA(VLOOKUP(D269,A:A,1,FALSE())),ISNA(VLOOKUP(D269,BaseType!A:A,1,FALSE())),D269&lt;&gt;"Struct"),"N","Y")</f>
        <v>Y</v>
      </c>
      <c r="G269" s="157" t="s">
        <v>3793</v>
      </c>
      <c r="H269" s="35"/>
      <c r="I269" s="35"/>
      <c r="J269" s="35"/>
      <c r="K269" s="35"/>
      <c r="L269" s="35"/>
      <c r="M269" s="35"/>
      <c r="N269" s="35"/>
      <c r="O269" s="35"/>
      <c r="P269" s="35"/>
      <c r="Q269" s="35"/>
      <c r="R269" s="35"/>
      <c r="S269" s="35"/>
      <c r="T269" s="35"/>
    </row>
    <row r="270" spans="1:20" ht="15" customHeight="1" x14ac:dyDescent="0.2">
      <c r="A270" s="157"/>
      <c r="B270" s="235" t="str">
        <f>IF(ISBLANK(A270),"",IF(AND(ISNA(VLOOKUP(A270,Interface_E01!E:E,1,FALSE())),ISNA(VLOOKUP(A270,D:D,1,FALSE()))),"N","Y"))</f>
        <v/>
      </c>
      <c r="C270" s="156" t="s">
        <v>3794</v>
      </c>
      <c r="D270" s="157" t="s">
        <v>193</v>
      </c>
      <c r="E270" s="157">
        <v>1</v>
      </c>
      <c r="F270" s="235" t="str">
        <f>IF(AND(ISNA(VLOOKUP(D270,A:A,1,FALSE())),ISNA(VLOOKUP(D270,BaseType!A:A,1,FALSE())),D270&lt;&gt;"Struct"),"N","Y")</f>
        <v>Y</v>
      </c>
      <c r="G270" s="157" t="s">
        <v>3795</v>
      </c>
      <c r="H270" s="35"/>
      <c r="I270" s="35"/>
      <c r="J270" s="35"/>
      <c r="K270" s="35"/>
      <c r="L270" s="35"/>
      <c r="M270" s="35"/>
      <c r="N270" s="35"/>
      <c r="O270" s="35"/>
      <c r="P270" s="35"/>
      <c r="Q270" s="35"/>
      <c r="R270" s="35"/>
      <c r="S270" s="35"/>
      <c r="T270" s="35"/>
    </row>
    <row r="271" spans="1:20" ht="15" customHeight="1" x14ac:dyDescent="0.2">
      <c r="A271" s="157"/>
      <c r="B271" s="235" t="str">
        <f>IF(ISBLANK(A271),"",IF(AND(ISNA(VLOOKUP(A271,Interface_E01!E:E,1,FALSE())),ISNA(VLOOKUP(A271,D:D,1,FALSE()))),"N","Y"))</f>
        <v/>
      </c>
      <c r="C271" s="156" t="s">
        <v>3796</v>
      </c>
      <c r="D271" s="157" t="s">
        <v>193</v>
      </c>
      <c r="E271" s="157">
        <v>1</v>
      </c>
      <c r="F271" s="235" t="str">
        <f>IF(AND(ISNA(VLOOKUP(D271,A:A,1,FALSE())),ISNA(VLOOKUP(D271,BaseType!A:A,1,FALSE())),D271&lt;&gt;"Struct"),"N","Y")</f>
        <v>Y</v>
      </c>
      <c r="G271" s="157" t="s">
        <v>3797</v>
      </c>
      <c r="H271" s="35"/>
      <c r="I271" s="35"/>
      <c r="J271" s="35"/>
      <c r="K271" s="35"/>
      <c r="L271" s="35"/>
      <c r="M271" s="35"/>
      <c r="N271" s="35"/>
      <c r="O271" s="35"/>
      <c r="P271" s="35"/>
      <c r="Q271" s="35"/>
      <c r="R271" s="35"/>
      <c r="S271" s="35"/>
      <c r="T271" s="35"/>
    </row>
    <row r="272" spans="1:20" ht="15" customHeight="1" x14ac:dyDescent="0.2">
      <c r="A272" s="157"/>
      <c r="B272" s="235" t="str">
        <f>IF(ISBLANK(A272),"",IF(AND(ISNA(VLOOKUP(A272,Interface_E01!E:E,1,FALSE())),ISNA(VLOOKUP(A272,D:D,1,FALSE()))),"N","Y"))</f>
        <v/>
      </c>
      <c r="C272" s="156" t="s">
        <v>3798</v>
      </c>
      <c r="D272" s="157" t="s">
        <v>193</v>
      </c>
      <c r="E272" s="157">
        <v>1</v>
      </c>
      <c r="F272" s="235" t="str">
        <f>IF(AND(ISNA(VLOOKUP(D272,A:A,1,FALSE())),ISNA(VLOOKUP(D272,BaseType!A:A,1,FALSE())),D272&lt;&gt;"Struct"),"N","Y")</f>
        <v>Y</v>
      </c>
      <c r="G272" s="157" t="s">
        <v>3799</v>
      </c>
      <c r="H272" s="35"/>
      <c r="I272" s="35"/>
      <c r="J272" s="35"/>
      <c r="K272" s="35"/>
      <c r="L272" s="35"/>
      <c r="M272" s="35"/>
      <c r="N272" s="35"/>
      <c r="O272" s="35"/>
      <c r="P272" s="35"/>
      <c r="Q272" s="35"/>
      <c r="R272" s="35"/>
      <c r="S272" s="35"/>
      <c r="T272" s="35"/>
    </row>
    <row r="273" spans="1:20" ht="15" customHeight="1" x14ac:dyDescent="0.2">
      <c r="A273" s="157"/>
      <c r="B273" s="235" t="str">
        <f>IF(ISBLANK(A273),"",IF(AND(ISNA(VLOOKUP(A273,Interface_E01!E:E,1,FALSE())),ISNA(VLOOKUP(A273,D:D,1,FALSE()))),"N","Y"))</f>
        <v/>
      </c>
      <c r="C273" s="156" t="s">
        <v>3800</v>
      </c>
      <c r="D273" s="157" t="s">
        <v>918</v>
      </c>
      <c r="E273" s="157">
        <v>1</v>
      </c>
      <c r="F273" s="235" t="str">
        <f>IF(AND(ISNA(VLOOKUP(D273,A:A,1,FALSE())),ISNA(VLOOKUP(D273,BaseType!A:A,1,FALSE())),D273&lt;&gt;"Struct"),"N","Y")</f>
        <v>Y</v>
      </c>
      <c r="G273" s="157" t="s">
        <v>3801</v>
      </c>
      <c r="H273" s="35"/>
      <c r="I273" s="35"/>
      <c r="J273" s="35"/>
      <c r="K273" s="35"/>
      <c r="L273" s="35"/>
      <c r="M273" s="35"/>
      <c r="N273" s="35"/>
      <c r="O273" s="35"/>
      <c r="P273" s="35"/>
      <c r="Q273" s="35"/>
      <c r="R273" s="35"/>
      <c r="S273" s="35"/>
      <c r="T273" s="35"/>
    </row>
    <row r="274" spans="1:20" ht="15" customHeight="1" x14ac:dyDescent="0.2">
      <c r="A274" s="157"/>
      <c r="B274" s="235" t="str">
        <f>IF(ISBLANK(A274),"",IF(AND(ISNA(VLOOKUP(A274,Interface_E01!E:E,1,FALSE())),ISNA(VLOOKUP(A274,D:D,1,FALSE()))),"N","Y"))</f>
        <v/>
      </c>
      <c r="C274" s="156" t="s">
        <v>3802</v>
      </c>
      <c r="D274" s="157" t="s">
        <v>918</v>
      </c>
      <c r="E274" s="157">
        <v>1</v>
      </c>
      <c r="F274" s="235" t="str">
        <f>IF(AND(ISNA(VLOOKUP(D274,A:A,1,FALSE())),ISNA(VLOOKUP(D274,BaseType!A:A,1,FALSE())),D274&lt;&gt;"Struct"),"N","Y")</f>
        <v>Y</v>
      </c>
      <c r="G274" s="157" t="s">
        <v>3803</v>
      </c>
      <c r="H274" s="35"/>
      <c r="I274" s="35"/>
      <c r="J274" s="35"/>
      <c r="K274" s="35"/>
      <c r="L274" s="35"/>
      <c r="M274" s="35"/>
      <c r="N274" s="35"/>
      <c r="O274" s="35"/>
      <c r="P274" s="35"/>
      <c r="Q274" s="35"/>
      <c r="R274" s="35"/>
      <c r="S274" s="35"/>
      <c r="T274" s="35"/>
    </row>
    <row r="275" spans="1:20" ht="15" customHeight="1" x14ac:dyDescent="0.2">
      <c r="A275" s="157"/>
      <c r="B275" s="235" t="str">
        <f>IF(ISBLANK(A275),"",IF(AND(ISNA(VLOOKUP(A275,Interface_E01!E:E,1,FALSE())),ISNA(VLOOKUP(A275,D:D,1,FALSE()))),"N","Y"))</f>
        <v/>
      </c>
      <c r="C275" s="156" t="s">
        <v>3804</v>
      </c>
      <c r="D275" s="157" t="s">
        <v>193</v>
      </c>
      <c r="E275" s="157">
        <v>1</v>
      </c>
      <c r="F275" s="235" t="str">
        <f>IF(AND(ISNA(VLOOKUP(D275,A:A,1,FALSE())),ISNA(VLOOKUP(D275,BaseType!A:A,1,FALSE())),D275&lt;&gt;"Struct"),"N","Y")</f>
        <v>Y</v>
      </c>
      <c r="G275" s="157" t="s">
        <v>3805</v>
      </c>
      <c r="H275" s="35"/>
      <c r="I275" s="35"/>
      <c r="J275" s="35"/>
      <c r="K275" s="35"/>
      <c r="L275" s="35"/>
      <c r="M275" s="35"/>
      <c r="N275" s="35"/>
      <c r="O275" s="35"/>
      <c r="P275" s="35"/>
      <c r="Q275" s="35"/>
      <c r="R275" s="35"/>
      <c r="S275" s="35"/>
      <c r="T275" s="35"/>
    </row>
    <row r="276" spans="1:20" ht="15" customHeight="1" x14ac:dyDescent="0.2">
      <c r="A276" s="157"/>
      <c r="B276" s="235" t="str">
        <f>IF(ISBLANK(A276),"",IF(AND(ISNA(VLOOKUP(A276,Interface_E01!E:E,1,FALSE())),ISNA(VLOOKUP(A276,D:D,1,FALSE()))),"N","Y"))</f>
        <v/>
      </c>
      <c r="C276" s="156" t="s">
        <v>3806</v>
      </c>
      <c r="D276" s="157" t="s">
        <v>193</v>
      </c>
      <c r="E276" s="157">
        <v>1</v>
      </c>
      <c r="F276" s="235" t="str">
        <f>IF(AND(ISNA(VLOOKUP(D276,A:A,1,FALSE())),ISNA(VLOOKUP(D276,BaseType!A:A,1,FALSE())),D276&lt;&gt;"Struct"),"N","Y")</f>
        <v>Y</v>
      </c>
      <c r="G276" s="157" t="s">
        <v>3807</v>
      </c>
      <c r="H276" s="35"/>
      <c r="I276" s="35"/>
      <c r="J276" s="35"/>
      <c r="K276" s="35"/>
      <c r="L276" s="35"/>
      <c r="M276" s="35"/>
      <c r="N276" s="35"/>
      <c r="O276" s="35"/>
      <c r="P276" s="35"/>
      <c r="Q276" s="35"/>
      <c r="R276" s="35"/>
      <c r="S276" s="35"/>
      <c r="T276" s="35"/>
    </row>
    <row r="277" spans="1:20" ht="15" customHeight="1" x14ac:dyDescent="0.2">
      <c r="A277" s="157"/>
      <c r="B277" s="235" t="str">
        <f>IF(ISBLANK(A277),"",IF(AND(ISNA(VLOOKUP(A277,Interface_E01!E:E,1,FALSE())),ISNA(VLOOKUP(A277,D:D,1,FALSE()))),"N","Y"))</f>
        <v/>
      </c>
      <c r="C277" s="156" t="s">
        <v>3808</v>
      </c>
      <c r="D277" s="157" t="s">
        <v>918</v>
      </c>
      <c r="E277" s="157">
        <v>1</v>
      </c>
      <c r="F277" s="235" t="str">
        <f>IF(AND(ISNA(VLOOKUP(D277,A:A,1,FALSE())),ISNA(VLOOKUP(D277,BaseType!A:A,1,FALSE())),D277&lt;&gt;"Struct"),"N","Y")</f>
        <v>Y</v>
      </c>
      <c r="G277" s="157" t="s">
        <v>3809</v>
      </c>
      <c r="H277" s="35"/>
      <c r="I277" s="35"/>
      <c r="J277" s="35"/>
      <c r="K277" s="35"/>
      <c r="L277" s="35"/>
      <c r="M277" s="35"/>
      <c r="N277" s="35"/>
      <c r="O277" s="35"/>
      <c r="P277" s="35"/>
      <c r="Q277" s="35"/>
      <c r="R277" s="35"/>
      <c r="S277" s="35"/>
      <c r="T277" s="35"/>
    </row>
    <row r="278" spans="1:20" ht="15" customHeight="1" x14ac:dyDescent="0.2">
      <c r="A278" s="157"/>
      <c r="B278" s="235" t="str">
        <f>IF(ISBLANK(A278),"",IF(AND(ISNA(VLOOKUP(A278,Interface_E01!E:E,1,FALSE())),ISNA(VLOOKUP(A278,D:D,1,FALSE()))),"N","Y"))</f>
        <v/>
      </c>
      <c r="C278" s="156" t="s">
        <v>3810</v>
      </c>
      <c r="D278" s="157" t="s">
        <v>193</v>
      </c>
      <c r="E278" s="157">
        <v>1</v>
      </c>
      <c r="F278" s="235" t="str">
        <f>IF(AND(ISNA(VLOOKUP(D278,A:A,1,FALSE())),ISNA(VLOOKUP(D278,BaseType!A:A,1,FALSE())),D278&lt;&gt;"Struct"),"N","Y")</f>
        <v>Y</v>
      </c>
      <c r="G278" s="157" t="s">
        <v>3811</v>
      </c>
      <c r="H278" s="35"/>
      <c r="I278" s="35"/>
      <c r="J278" s="35"/>
      <c r="K278" s="35"/>
      <c r="L278" s="35"/>
      <c r="M278" s="35"/>
      <c r="N278" s="35"/>
      <c r="O278" s="35"/>
      <c r="P278" s="35"/>
      <c r="Q278" s="35"/>
      <c r="R278" s="35"/>
      <c r="S278" s="35"/>
      <c r="T278" s="35"/>
    </row>
    <row r="279" spans="1:20" ht="15" customHeight="1" x14ac:dyDescent="0.2">
      <c r="A279" s="157"/>
      <c r="B279" s="235" t="str">
        <f>IF(ISBLANK(A279),"",IF(AND(ISNA(VLOOKUP(A279,Interface_E01!E:E,1,FALSE())),ISNA(VLOOKUP(A279,D:D,1,FALSE()))),"N","Y"))</f>
        <v/>
      </c>
      <c r="C279" s="156" t="s">
        <v>3812</v>
      </c>
      <c r="D279" s="157" t="s">
        <v>193</v>
      </c>
      <c r="E279" s="157">
        <v>1</v>
      </c>
      <c r="F279" s="235" t="str">
        <f>IF(AND(ISNA(VLOOKUP(D279,A:A,1,FALSE())),ISNA(VLOOKUP(D279,BaseType!A:A,1,FALSE())),D279&lt;&gt;"Struct"),"N","Y")</f>
        <v>Y</v>
      </c>
      <c r="G279" s="157" t="s">
        <v>3813</v>
      </c>
      <c r="H279" s="35"/>
      <c r="I279" s="35"/>
      <c r="J279" s="35"/>
      <c r="K279" s="35"/>
      <c r="L279" s="35"/>
      <c r="M279" s="35"/>
      <c r="N279" s="35"/>
      <c r="O279" s="35"/>
      <c r="P279" s="35"/>
      <c r="Q279" s="35"/>
      <c r="R279" s="35"/>
      <c r="S279" s="35"/>
      <c r="T279" s="35"/>
    </row>
    <row r="280" spans="1:20" ht="15" customHeight="1" x14ac:dyDescent="0.2">
      <c r="A280" s="157"/>
      <c r="B280" s="235" t="str">
        <f>IF(ISBLANK(A280),"",IF(AND(ISNA(VLOOKUP(A280,Interface_E01!E:E,1,FALSE())),ISNA(VLOOKUP(A280,D:D,1,FALSE()))),"N","Y"))</f>
        <v/>
      </c>
      <c r="C280" s="156" t="s">
        <v>3814</v>
      </c>
      <c r="D280" s="157" t="s">
        <v>193</v>
      </c>
      <c r="E280" s="157">
        <v>1</v>
      </c>
      <c r="F280" s="235" t="str">
        <f>IF(AND(ISNA(VLOOKUP(D280,A:A,1,FALSE())),ISNA(VLOOKUP(D280,BaseType!A:A,1,FALSE())),D280&lt;&gt;"Struct"),"N","Y")</f>
        <v>Y</v>
      </c>
      <c r="G280" s="157" t="s">
        <v>3815</v>
      </c>
      <c r="H280" s="35"/>
      <c r="I280" s="35"/>
      <c r="J280" s="35"/>
      <c r="K280" s="35"/>
      <c r="L280" s="35"/>
      <c r="M280" s="35"/>
      <c r="N280" s="35"/>
      <c r="O280" s="35"/>
      <c r="P280" s="35"/>
      <c r="Q280" s="35"/>
      <c r="R280" s="35"/>
      <c r="S280" s="35"/>
      <c r="T280" s="35"/>
    </row>
    <row r="281" spans="1:20" ht="15" customHeight="1" x14ac:dyDescent="0.2">
      <c r="A281" s="157"/>
      <c r="B281" s="235" t="str">
        <f>IF(ISBLANK(A281),"",IF(AND(ISNA(VLOOKUP(A281,Interface_E01!E:E,1,FALSE())),ISNA(VLOOKUP(A281,D:D,1,FALSE()))),"N","Y"))</f>
        <v/>
      </c>
      <c r="C281" s="156" t="s">
        <v>3816</v>
      </c>
      <c r="D281" s="157" t="s">
        <v>193</v>
      </c>
      <c r="E281" s="157">
        <v>1</v>
      </c>
      <c r="F281" s="235" t="str">
        <f>IF(AND(ISNA(VLOOKUP(D281,A:A,1,FALSE())),ISNA(VLOOKUP(D281,BaseType!A:A,1,FALSE())),D281&lt;&gt;"Struct"),"N","Y")</f>
        <v>Y</v>
      </c>
      <c r="G281" s="157" t="s">
        <v>3817</v>
      </c>
      <c r="H281" s="35"/>
      <c r="I281" s="35"/>
      <c r="J281" s="35"/>
      <c r="K281" s="35"/>
      <c r="L281" s="35"/>
      <c r="M281" s="35"/>
      <c r="N281" s="35"/>
      <c r="O281" s="35"/>
      <c r="P281" s="35"/>
      <c r="Q281" s="35"/>
      <c r="R281" s="35"/>
      <c r="S281" s="35"/>
      <c r="T281" s="35"/>
    </row>
    <row r="282" spans="1:20" ht="15" customHeight="1" x14ac:dyDescent="0.2">
      <c r="A282" s="157"/>
      <c r="B282" s="235" t="str">
        <f>IF(ISBLANK(A282),"",IF(AND(ISNA(VLOOKUP(A282,Interface_E01!E:E,1,FALSE())),ISNA(VLOOKUP(A282,D:D,1,FALSE()))),"N","Y"))</f>
        <v/>
      </c>
      <c r="C282" s="156" t="s">
        <v>3818</v>
      </c>
      <c r="D282" s="157" t="s">
        <v>193</v>
      </c>
      <c r="E282" s="157">
        <v>1</v>
      </c>
      <c r="F282" s="235" t="str">
        <f>IF(AND(ISNA(VLOOKUP(D282,A:A,1,FALSE())),ISNA(VLOOKUP(D282,BaseType!A:A,1,FALSE())),D282&lt;&gt;"Struct"),"N","Y")</f>
        <v>Y</v>
      </c>
      <c r="G282" s="157" t="s">
        <v>3819</v>
      </c>
      <c r="H282" s="35"/>
      <c r="I282" s="35"/>
      <c r="J282" s="35"/>
      <c r="K282" s="35"/>
      <c r="L282" s="35"/>
      <c r="M282" s="35"/>
      <c r="N282" s="35"/>
      <c r="O282" s="35"/>
      <c r="P282" s="35"/>
      <c r="Q282" s="35"/>
      <c r="R282" s="35"/>
      <c r="S282" s="35"/>
      <c r="T282" s="35"/>
    </row>
    <row r="283" spans="1:20" ht="15" customHeight="1" x14ac:dyDescent="0.2">
      <c r="A283" s="157"/>
      <c r="B283" s="235" t="str">
        <f>IF(ISBLANK(A283),"",IF(AND(ISNA(VLOOKUP(A283,Interface_E01!E:E,1,FALSE())),ISNA(VLOOKUP(A283,D:D,1,FALSE()))),"N","Y"))</f>
        <v/>
      </c>
      <c r="C283" s="156" t="s">
        <v>3820</v>
      </c>
      <c r="D283" s="157" t="s">
        <v>193</v>
      </c>
      <c r="E283" s="157">
        <v>1</v>
      </c>
      <c r="F283" s="235" t="str">
        <f>IF(AND(ISNA(VLOOKUP(D283,A:A,1,FALSE())),ISNA(VLOOKUP(D283,BaseType!A:A,1,FALSE())),D283&lt;&gt;"Struct"),"N","Y")</f>
        <v>Y</v>
      </c>
      <c r="G283" s="157" t="s">
        <v>3821</v>
      </c>
      <c r="H283" s="35"/>
      <c r="I283" s="35"/>
      <c r="J283" s="35"/>
      <c r="K283" s="35"/>
      <c r="L283" s="35"/>
      <c r="M283" s="35"/>
      <c r="N283" s="35"/>
      <c r="O283" s="35"/>
      <c r="P283" s="35"/>
      <c r="Q283" s="35"/>
      <c r="R283" s="35"/>
      <c r="S283" s="35"/>
      <c r="T283" s="35"/>
    </row>
    <row r="284" spans="1:20" ht="15" customHeight="1" x14ac:dyDescent="0.2">
      <c r="A284" s="157"/>
      <c r="B284" s="235" t="str">
        <f>IF(ISBLANK(A284),"",IF(AND(ISNA(VLOOKUP(A284,Interface_E01!E:E,1,FALSE())),ISNA(VLOOKUP(A284,D:D,1,FALSE()))),"N","Y"))</f>
        <v/>
      </c>
      <c r="C284" s="156" t="s">
        <v>3822</v>
      </c>
      <c r="D284" s="157" t="s">
        <v>193</v>
      </c>
      <c r="E284" s="157">
        <v>1</v>
      </c>
      <c r="F284" s="235" t="str">
        <f>IF(AND(ISNA(VLOOKUP(D284,A:A,1,FALSE())),ISNA(VLOOKUP(D284,BaseType!A:A,1,FALSE())),D284&lt;&gt;"Struct"),"N","Y")</f>
        <v>Y</v>
      </c>
      <c r="G284" s="157" t="s">
        <v>3823</v>
      </c>
      <c r="H284" s="35"/>
      <c r="I284" s="35"/>
      <c r="J284" s="35"/>
      <c r="K284" s="35"/>
      <c r="L284" s="35"/>
      <c r="M284" s="35"/>
      <c r="N284" s="35"/>
      <c r="O284" s="35"/>
      <c r="P284" s="35"/>
      <c r="Q284" s="35"/>
      <c r="R284" s="35"/>
      <c r="S284" s="35"/>
      <c r="T284" s="35"/>
    </row>
    <row r="285" spans="1:20" ht="15" customHeight="1" x14ac:dyDescent="0.2">
      <c r="A285" s="157"/>
      <c r="B285" s="235" t="str">
        <f>IF(ISBLANK(A285),"",IF(AND(ISNA(VLOOKUP(A285,Interface_E01!E:E,1,FALSE())),ISNA(VLOOKUP(A285,D:D,1,FALSE()))),"N","Y"))</f>
        <v/>
      </c>
      <c r="C285" s="156" t="s">
        <v>3824</v>
      </c>
      <c r="D285" s="157" t="s">
        <v>193</v>
      </c>
      <c r="E285" s="157">
        <v>1</v>
      </c>
      <c r="F285" s="235" t="str">
        <f>IF(AND(ISNA(VLOOKUP(D285,A:A,1,FALSE())),ISNA(VLOOKUP(D285,BaseType!A:A,1,FALSE())),D285&lt;&gt;"Struct"),"N","Y")</f>
        <v>Y</v>
      </c>
      <c r="G285" s="157" t="s">
        <v>3825</v>
      </c>
      <c r="H285" s="35"/>
      <c r="I285" s="35"/>
      <c r="J285" s="35"/>
      <c r="K285" s="35"/>
      <c r="L285" s="35"/>
      <c r="M285" s="35"/>
      <c r="N285" s="35"/>
      <c r="O285" s="35"/>
      <c r="P285" s="35"/>
      <c r="Q285" s="35"/>
      <c r="R285" s="35"/>
      <c r="S285" s="35"/>
      <c r="T285" s="35"/>
    </row>
    <row r="286" spans="1:20" ht="15" customHeight="1" x14ac:dyDescent="0.2">
      <c r="A286" s="157"/>
      <c r="B286" s="235" t="str">
        <f>IF(ISBLANK(A286),"",IF(AND(ISNA(VLOOKUP(A286,Interface_E01!E:E,1,FALSE())),ISNA(VLOOKUP(A286,D:D,1,FALSE()))),"N","Y"))</f>
        <v/>
      </c>
      <c r="C286" s="156" t="s">
        <v>3826</v>
      </c>
      <c r="D286" s="157" t="s">
        <v>193</v>
      </c>
      <c r="E286" s="157">
        <v>1</v>
      </c>
      <c r="F286" s="235" t="str">
        <f>IF(AND(ISNA(VLOOKUP(D286,A:A,1,FALSE())),ISNA(VLOOKUP(D286,BaseType!A:A,1,FALSE())),D286&lt;&gt;"Struct"),"N","Y")</f>
        <v>Y</v>
      </c>
      <c r="G286" s="157" t="s">
        <v>3827</v>
      </c>
      <c r="H286" s="35"/>
      <c r="I286" s="35"/>
      <c r="J286" s="35"/>
      <c r="K286" s="35"/>
      <c r="L286" s="35"/>
      <c r="M286" s="35"/>
      <c r="N286" s="35"/>
      <c r="O286" s="35"/>
      <c r="P286" s="35"/>
      <c r="Q286" s="35"/>
      <c r="R286" s="35"/>
      <c r="S286" s="35"/>
      <c r="T286" s="35"/>
    </row>
    <row r="287" spans="1:20" ht="15" customHeight="1" x14ac:dyDescent="0.2">
      <c r="A287" s="157"/>
      <c r="B287" s="235" t="str">
        <f>IF(ISBLANK(A287),"",IF(AND(ISNA(VLOOKUP(A287,Interface_E01!E:E,1,FALSE())),ISNA(VLOOKUP(A287,D:D,1,FALSE()))),"N","Y"))</f>
        <v/>
      </c>
      <c r="C287" s="272" t="s">
        <v>3828</v>
      </c>
      <c r="D287" s="157" t="s">
        <v>193</v>
      </c>
      <c r="E287" s="157">
        <v>1</v>
      </c>
      <c r="F287" s="235" t="str">
        <f>IF(AND(ISNA(VLOOKUP(D287,A:A,1,FALSE())),ISNA(VLOOKUP(D287,BaseType!A:A,1,FALSE())),D287&lt;&gt;"Struct"),"N","Y")</f>
        <v>Y</v>
      </c>
      <c r="G287" s="157" t="s">
        <v>3829</v>
      </c>
      <c r="H287" s="35"/>
      <c r="I287" s="35"/>
      <c r="J287" s="35"/>
      <c r="K287" s="35"/>
      <c r="L287" s="35"/>
      <c r="M287" s="35"/>
      <c r="N287" s="35"/>
      <c r="O287" s="35"/>
      <c r="P287" s="35"/>
      <c r="Q287" s="35"/>
      <c r="R287" s="35"/>
      <c r="S287" s="35"/>
      <c r="T287" s="35"/>
    </row>
    <row r="288" spans="1:20" ht="15" customHeight="1" x14ac:dyDescent="0.2">
      <c r="A288" s="157"/>
      <c r="B288" s="235" t="str">
        <f>IF(ISBLANK(A288),"",IF(AND(ISNA(VLOOKUP(A288,Interface_E01!E:E,1,FALSE())),ISNA(VLOOKUP(A288,D:D,1,FALSE()))),"N","Y"))</f>
        <v/>
      </c>
      <c r="C288" s="156" t="s">
        <v>3830</v>
      </c>
      <c r="D288" s="157" t="s">
        <v>193</v>
      </c>
      <c r="E288" s="157">
        <v>1</v>
      </c>
      <c r="F288" s="235" t="str">
        <f>IF(AND(ISNA(VLOOKUP(D288,A:A,1,FALSE())),ISNA(VLOOKUP(D288,BaseType!A:A,1,FALSE())),D288&lt;&gt;"Struct"),"N","Y")</f>
        <v>Y</v>
      </c>
      <c r="G288" s="157" t="s">
        <v>3831</v>
      </c>
      <c r="H288" s="35"/>
      <c r="I288" s="35"/>
      <c r="J288" s="35"/>
      <c r="K288" s="35"/>
      <c r="L288" s="35"/>
      <c r="M288" s="35"/>
      <c r="N288" s="35"/>
      <c r="O288" s="35"/>
      <c r="P288" s="35"/>
      <c r="Q288" s="35"/>
      <c r="R288" s="35"/>
      <c r="S288" s="35"/>
      <c r="T288" s="35"/>
    </row>
    <row r="289" spans="1:20" ht="15" customHeight="1" x14ac:dyDescent="0.2">
      <c r="A289" s="157"/>
      <c r="B289" s="235" t="str">
        <f>IF(ISBLANK(A289),"",IF(AND(ISNA(VLOOKUP(A289,Interface_E01!E:E,1,FALSE())),ISNA(VLOOKUP(A289,D:D,1,FALSE()))),"N","Y"))</f>
        <v/>
      </c>
      <c r="C289" s="156" t="s">
        <v>3832</v>
      </c>
      <c r="D289" s="157" t="s">
        <v>193</v>
      </c>
      <c r="E289" s="157">
        <v>1</v>
      </c>
      <c r="F289" s="235" t="str">
        <f>IF(AND(ISNA(VLOOKUP(D289,A:A,1,FALSE())),ISNA(VLOOKUP(D289,BaseType!A:A,1,FALSE())),D289&lt;&gt;"Struct"),"N","Y")</f>
        <v>Y</v>
      </c>
      <c r="G289" s="157" t="s">
        <v>3833</v>
      </c>
      <c r="H289" s="35"/>
      <c r="I289" s="35"/>
      <c r="J289" s="35"/>
      <c r="K289" s="35"/>
      <c r="L289" s="35"/>
      <c r="M289" s="35"/>
      <c r="N289" s="35"/>
      <c r="O289" s="35"/>
      <c r="P289" s="35"/>
      <c r="Q289" s="35"/>
      <c r="R289" s="35"/>
      <c r="S289" s="35"/>
      <c r="T289" s="35"/>
    </row>
    <row r="290" spans="1:20" ht="15" customHeight="1" x14ac:dyDescent="0.2">
      <c r="A290" s="157"/>
      <c r="B290" s="235" t="str">
        <f>IF(ISBLANK(A290),"",IF(AND(ISNA(VLOOKUP(A290,Interface_E01!E:E,1,FALSE())),ISNA(VLOOKUP(A290,D:D,1,FALSE()))),"N","Y"))</f>
        <v/>
      </c>
      <c r="C290" s="156" t="s">
        <v>3834</v>
      </c>
      <c r="D290" s="157" t="s">
        <v>193</v>
      </c>
      <c r="E290" s="157">
        <v>1</v>
      </c>
      <c r="F290" s="235" t="str">
        <f>IF(AND(ISNA(VLOOKUP(D290,A:A,1,FALSE())),ISNA(VLOOKUP(D290,BaseType!A:A,1,FALSE())),D290&lt;&gt;"Struct"),"N","Y")</f>
        <v>Y</v>
      </c>
      <c r="G290" s="157" t="s">
        <v>3835</v>
      </c>
      <c r="H290" s="35"/>
      <c r="I290" s="35"/>
      <c r="J290" s="35"/>
      <c r="K290" s="35"/>
      <c r="L290" s="35"/>
      <c r="M290" s="35"/>
      <c r="N290" s="35"/>
      <c r="O290" s="35"/>
      <c r="P290" s="35"/>
      <c r="Q290" s="35"/>
      <c r="R290" s="35"/>
      <c r="S290" s="35"/>
      <c r="T290" s="35"/>
    </row>
    <row r="291" spans="1:20" ht="15" customHeight="1" x14ac:dyDescent="0.2">
      <c r="A291" s="157"/>
      <c r="B291" s="235" t="str">
        <f>IF(ISBLANK(A291),"",IF(AND(ISNA(VLOOKUP(A291,Interface_E01!E:E,1,FALSE())),ISNA(VLOOKUP(A291,D:D,1,FALSE()))),"N","Y"))</f>
        <v/>
      </c>
      <c r="C291" s="156" t="s">
        <v>3836</v>
      </c>
      <c r="D291" s="157" t="s">
        <v>193</v>
      </c>
      <c r="E291" s="157">
        <v>1</v>
      </c>
      <c r="F291" s="235" t="str">
        <f>IF(AND(ISNA(VLOOKUP(D291,A:A,1,FALSE())),ISNA(VLOOKUP(D291,BaseType!A:A,1,FALSE())),D291&lt;&gt;"Struct"),"N","Y")</f>
        <v>Y</v>
      </c>
      <c r="G291" s="157" t="s">
        <v>3837</v>
      </c>
      <c r="H291" s="35"/>
      <c r="I291" s="35"/>
      <c r="J291" s="35"/>
      <c r="K291" s="35"/>
      <c r="L291" s="35"/>
      <c r="M291" s="35"/>
      <c r="N291" s="35"/>
      <c r="O291" s="35"/>
      <c r="P291" s="35"/>
      <c r="Q291" s="35"/>
      <c r="R291" s="35"/>
      <c r="S291" s="35"/>
      <c r="T291" s="35"/>
    </row>
    <row r="292" spans="1:20" ht="15" customHeight="1" x14ac:dyDescent="0.2">
      <c r="A292" s="157"/>
      <c r="B292" s="235" t="str">
        <f>IF(ISBLANK(A292),"",IF(AND(ISNA(VLOOKUP(A292,Interface_E01!E:E,1,FALSE())),ISNA(VLOOKUP(A292,D:D,1,FALSE()))),"N","Y"))</f>
        <v/>
      </c>
      <c r="C292" s="156" t="s">
        <v>3838</v>
      </c>
      <c r="D292" s="157" t="s">
        <v>193</v>
      </c>
      <c r="E292" s="157">
        <v>1</v>
      </c>
      <c r="F292" s="235" t="str">
        <f>IF(AND(ISNA(VLOOKUP(D292,A:A,1,FALSE())),ISNA(VLOOKUP(D292,BaseType!A:A,1,FALSE())),D292&lt;&gt;"Struct"),"N","Y")</f>
        <v>Y</v>
      </c>
      <c r="G292" s="157" t="s">
        <v>3839</v>
      </c>
      <c r="H292" s="35"/>
      <c r="I292" s="35"/>
      <c r="J292" s="35"/>
      <c r="K292" s="35"/>
      <c r="L292" s="35"/>
      <c r="M292" s="35"/>
      <c r="N292" s="35"/>
      <c r="O292" s="35"/>
      <c r="P292" s="35"/>
      <c r="Q292" s="35"/>
      <c r="R292" s="35"/>
      <c r="S292" s="35"/>
      <c r="T292" s="35"/>
    </row>
    <row r="293" spans="1:20" ht="15" customHeight="1" x14ac:dyDescent="0.2">
      <c r="A293" s="157"/>
      <c r="B293" s="235" t="str">
        <f>IF(ISBLANK(A293),"",IF(AND(ISNA(VLOOKUP(A293,Interface_E01!E:E,1,FALSE())),ISNA(VLOOKUP(A293,D:D,1,FALSE()))),"N","Y"))</f>
        <v/>
      </c>
      <c r="C293" s="156" t="s">
        <v>3840</v>
      </c>
      <c r="D293" s="157" t="s">
        <v>193</v>
      </c>
      <c r="E293" s="157">
        <v>1</v>
      </c>
      <c r="F293" s="235" t="str">
        <f>IF(AND(ISNA(VLOOKUP(D293,A:A,1,FALSE())),ISNA(VLOOKUP(D293,BaseType!A:A,1,FALSE())),D293&lt;&gt;"Struct"),"N","Y")</f>
        <v>Y</v>
      </c>
      <c r="G293" s="157" t="s">
        <v>3841</v>
      </c>
      <c r="H293" s="35"/>
      <c r="I293" s="35"/>
      <c r="J293" s="35"/>
      <c r="K293" s="35"/>
      <c r="L293" s="35"/>
      <c r="M293" s="35"/>
      <c r="N293" s="35"/>
      <c r="O293" s="35"/>
      <c r="P293" s="35"/>
      <c r="Q293" s="35"/>
      <c r="R293" s="35"/>
      <c r="S293" s="35"/>
      <c r="T293" s="35"/>
    </row>
    <row r="294" spans="1:20" ht="15" customHeight="1" x14ac:dyDescent="0.2">
      <c r="A294" s="157"/>
      <c r="B294" s="235" t="str">
        <f>IF(ISBLANK(A294),"",IF(AND(ISNA(VLOOKUP(A294,Interface_E01!E:E,1,FALSE())),ISNA(VLOOKUP(A294,D:D,1,FALSE()))),"N","Y"))</f>
        <v/>
      </c>
      <c r="C294" s="156" t="s">
        <v>3842</v>
      </c>
      <c r="D294" s="157" t="s">
        <v>193</v>
      </c>
      <c r="E294" s="157">
        <v>1</v>
      </c>
      <c r="F294" s="235" t="str">
        <f>IF(AND(ISNA(VLOOKUP(D294,A:A,1,FALSE())),ISNA(VLOOKUP(D294,BaseType!A:A,1,FALSE())),D294&lt;&gt;"Struct"),"N","Y")</f>
        <v>Y</v>
      </c>
      <c r="G294" s="157" t="s">
        <v>3843</v>
      </c>
      <c r="H294" s="35"/>
      <c r="I294" s="35"/>
      <c r="J294" s="35"/>
      <c r="K294" s="35"/>
      <c r="L294" s="35"/>
      <c r="M294" s="35"/>
      <c r="N294" s="35"/>
      <c r="O294" s="35"/>
      <c r="P294" s="35"/>
      <c r="Q294" s="35"/>
      <c r="R294" s="35"/>
      <c r="S294" s="35"/>
      <c r="T294" s="35"/>
    </row>
    <row r="295" spans="1:20" ht="15" customHeight="1" x14ac:dyDescent="0.2">
      <c r="A295" s="157"/>
      <c r="B295" s="235" t="str">
        <f>IF(ISBLANK(A295),"",IF(AND(ISNA(VLOOKUP(A295,Interface_E01!E:E,1,FALSE())),ISNA(VLOOKUP(A295,D:D,1,FALSE()))),"N","Y"))</f>
        <v/>
      </c>
      <c r="C295" s="156" t="s">
        <v>3844</v>
      </c>
      <c r="D295" s="157" t="s">
        <v>193</v>
      </c>
      <c r="E295" s="157">
        <v>1</v>
      </c>
      <c r="F295" s="235" t="str">
        <f>IF(AND(ISNA(VLOOKUP(D295,A:A,1,FALSE())),ISNA(VLOOKUP(D295,BaseType!A:A,1,FALSE())),D295&lt;&gt;"Struct"),"N","Y")</f>
        <v>Y</v>
      </c>
      <c r="G295" s="157" t="s">
        <v>3845</v>
      </c>
      <c r="H295" s="35"/>
      <c r="I295" s="35"/>
      <c r="J295" s="35"/>
      <c r="K295" s="35"/>
      <c r="L295" s="35"/>
      <c r="M295" s="35"/>
      <c r="N295" s="35"/>
      <c r="O295" s="35"/>
      <c r="P295" s="35"/>
      <c r="Q295" s="35"/>
      <c r="R295" s="35"/>
      <c r="S295" s="35"/>
      <c r="T295" s="35"/>
    </row>
    <row r="296" spans="1:20" ht="15" customHeight="1" x14ac:dyDescent="0.2">
      <c r="A296" s="157"/>
      <c r="B296" s="235" t="str">
        <f>IF(ISBLANK(A296),"",IF(AND(ISNA(VLOOKUP(A296,Interface_E01!E:E,1,FALSE())),ISNA(VLOOKUP(A296,D:D,1,FALSE()))),"N","Y"))</f>
        <v/>
      </c>
      <c r="C296" s="156" t="s">
        <v>3846</v>
      </c>
      <c r="D296" s="157" t="s">
        <v>193</v>
      </c>
      <c r="E296" s="157">
        <v>1</v>
      </c>
      <c r="F296" s="235" t="str">
        <f>IF(AND(ISNA(VLOOKUP(D296,A:A,1,FALSE())),ISNA(VLOOKUP(D296,BaseType!A:A,1,FALSE())),D296&lt;&gt;"Struct"),"N","Y")</f>
        <v>Y</v>
      </c>
      <c r="G296" s="157" t="s">
        <v>3847</v>
      </c>
      <c r="H296" s="35"/>
      <c r="I296" s="35"/>
      <c r="J296" s="35"/>
      <c r="K296" s="35"/>
      <c r="L296" s="35"/>
      <c r="M296" s="35"/>
      <c r="N296" s="35"/>
      <c r="O296" s="35"/>
      <c r="P296" s="35"/>
      <c r="Q296" s="35"/>
      <c r="R296" s="35"/>
      <c r="S296" s="35"/>
      <c r="T296" s="35"/>
    </row>
    <row r="297" spans="1:20" ht="15" customHeight="1" x14ac:dyDescent="0.2">
      <c r="A297" s="157"/>
      <c r="B297" s="235" t="str">
        <f>IF(ISBLANK(A297),"",IF(AND(ISNA(VLOOKUP(A297,Interface_E01!E:E,1,FALSE())),ISNA(VLOOKUP(A297,D:D,1,FALSE()))),"N","Y"))</f>
        <v/>
      </c>
      <c r="C297" s="156" t="s">
        <v>3848</v>
      </c>
      <c r="D297" s="157" t="s">
        <v>193</v>
      </c>
      <c r="E297" s="157">
        <v>1</v>
      </c>
      <c r="F297" s="235" t="str">
        <f>IF(AND(ISNA(VLOOKUP(D297,A:A,1,FALSE())),ISNA(VLOOKUP(D297,BaseType!A:A,1,FALSE())),D297&lt;&gt;"Struct"),"N","Y")</f>
        <v>Y</v>
      </c>
      <c r="G297" s="157" t="s">
        <v>3849</v>
      </c>
      <c r="H297" s="35"/>
      <c r="I297" s="35"/>
      <c r="J297" s="35"/>
      <c r="K297" s="35"/>
      <c r="L297" s="35"/>
      <c r="M297" s="35"/>
      <c r="N297" s="35"/>
      <c r="O297" s="35"/>
      <c r="P297" s="35"/>
      <c r="Q297" s="35"/>
      <c r="R297" s="35"/>
      <c r="S297" s="35"/>
      <c r="T297" s="35"/>
    </row>
    <row r="298" spans="1:20" ht="15" customHeight="1" x14ac:dyDescent="0.2">
      <c r="A298" s="157"/>
      <c r="B298" s="235" t="str">
        <f>IF(ISBLANK(A298),"",IF(AND(ISNA(VLOOKUP(A298,Interface_E01!E:E,1,FALSE())),ISNA(VLOOKUP(A298,D:D,1,FALSE()))),"N","Y"))</f>
        <v/>
      </c>
      <c r="C298" s="156" t="s">
        <v>3850</v>
      </c>
      <c r="D298" s="157" t="s">
        <v>193</v>
      </c>
      <c r="E298" s="157">
        <v>1</v>
      </c>
      <c r="F298" s="235" t="str">
        <f>IF(AND(ISNA(VLOOKUP(D298,A:A,1,FALSE())),ISNA(VLOOKUP(D298,BaseType!A:A,1,FALSE())),D298&lt;&gt;"Struct"),"N","Y")</f>
        <v>Y</v>
      </c>
      <c r="G298" s="157" t="s">
        <v>3851</v>
      </c>
      <c r="H298" s="35"/>
      <c r="I298" s="35"/>
      <c r="J298" s="35"/>
      <c r="K298" s="35"/>
      <c r="L298" s="35"/>
      <c r="M298" s="35"/>
      <c r="N298" s="35"/>
      <c r="O298" s="35"/>
      <c r="P298" s="35"/>
      <c r="Q298" s="35"/>
      <c r="R298" s="35"/>
      <c r="S298" s="35"/>
      <c r="T298" s="35"/>
    </row>
    <row r="299" spans="1:20" ht="15" customHeight="1" x14ac:dyDescent="0.2">
      <c r="A299" s="157"/>
      <c r="B299" s="235" t="str">
        <f>IF(ISBLANK(A299),"",IF(AND(ISNA(VLOOKUP(A299,Interface_E01!E:E,1,FALSE())),ISNA(VLOOKUP(A299,D:D,1,FALSE()))),"N","Y"))</f>
        <v/>
      </c>
      <c r="C299" s="156" t="s">
        <v>3852</v>
      </c>
      <c r="D299" s="157" t="s">
        <v>193</v>
      </c>
      <c r="E299" s="157">
        <v>1</v>
      </c>
      <c r="F299" s="235" t="str">
        <f>IF(AND(ISNA(VLOOKUP(D299,A:A,1,FALSE())),ISNA(VLOOKUP(D299,BaseType!A:A,1,FALSE())),D299&lt;&gt;"Struct"),"N","Y")</f>
        <v>Y</v>
      </c>
      <c r="G299" s="157" t="s">
        <v>3853</v>
      </c>
      <c r="H299" s="35"/>
      <c r="I299" s="35"/>
      <c r="J299" s="35"/>
      <c r="K299" s="35"/>
      <c r="L299" s="35"/>
      <c r="M299" s="35"/>
      <c r="N299" s="35"/>
      <c r="O299" s="35"/>
      <c r="P299" s="35"/>
      <c r="Q299" s="35"/>
      <c r="R299" s="35"/>
      <c r="S299" s="35"/>
      <c r="T299" s="35"/>
    </row>
    <row r="300" spans="1:20" ht="15" customHeight="1" x14ac:dyDescent="0.2">
      <c r="A300" s="157"/>
      <c r="B300" s="235" t="str">
        <f>IF(ISBLANK(A300),"",IF(AND(ISNA(VLOOKUP(A300,Interface_E01!E:E,1,FALSE())),ISNA(VLOOKUP(A300,D:D,1,FALSE()))),"N","Y"))</f>
        <v/>
      </c>
      <c r="C300" s="156" t="s">
        <v>3854</v>
      </c>
      <c r="D300" s="157" t="s">
        <v>193</v>
      </c>
      <c r="E300" s="157">
        <v>1</v>
      </c>
      <c r="F300" s="235" t="str">
        <f>IF(AND(ISNA(VLOOKUP(D300,A:A,1,FALSE())),ISNA(VLOOKUP(D300,BaseType!A:A,1,FALSE())),D300&lt;&gt;"Struct"),"N","Y")</f>
        <v>Y</v>
      </c>
      <c r="G300" s="157" t="s">
        <v>3855</v>
      </c>
      <c r="H300" s="35"/>
      <c r="I300" s="35"/>
      <c r="J300" s="35"/>
      <c r="K300" s="35"/>
      <c r="L300" s="35"/>
      <c r="M300" s="35"/>
      <c r="N300" s="35"/>
      <c r="O300" s="35"/>
      <c r="P300" s="35"/>
      <c r="Q300" s="35"/>
      <c r="R300" s="35"/>
      <c r="S300" s="35"/>
      <c r="T300" s="35"/>
    </row>
    <row r="301" spans="1:20" ht="15" customHeight="1" x14ac:dyDescent="0.2">
      <c r="A301" s="157"/>
      <c r="B301" s="235" t="str">
        <f>IF(ISBLANK(A301),"",IF(AND(ISNA(VLOOKUP(A301,Interface_E01!E:E,1,FALSE())),ISNA(VLOOKUP(A301,D:D,1,FALSE()))),"N","Y"))</f>
        <v/>
      </c>
      <c r="C301" s="156" t="s">
        <v>3856</v>
      </c>
      <c r="D301" s="157" t="s">
        <v>193</v>
      </c>
      <c r="E301" s="157">
        <v>1</v>
      </c>
      <c r="F301" s="235" t="str">
        <f>IF(AND(ISNA(VLOOKUP(D301,A:A,1,FALSE())),ISNA(VLOOKUP(D301,BaseType!A:A,1,FALSE())),D301&lt;&gt;"Struct"),"N","Y")</f>
        <v>Y</v>
      </c>
      <c r="G301" s="157" t="s">
        <v>3857</v>
      </c>
      <c r="H301" s="35"/>
      <c r="I301" s="35"/>
      <c r="J301" s="35"/>
      <c r="K301" s="35"/>
      <c r="L301" s="35"/>
      <c r="M301" s="35"/>
      <c r="N301" s="35"/>
      <c r="O301" s="35"/>
      <c r="P301" s="35"/>
      <c r="Q301" s="35"/>
      <c r="R301" s="35"/>
      <c r="S301" s="35"/>
      <c r="T301" s="35"/>
    </row>
    <row r="302" spans="1:20" ht="15" customHeight="1" x14ac:dyDescent="0.2">
      <c r="A302" s="157"/>
      <c r="B302" s="235" t="str">
        <f>IF(ISBLANK(A302),"",IF(AND(ISNA(VLOOKUP(A302,Interface_E01!E:E,1,FALSE())),ISNA(VLOOKUP(A302,D:D,1,FALSE()))),"N","Y"))</f>
        <v/>
      </c>
      <c r="C302" s="156" t="s">
        <v>3858</v>
      </c>
      <c r="D302" s="157" t="s">
        <v>193</v>
      </c>
      <c r="E302" s="157">
        <v>1</v>
      </c>
      <c r="F302" s="235" t="str">
        <f>IF(AND(ISNA(VLOOKUP(D302,A:A,1,FALSE())),ISNA(VLOOKUP(D302,BaseType!A:A,1,FALSE())),D302&lt;&gt;"Struct"),"N","Y")</f>
        <v>Y</v>
      </c>
      <c r="G302" s="157" t="s">
        <v>3859</v>
      </c>
      <c r="H302" s="35"/>
      <c r="I302" s="35"/>
      <c r="J302" s="35"/>
      <c r="K302" s="35"/>
      <c r="L302" s="35"/>
      <c r="M302" s="35"/>
      <c r="N302" s="35"/>
      <c r="O302" s="35"/>
      <c r="P302" s="35"/>
      <c r="Q302" s="35"/>
      <c r="R302" s="35"/>
      <c r="S302" s="35"/>
      <c r="T302" s="35"/>
    </row>
    <row r="303" spans="1:20" ht="15" customHeight="1" x14ac:dyDescent="0.2">
      <c r="A303" s="157"/>
      <c r="B303" s="235" t="str">
        <f>IF(ISBLANK(A303),"",IF(AND(ISNA(VLOOKUP(A303,Interface_E01!E:E,1,FALSE())),ISNA(VLOOKUP(A303,D:D,1,FALSE()))),"N","Y"))</f>
        <v/>
      </c>
      <c r="C303" s="156" t="s">
        <v>3860</v>
      </c>
      <c r="D303" s="157" t="s">
        <v>193</v>
      </c>
      <c r="E303" s="157">
        <v>1</v>
      </c>
      <c r="F303" s="235" t="str">
        <f>IF(AND(ISNA(VLOOKUP(D303,A:A,1,FALSE())),ISNA(VLOOKUP(D303,BaseType!A:A,1,FALSE())),D303&lt;&gt;"Struct"),"N","Y")</f>
        <v>Y</v>
      </c>
      <c r="G303" s="157" t="s">
        <v>3861</v>
      </c>
      <c r="H303" s="35"/>
      <c r="I303" s="35"/>
      <c r="J303" s="35"/>
      <c r="K303" s="35"/>
      <c r="L303" s="35"/>
      <c r="M303" s="35"/>
      <c r="N303" s="35"/>
      <c r="O303" s="35"/>
      <c r="P303" s="35"/>
      <c r="Q303" s="35"/>
      <c r="R303" s="35"/>
      <c r="S303" s="35"/>
      <c r="T303" s="35"/>
    </row>
    <row r="304" spans="1:20" ht="15" customHeight="1" x14ac:dyDescent="0.2">
      <c r="A304" s="227" t="s">
        <v>3791</v>
      </c>
      <c r="B304" s="235" t="str">
        <f>IF(ISBLANK(A304),"",IF(AND(ISNA(VLOOKUP(A304,Interface_E01!E:E,1,FALSE())),ISNA(VLOOKUP(A304,D:D,1,FALSE()))),"N","Y"))</f>
        <v>Y</v>
      </c>
      <c r="C304" s="156"/>
      <c r="D304" s="157" t="s">
        <v>484</v>
      </c>
      <c r="E304" s="157"/>
      <c r="F304" s="235" t="str">
        <f>IF(AND(ISNA(VLOOKUP(D304,A:A,1,FALSE())),ISNA(VLOOKUP(D304,BaseType!A:A,1,FALSE())),D304&lt;&gt;"Struct"),"N","Y")</f>
        <v>Y</v>
      </c>
      <c r="G304" s="157"/>
    </row>
    <row r="305" spans="1:7" ht="15" customHeight="1" x14ac:dyDescent="0.2">
      <c r="A305" s="157"/>
      <c r="B305" s="235" t="str">
        <f>IF(ISBLANK(A305),"",IF(AND(ISNA(VLOOKUP(A305,Interface_E01!E:E,1,FALSE())),ISNA(VLOOKUP(A305,D:D,1,FALSE()))),"N","Y"))</f>
        <v/>
      </c>
      <c r="C305" s="156" t="s">
        <v>3792</v>
      </c>
      <c r="D305" s="157" t="s">
        <v>193</v>
      </c>
      <c r="E305" s="157">
        <v>1</v>
      </c>
      <c r="F305" s="235" t="str">
        <f>IF(AND(ISNA(VLOOKUP(D305,A:A,1,FALSE())),ISNA(VLOOKUP(D305,BaseType!A:A,1,FALSE())),D305&lt;&gt;"Struct"),"N","Y")</f>
        <v>Y</v>
      </c>
      <c r="G305" s="264" t="s">
        <v>3793</v>
      </c>
    </row>
    <row r="306" spans="1:7" ht="15" customHeight="1" x14ac:dyDescent="0.2">
      <c r="A306" s="157"/>
      <c r="B306" s="235"/>
      <c r="C306" s="156" t="s">
        <v>3794</v>
      </c>
      <c r="D306" s="157" t="s">
        <v>193</v>
      </c>
      <c r="E306" s="157">
        <v>1</v>
      </c>
      <c r="F306" s="235" t="str">
        <f>IF(AND(ISNA(VLOOKUP(D306,A:A,1,FALSE())),ISNA(VLOOKUP(D306,BaseType!A:A,1,FALSE())),D306&lt;&gt;"Struct"),"N","Y")</f>
        <v>Y</v>
      </c>
      <c r="G306" s="264" t="s">
        <v>3795</v>
      </c>
    </row>
    <row r="307" spans="1:7" ht="15" customHeight="1" x14ac:dyDescent="0.2">
      <c r="A307" s="157"/>
      <c r="B307" s="235"/>
      <c r="C307" s="156" t="s">
        <v>3796</v>
      </c>
      <c r="D307" s="157" t="s">
        <v>193</v>
      </c>
      <c r="E307" s="157">
        <v>1</v>
      </c>
      <c r="F307" s="235" t="str">
        <f>IF(AND(ISNA(VLOOKUP(D307,A:A,1,FALSE())),ISNA(VLOOKUP(D307,BaseType!A:A,1,FALSE())),D307&lt;&gt;"Struct"),"N","Y")</f>
        <v>Y</v>
      </c>
      <c r="G307" s="264" t="s">
        <v>3797</v>
      </c>
    </row>
    <row r="308" spans="1:7" ht="15" customHeight="1" x14ac:dyDescent="0.2">
      <c r="A308" s="157"/>
      <c r="B308" s="235"/>
      <c r="C308" s="156" t="s">
        <v>3798</v>
      </c>
      <c r="D308" s="157" t="s">
        <v>193</v>
      </c>
      <c r="E308" s="157">
        <v>1</v>
      </c>
      <c r="F308" s="235" t="str">
        <f>IF(AND(ISNA(VLOOKUP(D308,A:A,1,FALSE())),ISNA(VLOOKUP(D308,BaseType!A:A,1,FALSE())),D308&lt;&gt;"Struct"),"N","Y")</f>
        <v>Y</v>
      </c>
      <c r="G308" s="264" t="s">
        <v>3799</v>
      </c>
    </row>
    <row r="309" spans="1:7" ht="15" customHeight="1" x14ac:dyDescent="0.2">
      <c r="A309" s="157"/>
      <c r="B309" s="235"/>
      <c r="C309" s="156" t="s">
        <v>3800</v>
      </c>
      <c r="D309" s="157" t="s">
        <v>918</v>
      </c>
      <c r="E309" s="157">
        <v>1</v>
      </c>
      <c r="F309" s="235" t="str">
        <f>IF(AND(ISNA(VLOOKUP(D309,A:A,1,FALSE())),ISNA(VLOOKUP(D309,BaseType!A:A,1,FALSE())),D309&lt;&gt;"Struct"),"N","Y")</f>
        <v>Y</v>
      </c>
      <c r="G309" s="264" t="s">
        <v>3801</v>
      </c>
    </row>
    <row r="310" spans="1:7" ht="15" customHeight="1" x14ac:dyDescent="0.2">
      <c r="A310" s="157"/>
      <c r="B310" s="235"/>
      <c r="C310" s="156" t="s">
        <v>3802</v>
      </c>
      <c r="D310" s="157" t="s">
        <v>918</v>
      </c>
      <c r="E310" s="157">
        <v>1</v>
      </c>
      <c r="F310" s="235" t="str">
        <f>IF(AND(ISNA(VLOOKUP(D310,A:A,1,FALSE())),ISNA(VLOOKUP(D310,BaseType!A:A,1,FALSE())),D310&lt;&gt;"Struct"),"N","Y")</f>
        <v>Y</v>
      </c>
      <c r="G310" s="264" t="s">
        <v>3803</v>
      </c>
    </row>
    <row r="311" spans="1:7" ht="15" customHeight="1" x14ac:dyDescent="0.2">
      <c r="A311" s="157"/>
      <c r="B311" s="235"/>
      <c r="C311" s="156" t="s">
        <v>3804</v>
      </c>
      <c r="D311" s="157" t="s">
        <v>193</v>
      </c>
      <c r="E311" s="157">
        <v>1</v>
      </c>
      <c r="F311" s="235" t="str">
        <f>IF(AND(ISNA(VLOOKUP(D311,A:A,1,FALSE())),ISNA(VLOOKUP(D311,BaseType!A:A,1,FALSE())),D311&lt;&gt;"Struct"),"N","Y")</f>
        <v>Y</v>
      </c>
      <c r="G311" s="264" t="s">
        <v>3805</v>
      </c>
    </row>
    <row r="312" spans="1:7" ht="15" customHeight="1" x14ac:dyDescent="0.2">
      <c r="A312" s="157"/>
      <c r="B312" s="235"/>
      <c r="C312" s="156" t="s">
        <v>3806</v>
      </c>
      <c r="D312" s="157" t="s">
        <v>193</v>
      </c>
      <c r="E312" s="157">
        <v>1</v>
      </c>
      <c r="F312" s="235" t="str">
        <f>IF(AND(ISNA(VLOOKUP(D312,A:A,1,FALSE())),ISNA(VLOOKUP(D312,BaseType!A:A,1,FALSE())),D312&lt;&gt;"Struct"),"N","Y")</f>
        <v>Y</v>
      </c>
      <c r="G312" s="264" t="s">
        <v>3807</v>
      </c>
    </row>
    <row r="313" spans="1:7" ht="15" customHeight="1" x14ac:dyDescent="0.2">
      <c r="A313" s="157"/>
      <c r="B313" s="235"/>
      <c r="C313" s="156" t="s">
        <v>3808</v>
      </c>
      <c r="D313" s="157" t="s">
        <v>918</v>
      </c>
      <c r="E313" s="157">
        <v>1</v>
      </c>
      <c r="F313" s="235" t="str">
        <f>IF(AND(ISNA(VLOOKUP(D313,A:A,1,FALSE())),ISNA(VLOOKUP(D313,BaseType!A:A,1,FALSE())),D313&lt;&gt;"Struct"),"N","Y")</f>
        <v>Y</v>
      </c>
      <c r="G313" s="264" t="s">
        <v>3809</v>
      </c>
    </row>
    <row r="314" spans="1:7" ht="15" customHeight="1" x14ac:dyDescent="0.2">
      <c r="A314" s="157"/>
      <c r="B314" s="235"/>
      <c r="C314" s="156" t="s">
        <v>3810</v>
      </c>
      <c r="D314" s="157" t="s">
        <v>193</v>
      </c>
      <c r="E314" s="157">
        <v>1</v>
      </c>
      <c r="F314" s="235" t="str">
        <f>IF(AND(ISNA(VLOOKUP(D314,A:A,1,FALSE())),ISNA(VLOOKUP(D314,BaseType!A:A,1,FALSE())),D314&lt;&gt;"Struct"),"N","Y")</f>
        <v>Y</v>
      </c>
      <c r="G314" s="264" t="s">
        <v>3811</v>
      </c>
    </row>
    <row r="315" spans="1:7" ht="15" customHeight="1" x14ac:dyDescent="0.2">
      <c r="A315" s="157"/>
      <c r="B315" s="235"/>
      <c r="C315" s="156" t="s">
        <v>3812</v>
      </c>
      <c r="D315" s="157" t="s">
        <v>193</v>
      </c>
      <c r="E315" s="157">
        <v>1</v>
      </c>
      <c r="F315" s="235" t="str">
        <f>IF(AND(ISNA(VLOOKUP(D315,A:A,1,FALSE())),ISNA(VLOOKUP(D315,BaseType!A:A,1,FALSE())),D315&lt;&gt;"Struct"),"N","Y")</f>
        <v>Y</v>
      </c>
      <c r="G315" s="264" t="s">
        <v>3813</v>
      </c>
    </row>
    <row r="316" spans="1:7" ht="15" customHeight="1" x14ac:dyDescent="0.2">
      <c r="A316" s="157"/>
      <c r="B316" s="235"/>
      <c r="C316" s="156" t="s">
        <v>3814</v>
      </c>
      <c r="D316" s="157" t="s">
        <v>193</v>
      </c>
      <c r="E316" s="157">
        <v>1</v>
      </c>
      <c r="F316" s="235" t="str">
        <f>IF(AND(ISNA(VLOOKUP(D316,A:A,1,FALSE())),ISNA(VLOOKUP(D316,BaseType!A:A,1,FALSE())),D316&lt;&gt;"Struct"),"N","Y")</f>
        <v>Y</v>
      </c>
      <c r="G316" s="264" t="s">
        <v>3815</v>
      </c>
    </row>
    <row r="317" spans="1:7" ht="15" customHeight="1" x14ac:dyDescent="0.2">
      <c r="A317" s="157"/>
      <c r="B317" s="235"/>
      <c r="C317" s="156" t="s">
        <v>3816</v>
      </c>
      <c r="D317" s="157" t="s">
        <v>193</v>
      </c>
      <c r="E317" s="157">
        <v>1</v>
      </c>
      <c r="F317" s="235" t="str">
        <f>IF(AND(ISNA(VLOOKUP(D317,A:A,1,FALSE())),ISNA(VLOOKUP(D317,BaseType!A:A,1,FALSE())),D317&lt;&gt;"Struct"),"N","Y")</f>
        <v>Y</v>
      </c>
      <c r="G317" s="264" t="s">
        <v>3817</v>
      </c>
    </row>
    <row r="318" spans="1:7" ht="15" customHeight="1" x14ac:dyDescent="0.2">
      <c r="A318" s="157"/>
      <c r="B318" s="235"/>
      <c r="C318" s="156" t="s">
        <v>3818</v>
      </c>
      <c r="D318" s="157" t="s">
        <v>193</v>
      </c>
      <c r="E318" s="157">
        <v>1</v>
      </c>
      <c r="F318" s="235" t="str">
        <f>IF(AND(ISNA(VLOOKUP(D318,A:A,1,FALSE())),ISNA(VLOOKUP(D318,BaseType!A:A,1,FALSE())),D318&lt;&gt;"Struct"),"N","Y")</f>
        <v>Y</v>
      </c>
      <c r="G318" s="264" t="s">
        <v>3819</v>
      </c>
    </row>
    <row r="319" spans="1:7" ht="15" customHeight="1" x14ac:dyDescent="0.2">
      <c r="A319" s="157"/>
      <c r="B319" s="235"/>
      <c r="C319" s="156" t="s">
        <v>3820</v>
      </c>
      <c r="D319" s="157" t="s">
        <v>193</v>
      </c>
      <c r="E319" s="157">
        <v>1</v>
      </c>
      <c r="F319" s="235" t="str">
        <f>IF(AND(ISNA(VLOOKUP(D319,A:A,1,FALSE())),ISNA(VLOOKUP(D319,BaseType!A:A,1,FALSE())),D319&lt;&gt;"Struct"),"N","Y")</f>
        <v>Y</v>
      </c>
      <c r="G319" s="264" t="s">
        <v>3821</v>
      </c>
    </row>
    <row r="320" spans="1:7" ht="15" customHeight="1" x14ac:dyDescent="0.2">
      <c r="A320" s="157"/>
      <c r="B320" s="235"/>
      <c r="C320" s="156" t="s">
        <v>3822</v>
      </c>
      <c r="D320" s="157" t="s">
        <v>193</v>
      </c>
      <c r="E320" s="157">
        <v>1</v>
      </c>
      <c r="F320" s="235" t="str">
        <f>IF(AND(ISNA(VLOOKUP(D320,A:A,1,FALSE())),ISNA(VLOOKUP(D320,BaseType!A:A,1,FALSE())),D320&lt;&gt;"Struct"),"N","Y")</f>
        <v>Y</v>
      </c>
      <c r="G320" s="264" t="s">
        <v>3823</v>
      </c>
    </row>
    <row r="321" spans="1:7" ht="15" customHeight="1" x14ac:dyDescent="0.2">
      <c r="A321" s="157"/>
      <c r="B321" s="235"/>
      <c r="C321" s="156" t="s">
        <v>3824</v>
      </c>
      <c r="D321" s="157" t="s">
        <v>193</v>
      </c>
      <c r="E321" s="157">
        <v>1</v>
      </c>
      <c r="F321" s="235" t="str">
        <f>IF(AND(ISNA(VLOOKUP(D321,A:A,1,FALSE())),ISNA(VLOOKUP(D321,BaseType!A:A,1,FALSE())),D321&lt;&gt;"Struct"),"N","Y")</f>
        <v>Y</v>
      </c>
      <c r="G321" s="264" t="s">
        <v>3825</v>
      </c>
    </row>
    <row r="322" spans="1:7" ht="15" customHeight="1" x14ac:dyDescent="0.2">
      <c r="A322" s="157"/>
      <c r="B322" s="235"/>
      <c r="C322" s="156" t="s">
        <v>3826</v>
      </c>
      <c r="D322" s="157" t="s">
        <v>193</v>
      </c>
      <c r="E322" s="157">
        <v>1</v>
      </c>
      <c r="F322" s="235" t="str">
        <f>IF(AND(ISNA(VLOOKUP(D322,A:A,1,FALSE())),ISNA(VLOOKUP(D322,BaseType!A:A,1,FALSE())),D322&lt;&gt;"Struct"),"N","Y")</f>
        <v>Y</v>
      </c>
      <c r="G322" s="264" t="s">
        <v>3827</v>
      </c>
    </row>
    <row r="323" spans="1:7" ht="15" customHeight="1" x14ac:dyDescent="0.2">
      <c r="A323" s="157"/>
      <c r="B323" s="235"/>
      <c r="C323" s="156" t="s">
        <v>3862</v>
      </c>
      <c r="D323" s="157" t="s">
        <v>193</v>
      </c>
      <c r="E323" s="157">
        <v>1</v>
      </c>
      <c r="F323" s="235" t="str">
        <f>IF(AND(ISNA(VLOOKUP(D323,A:A,1,FALSE())),ISNA(VLOOKUP(D323,BaseType!A:A,1,FALSE())),D323&lt;&gt;"Struct"),"N","Y")</f>
        <v>Y</v>
      </c>
      <c r="G323" s="264" t="s">
        <v>3863</v>
      </c>
    </row>
    <row r="324" spans="1:7" ht="15" customHeight="1" x14ac:dyDescent="0.2">
      <c r="A324" s="157"/>
      <c r="B324" s="235"/>
      <c r="C324" s="156" t="s">
        <v>3830</v>
      </c>
      <c r="D324" s="157" t="s">
        <v>193</v>
      </c>
      <c r="E324" s="157">
        <v>1</v>
      </c>
      <c r="F324" s="235" t="str">
        <f>IF(AND(ISNA(VLOOKUP(D324,A:A,1,FALSE())),ISNA(VLOOKUP(D324,BaseType!A:A,1,FALSE())),D324&lt;&gt;"Struct"),"N","Y")</f>
        <v>Y</v>
      </c>
      <c r="G324" s="264" t="s">
        <v>3831</v>
      </c>
    </row>
    <row r="325" spans="1:7" ht="15" customHeight="1" x14ac:dyDescent="0.2">
      <c r="A325" s="157"/>
      <c r="B325" s="235"/>
      <c r="C325" s="156" t="s">
        <v>3832</v>
      </c>
      <c r="D325" s="157" t="s">
        <v>193</v>
      </c>
      <c r="E325" s="157">
        <v>1</v>
      </c>
      <c r="F325" s="235" t="str">
        <f>IF(AND(ISNA(VLOOKUP(D325,A:A,1,FALSE())),ISNA(VLOOKUP(D325,BaseType!A:A,1,FALSE())),D325&lt;&gt;"Struct"),"N","Y")</f>
        <v>Y</v>
      </c>
      <c r="G325" s="264" t="s">
        <v>3833</v>
      </c>
    </row>
    <row r="326" spans="1:7" ht="15" customHeight="1" x14ac:dyDescent="0.2">
      <c r="A326" s="157"/>
      <c r="B326" s="235"/>
      <c r="C326" s="156" t="s">
        <v>3834</v>
      </c>
      <c r="D326" s="157" t="s">
        <v>193</v>
      </c>
      <c r="E326" s="157">
        <v>1</v>
      </c>
      <c r="F326" s="235" t="str">
        <f>IF(AND(ISNA(VLOOKUP(D326,A:A,1,FALSE())),ISNA(VLOOKUP(D326,BaseType!A:A,1,FALSE())),D326&lt;&gt;"Struct"),"N","Y")</f>
        <v>Y</v>
      </c>
      <c r="G326" s="264" t="s">
        <v>3835</v>
      </c>
    </row>
    <row r="327" spans="1:7" ht="15" customHeight="1" x14ac:dyDescent="0.2">
      <c r="A327" s="157"/>
      <c r="B327" s="235"/>
      <c r="C327" s="156" t="s">
        <v>3836</v>
      </c>
      <c r="D327" s="157" t="s">
        <v>193</v>
      </c>
      <c r="E327" s="157">
        <v>1</v>
      </c>
      <c r="F327" s="235" t="str">
        <f>IF(AND(ISNA(VLOOKUP(D327,A:A,1,FALSE())),ISNA(VLOOKUP(D327,BaseType!A:A,1,FALSE())),D327&lt;&gt;"Struct"),"N","Y")</f>
        <v>Y</v>
      </c>
      <c r="G327" s="264" t="s">
        <v>3837</v>
      </c>
    </row>
    <row r="328" spans="1:7" ht="15" customHeight="1" x14ac:dyDescent="0.2">
      <c r="A328" s="157"/>
      <c r="B328" s="235"/>
      <c r="C328" s="156" t="s">
        <v>3838</v>
      </c>
      <c r="D328" s="157" t="s">
        <v>193</v>
      </c>
      <c r="E328" s="157">
        <v>1</v>
      </c>
      <c r="F328" s="235" t="str">
        <f>IF(AND(ISNA(VLOOKUP(D328,A:A,1,FALSE())),ISNA(VLOOKUP(D328,BaseType!A:A,1,FALSE())),D328&lt;&gt;"Struct"),"N","Y")</f>
        <v>Y</v>
      </c>
      <c r="G328" s="264" t="s">
        <v>3839</v>
      </c>
    </row>
    <row r="329" spans="1:7" ht="15" customHeight="1" x14ac:dyDescent="0.2">
      <c r="A329" s="157"/>
      <c r="B329" s="235"/>
      <c r="C329" s="156" t="s">
        <v>3840</v>
      </c>
      <c r="D329" s="157" t="s">
        <v>193</v>
      </c>
      <c r="E329" s="157">
        <v>1</v>
      </c>
      <c r="F329" s="235" t="str">
        <f>IF(AND(ISNA(VLOOKUP(D329,A:A,1,FALSE())),ISNA(VLOOKUP(D329,BaseType!A:A,1,FALSE())),D329&lt;&gt;"Struct"),"N","Y")</f>
        <v>Y</v>
      </c>
      <c r="G329" s="264" t="s">
        <v>3841</v>
      </c>
    </row>
    <row r="330" spans="1:7" ht="15" customHeight="1" x14ac:dyDescent="0.2">
      <c r="A330" s="157"/>
      <c r="B330" s="235"/>
      <c r="C330" s="156" t="s">
        <v>3842</v>
      </c>
      <c r="D330" s="157" t="s">
        <v>193</v>
      </c>
      <c r="E330" s="157">
        <v>1</v>
      </c>
      <c r="F330" s="235" t="str">
        <f>IF(AND(ISNA(VLOOKUP(D330,A:A,1,FALSE())),ISNA(VLOOKUP(D330,BaseType!A:A,1,FALSE())),D330&lt;&gt;"Struct"),"N","Y")</f>
        <v>Y</v>
      </c>
      <c r="G330" s="264" t="s">
        <v>3843</v>
      </c>
    </row>
    <row r="331" spans="1:7" ht="15" customHeight="1" x14ac:dyDescent="0.2">
      <c r="A331" s="157"/>
      <c r="B331" s="235"/>
      <c r="C331" s="156" t="s">
        <v>3844</v>
      </c>
      <c r="D331" s="157" t="s">
        <v>193</v>
      </c>
      <c r="E331" s="157">
        <v>1</v>
      </c>
      <c r="F331" s="235" t="str">
        <f>IF(AND(ISNA(VLOOKUP(D331,A:A,1,FALSE())),ISNA(VLOOKUP(D331,BaseType!A:A,1,FALSE())),D331&lt;&gt;"Struct"),"N","Y")</f>
        <v>Y</v>
      </c>
      <c r="G331" s="264" t="s">
        <v>3845</v>
      </c>
    </row>
    <row r="332" spans="1:7" ht="15" customHeight="1" x14ac:dyDescent="0.2">
      <c r="A332" s="157"/>
      <c r="B332" s="235"/>
      <c r="C332" s="156" t="s">
        <v>3846</v>
      </c>
      <c r="D332" s="157" t="s">
        <v>193</v>
      </c>
      <c r="E332" s="157">
        <v>1</v>
      </c>
      <c r="F332" s="235" t="str">
        <f>IF(AND(ISNA(VLOOKUP(D332,A:A,1,FALSE())),ISNA(VLOOKUP(D332,BaseType!A:A,1,FALSE())),D332&lt;&gt;"Struct"),"N","Y")</f>
        <v>Y</v>
      </c>
      <c r="G332" s="264" t="s">
        <v>3847</v>
      </c>
    </row>
    <row r="333" spans="1:7" ht="15" customHeight="1" x14ac:dyDescent="0.2">
      <c r="A333" s="157"/>
      <c r="B333" s="235"/>
      <c r="C333" s="156" t="s">
        <v>3848</v>
      </c>
      <c r="D333" s="157" t="s">
        <v>193</v>
      </c>
      <c r="E333" s="157">
        <v>1</v>
      </c>
      <c r="F333" s="235" t="str">
        <f>IF(AND(ISNA(VLOOKUP(D333,A:A,1,FALSE())),ISNA(VLOOKUP(D333,BaseType!A:A,1,FALSE())),D333&lt;&gt;"Struct"),"N","Y")</f>
        <v>Y</v>
      </c>
      <c r="G333" s="264" t="s">
        <v>3849</v>
      </c>
    </row>
    <row r="334" spans="1:7" ht="15" customHeight="1" x14ac:dyDescent="0.2">
      <c r="A334" s="157"/>
      <c r="B334" s="235"/>
      <c r="C334" s="156" t="s">
        <v>3850</v>
      </c>
      <c r="D334" s="157" t="s">
        <v>193</v>
      </c>
      <c r="E334" s="157">
        <v>1</v>
      </c>
      <c r="F334" s="235" t="str">
        <f>IF(AND(ISNA(VLOOKUP(D334,A:A,1,FALSE())),ISNA(VLOOKUP(D334,BaseType!A:A,1,FALSE())),D334&lt;&gt;"Struct"),"N","Y")</f>
        <v>Y</v>
      </c>
      <c r="G334" s="264" t="s">
        <v>3851</v>
      </c>
    </row>
    <row r="335" spans="1:7" ht="15" customHeight="1" x14ac:dyDescent="0.2">
      <c r="A335" s="157"/>
      <c r="B335" s="235"/>
      <c r="C335" s="156" t="s">
        <v>3852</v>
      </c>
      <c r="D335" s="157" t="s">
        <v>193</v>
      </c>
      <c r="E335" s="157">
        <v>1</v>
      </c>
      <c r="F335" s="235" t="str">
        <f>IF(AND(ISNA(VLOOKUP(D335,A:A,1,FALSE())),ISNA(VLOOKUP(D335,BaseType!A:A,1,FALSE())),D335&lt;&gt;"Struct"),"N","Y")</f>
        <v>Y</v>
      </c>
      <c r="G335" s="264" t="s">
        <v>3853</v>
      </c>
    </row>
    <row r="336" spans="1:7" ht="15" customHeight="1" x14ac:dyDescent="0.2">
      <c r="A336" s="157"/>
      <c r="B336" s="235"/>
      <c r="C336" s="156" t="s">
        <v>3854</v>
      </c>
      <c r="D336" s="157" t="s">
        <v>193</v>
      </c>
      <c r="E336" s="157">
        <v>1</v>
      </c>
      <c r="F336" s="235" t="str">
        <f>IF(AND(ISNA(VLOOKUP(D336,A:A,1,FALSE())),ISNA(VLOOKUP(D336,BaseType!A:A,1,FALSE())),D336&lt;&gt;"Struct"),"N","Y")</f>
        <v>Y</v>
      </c>
      <c r="G336" s="264" t="s">
        <v>3855</v>
      </c>
    </row>
    <row r="337" spans="1:7" ht="15" customHeight="1" x14ac:dyDescent="0.2">
      <c r="A337" s="157"/>
      <c r="B337" s="235"/>
      <c r="C337" s="156" t="s">
        <v>3856</v>
      </c>
      <c r="D337" s="157" t="s">
        <v>193</v>
      </c>
      <c r="E337" s="157">
        <v>1</v>
      </c>
      <c r="F337" s="235" t="str">
        <f>IF(AND(ISNA(VLOOKUP(D337,A:A,1,FALSE())),ISNA(VLOOKUP(D337,BaseType!A:A,1,FALSE())),D337&lt;&gt;"Struct"),"N","Y")</f>
        <v>Y</v>
      </c>
      <c r="G337" s="264" t="s">
        <v>3857</v>
      </c>
    </row>
    <row r="338" spans="1:7" ht="15" customHeight="1" x14ac:dyDescent="0.2">
      <c r="A338" s="157"/>
      <c r="B338" s="235"/>
      <c r="C338" s="156" t="s">
        <v>3858</v>
      </c>
      <c r="D338" s="157" t="s">
        <v>193</v>
      </c>
      <c r="E338" s="157">
        <v>1</v>
      </c>
      <c r="F338" s="235" t="str">
        <f>IF(AND(ISNA(VLOOKUP(D338,A:A,1,FALSE())),ISNA(VLOOKUP(D338,BaseType!A:A,1,FALSE())),D338&lt;&gt;"Struct"),"N","Y")</f>
        <v>Y</v>
      </c>
      <c r="G338" s="264" t="s">
        <v>3859</v>
      </c>
    </row>
    <row r="339" spans="1:7" ht="15" customHeight="1" x14ac:dyDescent="0.2">
      <c r="A339" s="157"/>
      <c r="B339" s="235"/>
      <c r="C339" s="156" t="s">
        <v>3860</v>
      </c>
      <c r="D339" s="157" t="s">
        <v>193</v>
      </c>
      <c r="E339" s="157">
        <v>1</v>
      </c>
      <c r="F339" s="235" t="str">
        <f>IF(AND(ISNA(VLOOKUP(D339,A:A,1,FALSE())),ISNA(VLOOKUP(D339,BaseType!A:A,1,FALSE())),D339&lt;&gt;"Struct"),"N","Y")</f>
        <v>Y</v>
      </c>
      <c r="G339" s="264" t="s">
        <v>3861</v>
      </c>
    </row>
    <row r="340" spans="1:7" ht="15" customHeight="1" x14ac:dyDescent="0.2">
      <c r="A340" s="157"/>
      <c r="B340" s="235"/>
      <c r="C340" s="156" t="s">
        <v>3864</v>
      </c>
      <c r="D340" s="157" t="s">
        <v>193</v>
      </c>
      <c r="E340" s="157">
        <v>1</v>
      </c>
      <c r="F340" s="235" t="str">
        <f>IF(AND(ISNA(VLOOKUP(D340,A:A,1,FALSE())),ISNA(VLOOKUP(D340,BaseType!A:A,1,FALSE())),D340&lt;&gt;"Struct"),"N","Y")</f>
        <v>Y</v>
      </c>
      <c r="G340" s="264" t="s">
        <v>3865</v>
      </c>
    </row>
    <row r="341" spans="1:7" ht="15" customHeight="1" x14ac:dyDescent="0.2">
      <c r="A341" s="157"/>
      <c r="B341" s="235"/>
      <c r="C341" s="156" t="s">
        <v>3866</v>
      </c>
      <c r="D341" s="157" t="s">
        <v>193</v>
      </c>
      <c r="E341" s="157">
        <v>1</v>
      </c>
      <c r="F341" s="235" t="str">
        <f>IF(AND(ISNA(VLOOKUP(D341,A:A,1,FALSE())),ISNA(VLOOKUP(D341,BaseType!A:A,1,FALSE())),D341&lt;&gt;"Struct"),"N","Y")</f>
        <v>Y</v>
      </c>
      <c r="G341" s="264" t="s">
        <v>3867</v>
      </c>
    </row>
    <row r="342" spans="1:7" ht="15" customHeight="1" x14ac:dyDescent="0.2">
      <c r="A342" s="157"/>
      <c r="B342" s="235"/>
      <c r="C342" s="156" t="s">
        <v>3868</v>
      </c>
      <c r="D342" s="157" t="s">
        <v>193</v>
      </c>
      <c r="E342" s="157">
        <v>1</v>
      </c>
      <c r="F342" s="235" t="str">
        <f>IF(AND(ISNA(VLOOKUP(D342,A:A,1,FALSE())),ISNA(VLOOKUP(D342,BaseType!A:A,1,FALSE())),D342&lt;&gt;"Struct"),"N","Y")</f>
        <v>Y</v>
      </c>
      <c r="G342" s="264" t="s">
        <v>3867</v>
      </c>
    </row>
    <row r="343" spans="1:7" ht="15" customHeight="1" x14ac:dyDescent="0.2">
      <c r="A343" s="157"/>
      <c r="B343" s="235"/>
      <c r="C343" s="156" t="s">
        <v>3869</v>
      </c>
      <c r="D343" s="157" t="s">
        <v>193</v>
      </c>
      <c r="E343" s="157">
        <v>1</v>
      </c>
      <c r="F343" s="235" t="str">
        <f>IF(AND(ISNA(VLOOKUP(D343,A:A,1,FALSE())),ISNA(VLOOKUP(D343,BaseType!A:A,1,FALSE())),D343&lt;&gt;"Struct"),"N","Y")</f>
        <v>Y</v>
      </c>
      <c r="G343" s="264" t="s">
        <v>3870</v>
      </c>
    </row>
    <row r="344" spans="1:7" ht="15" customHeight="1" x14ac:dyDescent="0.2">
      <c r="A344" s="157"/>
      <c r="B344" s="235"/>
      <c r="C344" s="156" t="s">
        <v>3871</v>
      </c>
      <c r="D344" s="157" t="s">
        <v>193</v>
      </c>
      <c r="E344" s="157">
        <v>1</v>
      </c>
      <c r="F344" s="235" t="str">
        <f>IF(AND(ISNA(VLOOKUP(D344,A:A,1,FALSE())),ISNA(VLOOKUP(D344,BaseType!A:A,1,FALSE())),D344&lt;&gt;"Struct"),"N","Y")</f>
        <v>Y</v>
      </c>
      <c r="G344" s="264" t="s">
        <v>3872</v>
      </c>
    </row>
    <row r="345" spans="1:7" ht="15" customHeight="1" x14ac:dyDescent="0.2">
      <c r="A345" s="157"/>
      <c r="B345" s="235"/>
      <c r="C345" s="156" t="s">
        <v>3873</v>
      </c>
      <c r="D345" s="157" t="s">
        <v>193</v>
      </c>
      <c r="E345" s="157">
        <v>1</v>
      </c>
      <c r="F345" s="235" t="str">
        <f>IF(AND(ISNA(VLOOKUP(D345,A:A,1,FALSE())),ISNA(VLOOKUP(D345,BaseType!A:A,1,FALSE())),D345&lt;&gt;"Struct"),"N","Y")</f>
        <v>Y</v>
      </c>
      <c r="G345" s="264" t="s">
        <v>3874</v>
      </c>
    </row>
    <row r="346" spans="1:7" ht="15" customHeight="1" x14ac:dyDescent="0.2">
      <c r="A346" s="157"/>
      <c r="B346" s="235"/>
      <c r="C346" s="156" t="s">
        <v>3875</v>
      </c>
      <c r="D346" s="157" t="s">
        <v>193</v>
      </c>
      <c r="E346" s="157">
        <v>1</v>
      </c>
      <c r="F346" s="235" t="str">
        <f>IF(AND(ISNA(VLOOKUP(D346,A:A,1,FALSE())),ISNA(VLOOKUP(D346,BaseType!A:A,1,FALSE())),D346&lt;&gt;"Struct"),"N","Y")</f>
        <v>Y</v>
      </c>
      <c r="G346" s="264" t="s">
        <v>3876</v>
      </c>
    </row>
    <row r="347" spans="1:7" ht="15" customHeight="1" x14ac:dyDescent="0.2">
      <c r="A347" s="157"/>
      <c r="B347" s="235"/>
      <c r="C347" s="156" t="s">
        <v>3877</v>
      </c>
      <c r="D347" s="157" t="s">
        <v>193</v>
      </c>
      <c r="E347" s="157">
        <v>1</v>
      </c>
      <c r="F347" s="235" t="str">
        <f>IF(AND(ISNA(VLOOKUP(D347,A:A,1,FALSE())),ISNA(VLOOKUP(D347,BaseType!A:A,1,FALSE())),D347&lt;&gt;"Struct"),"N","Y")</f>
        <v>Y</v>
      </c>
      <c r="G347" s="264" t="s">
        <v>3878</v>
      </c>
    </row>
    <row r="348" spans="1:7" ht="15" customHeight="1" x14ac:dyDescent="0.2">
      <c r="A348" s="157"/>
      <c r="B348" s="235"/>
      <c r="C348" s="156" t="s">
        <v>3879</v>
      </c>
      <c r="D348" s="157" t="s">
        <v>193</v>
      </c>
      <c r="E348" s="157">
        <v>1</v>
      </c>
      <c r="F348" s="235" t="str">
        <f>IF(AND(ISNA(VLOOKUP(D348,A:A,1,FALSE())),ISNA(VLOOKUP(D348,BaseType!A:A,1,FALSE())),D348&lt;&gt;"Struct"),"N","Y")</f>
        <v>Y</v>
      </c>
      <c r="G348" s="264" t="s">
        <v>3880</v>
      </c>
    </row>
    <row r="349" spans="1:7" ht="15" customHeight="1" x14ac:dyDescent="0.2">
      <c r="A349" s="157"/>
      <c r="B349" s="235"/>
      <c r="C349" s="156" t="s">
        <v>3881</v>
      </c>
      <c r="D349" s="157" t="s">
        <v>193</v>
      </c>
      <c r="E349" s="157">
        <v>1</v>
      </c>
      <c r="F349" s="235" t="str">
        <f>IF(AND(ISNA(VLOOKUP(D349,A:A,1,FALSE())),ISNA(VLOOKUP(D349,BaseType!A:A,1,FALSE())),D349&lt;&gt;"Struct"),"N","Y")</f>
        <v>Y</v>
      </c>
      <c r="G349" s="264" t="s">
        <v>3882</v>
      </c>
    </row>
    <row r="350" spans="1:7" ht="15" customHeight="1" x14ac:dyDescent="0.2">
      <c r="A350" s="157"/>
      <c r="B350" s="235"/>
      <c r="C350" s="156" t="s">
        <v>3883</v>
      </c>
      <c r="D350" s="157" t="s">
        <v>918</v>
      </c>
      <c r="E350" s="157">
        <v>1</v>
      </c>
      <c r="F350" s="235" t="str">
        <f>IF(AND(ISNA(VLOOKUP(D350,A:A,1,FALSE())),ISNA(VLOOKUP(D350,BaseType!A:A,1,FALSE())),D350&lt;&gt;"Struct"),"N","Y")</f>
        <v>Y</v>
      </c>
      <c r="G350" s="264" t="s">
        <v>3884</v>
      </c>
    </row>
    <row r="351" spans="1:7" ht="15" customHeight="1" x14ac:dyDescent="0.2">
      <c r="A351" s="157"/>
      <c r="B351" s="235"/>
      <c r="C351" s="156" t="s">
        <v>3885</v>
      </c>
      <c r="D351" s="157" t="s">
        <v>193</v>
      </c>
      <c r="E351" s="157">
        <v>1</v>
      </c>
      <c r="F351" s="235" t="str">
        <f>IF(AND(ISNA(VLOOKUP(D351,A:A,1,FALSE())),ISNA(VLOOKUP(D351,BaseType!A:A,1,FALSE())),D351&lt;&gt;"Struct"),"N","Y")</f>
        <v>Y</v>
      </c>
      <c r="G351" s="264" t="s">
        <v>3886</v>
      </c>
    </row>
    <row r="352" spans="1:7" ht="15" customHeight="1" x14ac:dyDescent="0.2">
      <c r="A352" s="157"/>
      <c r="B352" s="235"/>
      <c r="C352" s="156" t="s">
        <v>3887</v>
      </c>
      <c r="D352" s="157" t="s">
        <v>193</v>
      </c>
      <c r="E352" s="157">
        <v>1</v>
      </c>
      <c r="F352" s="235" t="str">
        <f>IF(AND(ISNA(VLOOKUP(D352,A:A,1,FALSE())),ISNA(VLOOKUP(D352,BaseType!A:A,1,FALSE())),D352&lt;&gt;"Struct"),"N","Y")</f>
        <v>Y</v>
      </c>
      <c r="G352" s="264" t="s">
        <v>3888</v>
      </c>
    </row>
    <row r="353" spans="1:20" ht="15" customHeight="1" x14ac:dyDescent="0.2">
      <c r="A353" s="157"/>
      <c r="B353" s="235"/>
      <c r="C353" s="156" t="s">
        <v>3889</v>
      </c>
      <c r="D353" s="157" t="s">
        <v>193</v>
      </c>
      <c r="E353" s="157">
        <v>1</v>
      </c>
      <c r="F353" s="235" t="str">
        <f>IF(AND(ISNA(VLOOKUP(D353,A:A,1,FALSE())),ISNA(VLOOKUP(D353,BaseType!A:A,1,FALSE())),D353&lt;&gt;"Struct"),"N","Y")</f>
        <v>Y</v>
      </c>
      <c r="G353" s="264" t="s">
        <v>3890</v>
      </c>
    </row>
    <row r="354" spans="1:20" ht="15" customHeight="1" x14ac:dyDescent="0.2">
      <c r="A354" s="157"/>
      <c r="B354" s="235"/>
      <c r="C354" s="156" t="s">
        <v>3891</v>
      </c>
      <c r="D354" s="157" t="s">
        <v>193</v>
      </c>
      <c r="E354" s="157">
        <v>1</v>
      </c>
      <c r="F354" s="235" t="str">
        <f>IF(AND(ISNA(VLOOKUP(D354,A:A,1,FALSE())),ISNA(VLOOKUP(D354,BaseType!A:A,1,FALSE())),D354&lt;&gt;"Struct"),"N","Y")</f>
        <v>Y</v>
      </c>
      <c r="G354" s="264" t="s">
        <v>3892</v>
      </c>
    </row>
    <row r="355" spans="1:20" ht="15" customHeight="1" x14ac:dyDescent="0.2">
      <c r="A355" s="157"/>
      <c r="B355" s="235"/>
      <c r="C355" s="156" t="s">
        <v>3893</v>
      </c>
      <c r="D355" s="157" t="s">
        <v>193</v>
      </c>
      <c r="E355" s="157">
        <v>1</v>
      </c>
      <c r="F355" s="235" t="str">
        <f>IF(AND(ISNA(VLOOKUP(D355,A:A,1,FALSE())),ISNA(VLOOKUP(D355,BaseType!A:A,1,FALSE())),D355&lt;&gt;"Struct"),"N","Y")</f>
        <v>Y</v>
      </c>
      <c r="G355" s="264"/>
    </row>
    <row r="356" spans="1:20" ht="15" customHeight="1" x14ac:dyDescent="0.2">
      <c r="A356" s="157"/>
      <c r="B356" s="235"/>
      <c r="C356" s="156" t="s">
        <v>3894</v>
      </c>
      <c r="D356" s="157" t="s">
        <v>193</v>
      </c>
      <c r="E356" s="157">
        <v>1</v>
      </c>
      <c r="F356" s="235" t="str">
        <f>IF(AND(ISNA(VLOOKUP(D356,A:A,1,FALSE())),ISNA(VLOOKUP(D356,BaseType!A:A,1,FALSE())),D356&lt;&gt;"Struct"),"N","Y")</f>
        <v>Y</v>
      </c>
      <c r="G356" s="264" t="s">
        <v>3895</v>
      </c>
    </row>
    <row r="357" spans="1:20" ht="15" customHeight="1" x14ac:dyDescent="0.2">
      <c r="A357" s="157"/>
      <c r="B357" s="235"/>
      <c r="C357" s="156" t="s">
        <v>3896</v>
      </c>
      <c r="D357" s="157" t="s">
        <v>193</v>
      </c>
      <c r="E357" s="157">
        <v>1</v>
      </c>
      <c r="F357" s="235" t="str">
        <f>IF(AND(ISNA(VLOOKUP(D357,A:A,1,FALSE())),ISNA(VLOOKUP(D357,BaseType!A:A,1,FALSE())),D357&lt;&gt;"Struct"),"N","Y")</f>
        <v>Y</v>
      </c>
      <c r="G357" s="264" t="s">
        <v>3897</v>
      </c>
    </row>
    <row r="358" spans="1:20" ht="15" customHeight="1" x14ac:dyDescent="0.2">
      <c r="A358" s="157"/>
      <c r="B358" s="235"/>
      <c r="C358" s="156" t="s">
        <v>3898</v>
      </c>
      <c r="D358" s="157" t="s">
        <v>193</v>
      </c>
      <c r="E358" s="157">
        <v>50</v>
      </c>
      <c r="F358" s="235" t="str">
        <f>IF(AND(ISNA(VLOOKUP(D358,A:A,1,FALSE())),ISNA(VLOOKUP(D358,BaseType!A:A,1,FALSE())),D358&lt;&gt;"Struct"),"N","Y")</f>
        <v>Y</v>
      </c>
      <c r="G358" s="264"/>
    </row>
    <row r="359" spans="1:20" ht="15" customHeight="1" x14ac:dyDescent="0.2">
      <c r="A359" s="157" t="s">
        <v>3254</v>
      </c>
      <c r="B359" s="235" t="str">
        <f>IF(ISBLANK(A359),"",IF(AND(ISNA(VLOOKUP(A359,Interface_E01!E:E,1,FALSE())),ISNA(VLOOKUP(A359,D:D,1,FALSE()))),"N","Y"))</f>
        <v>Y</v>
      </c>
      <c r="C359" s="156"/>
      <c r="D359" s="157" t="s">
        <v>484</v>
      </c>
      <c r="E359" s="157"/>
      <c r="F359" s="235" t="str">
        <f>IF(AND(ISNA(VLOOKUP(D359,A:A,1,FALSE())),ISNA(VLOOKUP(D359,BaseType!A:A,1,FALSE())),D359&lt;&gt;"Struct"),"N","Y")</f>
        <v>Y</v>
      </c>
      <c r="G359" s="157"/>
    </row>
    <row r="360" spans="1:20" ht="15" customHeight="1" x14ac:dyDescent="0.2">
      <c r="A360" s="157"/>
      <c r="B360" s="235"/>
      <c r="C360" s="156" t="s">
        <v>3899</v>
      </c>
      <c r="D360" s="157" t="s">
        <v>3900</v>
      </c>
      <c r="E360" s="157">
        <v>10</v>
      </c>
      <c r="F360" s="235" t="str">
        <f>IF(AND(ISNA(VLOOKUP(D360,A:A,1,FALSE())),ISNA(VLOOKUP(D360,BaseType!A:A,1,FALSE())),D360&lt;&gt;"Struct"),"N","Y")</f>
        <v>Y</v>
      </c>
      <c r="G360" s="157" t="s">
        <v>3901</v>
      </c>
      <c r="H360" s="35"/>
      <c r="I360" s="35"/>
      <c r="J360" s="35"/>
      <c r="K360" s="35"/>
      <c r="L360" s="35"/>
      <c r="M360" s="35"/>
      <c r="N360" s="35"/>
      <c r="O360" s="35"/>
      <c r="P360" s="35"/>
      <c r="Q360" s="35"/>
      <c r="R360" s="35"/>
      <c r="S360" s="35"/>
      <c r="T360" s="35"/>
    </row>
    <row r="361" spans="1:20" ht="15" customHeight="1" x14ac:dyDescent="0.2">
      <c r="A361" s="157"/>
      <c r="B361" s="235"/>
      <c r="C361" s="156" t="s">
        <v>3902</v>
      </c>
      <c r="D361" s="157" t="s">
        <v>3903</v>
      </c>
      <c r="E361" s="157">
        <v>10</v>
      </c>
      <c r="F361" s="235" t="str">
        <f>IF(AND(ISNA(VLOOKUP(D361,A:A,1,FALSE())),ISNA(VLOOKUP(D361,BaseType!A:A,1,FALSE())),D361&lt;&gt;"Struct"),"N","Y")</f>
        <v>Y</v>
      </c>
      <c r="G361" s="157" t="s">
        <v>3904</v>
      </c>
      <c r="H361" s="35"/>
      <c r="I361" s="35"/>
      <c r="J361" s="35"/>
      <c r="K361" s="35"/>
      <c r="L361" s="35"/>
      <c r="M361" s="35"/>
      <c r="N361" s="35"/>
      <c r="O361" s="35"/>
      <c r="P361" s="35"/>
      <c r="Q361" s="35"/>
      <c r="R361" s="35"/>
      <c r="S361" s="35"/>
      <c r="T361" s="35"/>
    </row>
    <row r="362" spans="1:20" ht="15" customHeight="1" x14ac:dyDescent="0.2">
      <c r="A362" s="157"/>
      <c r="B362" s="235"/>
      <c r="C362" s="156" t="s">
        <v>3905</v>
      </c>
      <c r="D362" s="157" t="s">
        <v>3906</v>
      </c>
      <c r="E362" s="157">
        <v>8</v>
      </c>
      <c r="F362" s="235" t="str">
        <f>IF(AND(ISNA(VLOOKUP(D362,A:A,1,FALSE())),ISNA(VLOOKUP(D362,BaseType!A:A,1,FALSE())),D362&lt;&gt;"Struct"),"N","Y")</f>
        <v>Y</v>
      </c>
      <c r="G362" s="157" t="s">
        <v>3907</v>
      </c>
      <c r="H362" s="35"/>
      <c r="I362" s="35"/>
      <c r="J362" s="35"/>
      <c r="K362" s="35"/>
      <c r="L362" s="35"/>
      <c r="M362" s="35"/>
      <c r="N362" s="35"/>
      <c r="O362" s="35"/>
      <c r="P362" s="35"/>
      <c r="Q362" s="35"/>
      <c r="R362" s="35"/>
      <c r="S362" s="35"/>
      <c r="T362" s="35"/>
    </row>
    <row r="363" spans="1:20" ht="15" customHeight="1" x14ac:dyDescent="0.2">
      <c r="A363" s="157"/>
      <c r="B363" s="235"/>
      <c r="C363" s="156" t="s">
        <v>3908</v>
      </c>
      <c r="D363" s="157" t="s">
        <v>3909</v>
      </c>
      <c r="E363" s="157">
        <v>1</v>
      </c>
      <c r="F363" s="235" t="str">
        <f>IF(AND(ISNA(VLOOKUP(D363,A:A,1,FALSE())),ISNA(VLOOKUP(D363,BaseType!A:A,1,FALSE())),D363&lt;&gt;"Struct"),"N","Y")</f>
        <v>Y</v>
      </c>
      <c r="G363" s="157" t="s">
        <v>3910</v>
      </c>
      <c r="H363" s="35"/>
      <c r="I363" s="35"/>
      <c r="J363" s="35"/>
      <c r="K363" s="35"/>
      <c r="L363" s="35"/>
      <c r="M363" s="35"/>
      <c r="N363" s="35"/>
      <c r="O363" s="35"/>
      <c r="P363" s="35"/>
      <c r="Q363" s="35"/>
      <c r="R363" s="35"/>
      <c r="S363" s="35"/>
      <c r="T363" s="35"/>
    </row>
    <row r="364" spans="1:20" ht="15" customHeight="1" x14ac:dyDescent="0.2">
      <c r="A364" s="157" t="s">
        <v>3900</v>
      </c>
      <c r="B364" s="235" t="str">
        <f>IF(ISBLANK(A364),"",IF(AND(ISNA(VLOOKUP(A364,Interface_E01!E:E,1,FALSE())),ISNA(VLOOKUP(A364,D:D,1,FALSE()))),"N","Y"))</f>
        <v>Y</v>
      </c>
      <c r="C364" s="156"/>
      <c r="D364" s="157" t="s">
        <v>484</v>
      </c>
      <c r="E364" s="157"/>
      <c r="F364" s="235" t="str">
        <f>IF(AND(ISNA(VLOOKUP(D364,A:A,1,FALSE())),ISNA(VLOOKUP(D364,BaseType!A:A,1,FALSE())),D364&lt;&gt;"Struct"),"N","Y")</f>
        <v>Y</v>
      </c>
      <c r="G364" s="157"/>
    </row>
    <row r="365" spans="1:20" ht="15" customHeight="1" x14ac:dyDescent="0.2">
      <c r="A365" s="157"/>
      <c r="B365" s="235"/>
      <c r="C365" s="156" t="s">
        <v>3911</v>
      </c>
      <c r="D365" s="157" t="s">
        <v>193</v>
      </c>
      <c r="E365" s="157">
        <v>1</v>
      </c>
      <c r="F365" s="235" t="str">
        <f>IF(AND(ISNA(VLOOKUP(D365,A:A,1,FALSE())),ISNA(VLOOKUP(D365,BaseType!A:A,1,FALSE())),D365&lt;&gt;"Struct"),"N","Y")</f>
        <v>Y</v>
      </c>
      <c r="G365" s="157" t="s">
        <v>3912</v>
      </c>
    </row>
    <row r="366" spans="1:20" ht="15" customHeight="1" x14ac:dyDescent="0.2">
      <c r="A366" s="157"/>
      <c r="B366" s="235"/>
      <c r="C366" s="156" t="s">
        <v>2893</v>
      </c>
      <c r="D366" s="157" t="s">
        <v>193</v>
      </c>
      <c r="E366" s="157">
        <v>1</v>
      </c>
      <c r="F366" s="235" t="str">
        <f>IF(AND(ISNA(VLOOKUP(D366,A:A,1,FALSE())),ISNA(VLOOKUP(D366,BaseType!A:A,1,FALSE())),D366&lt;&gt;"Struct"),"N","Y")</f>
        <v>Y</v>
      </c>
      <c r="G366" s="240" t="s">
        <v>3913</v>
      </c>
      <c r="H366" s="35"/>
      <c r="I366" s="35"/>
      <c r="J366" s="35"/>
      <c r="K366" s="35"/>
      <c r="L366" s="35"/>
      <c r="M366" s="35"/>
      <c r="N366" s="35"/>
      <c r="O366" s="35"/>
      <c r="P366" s="35"/>
      <c r="Q366" s="35"/>
      <c r="R366" s="35"/>
      <c r="S366" s="35"/>
      <c r="T366" s="35"/>
    </row>
    <row r="367" spans="1:20" ht="15" customHeight="1" x14ac:dyDescent="0.2">
      <c r="A367" s="157"/>
      <c r="B367" s="235"/>
      <c r="C367" s="156" t="s">
        <v>2897</v>
      </c>
      <c r="D367" s="157" t="s">
        <v>193</v>
      </c>
      <c r="E367" s="157">
        <v>1</v>
      </c>
      <c r="F367" s="235" t="str">
        <f>IF(AND(ISNA(VLOOKUP(D367,A:A,1,FALSE())),ISNA(VLOOKUP(D367,BaseType!A:A,1,FALSE())),D367&lt;&gt;"Struct"),"N","Y")</f>
        <v>Y</v>
      </c>
      <c r="G367" s="157" t="s">
        <v>1228</v>
      </c>
      <c r="H367" s="35"/>
      <c r="I367" s="35"/>
      <c r="J367" s="35"/>
      <c r="K367" s="35"/>
      <c r="L367" s="35"/>
      <c r="M367" s="35"/>
      <c r="N367" s="35"/>
      <c r="O367" s="35"/>
      <c r="P367" s="35"/>
      <c r="Q367" s="35"/>
      <c r="R367" s="35"/>
      <c r="S367" s="35"/>
      <c r="T367" s="35"/>
    </row>
    <row r="368" spans="1:20" ht="15" customHeight="1" x14ac:dyDescent="0.2">
      <c r="A368" s="157"/>
      <c r="B368" s="235"/>
      <c r="C368" s="156" t="s">
        <v>2899</v>
      </c>
      <c r="D368" s="157" t="s">
        <v>225</v>
      </c>
      <c r="E368" s="157">
        <v>1</v>
      </c>
      <c r="F368" s="235" t="str">
        <f>IF(AND(ISNA(VLOOKUP(D368,A:A,1,FALSE())),ISNA(VLOOKUP(D368,BaseType!A:A,1,FALSE())),D368&lt;&gt;"Struct"),"N","Y")</f>
        <v>Y</v>
      </c>
      <c r="G368" s="157" t="s">
        <v>2919</v>
      </c>
      <c r="H368" s="35"/>
      <c r="I368" s="35"/>
      <c r="J368" s="35"/>
      <c r="K368" s="35"/>
      <c r="L368" s="35"/>
      <c r="M368" s="35"/>
      <c r="N368" s="35"/>
      <c r="O368" s="35"/>
      <c r="P368" s="35"/>
      <c r="Q368" s="35"/>
      <c r="R368" s="35"/>
      <c r="S368" s="35"/>
      <c r="T368" s="35"/>
    </row>
    <row r="369" spans="1:20" ht="15" customHeight="1" x14ac:dyDescent="0.2">
      <c r="A369" s="157"/>
      <c r="B369" s="235"/>
      <c r="C369" s="156" t="s">
        <v>2901</v>
      </c>
      <c r="D369" s="157" t="s">
        <v>225</v>
      </c>
      <c r="E369" s="157">
        <v>1</v>
      </c>
      <c r="F369" s="235" t="str">
        <f>IF(AND(ISNA(VLOOKUP(D369,A:A,1,FALSE())),ISNA(VLOOKUP(D369,BaseType!A:A,1,FALSE())),D369&lt;&gt;"Struct"),"N","Y")</f>
        <v>Y</v>
      </c>
      <c r="G369" s="157" t="s">
        <v>2920</v>
      </c>
      <c r="H369" s="35"/>
      <c r="I369" s="35"/>
      <c r="J369" s="35"/>
      <c r="K369" s="35"/>
      <c r="L369" s="35"/>
      <c r="M369" s="35"/>
      <c r="N369" s="35"/>
      <c r="O369" s="35"/>
      <c r="P369" s="35"/>
      <c r="Q369" s="35"/>
      <c r="R369" s="35"/>
      <c r="S369" s="35"/>
      <c r="T369" s="35"/>
    </row>
    <row r="370" spans="1:20" ht="15" customHeight="1" x14ac:dyDescent="0.2">
      <c r="A370" s="157"/>
      <c r="B370" s="235"/>
      <c r="C370" s="156" t="s">
        <v>2903</v>
      </c>
      <c r="D370" s="157" t="s">
        <v>225</v>
      </c>
      <c r="E370" s="157">
        <v>1</v>
      </c>
      <c r="F370" s="235" t="str">
        <f>IF(AND(ISNA(VLOOKUP(D370,A:A,1,FALSE())),ISNA(VLOOKUP(D370,BaseType!A:A,1,FALSE())),D370&lt;&gt;"Struct"),"N","Y")</f>
        <v>Y</v>
      </c>
      <c r="G370" s="157" t="s">
        <v>3914</v>
      </c>
      <c r="H370" s="35"/>
      <c r="I370" s="35"/>
      <c r="J370" s="35"/>
      <c r="K370" s="35"/>
      <c r="L370" s="35"/>
      <c r="M370" s="35"/>
      <c r="N370" s="35"/>
      <c r="O370" s="35"/>
      <c r="P370" s="35"/>
      <c r="Q370" s="35"/>
      <c r="R370" s="35"/>
      <c r="S370" s="35"/>
      <c r="T370" s="35"/>
    </row>
    <row r="371" spans="1:20" ht="15" customHeight="1" x14ac:dyDescent="0.2">
      <c r="A371" s="157"/>
      <c r="B371" s="235"/>
      <c r="C371" s="156" t="s">
        <v>2915</v>
      </c>
      <c r="D371" s="157" t="s">
        <v>193</v>
      </c>
      <c r="E371" s="157">
        <v>1</v>
      </c>
      <c r="F371" s="235" t="str">
        <f>IF(AND(ISNA(VLOOKUP(D371,A:A,1,FALSE())),ISNA(VLOOKUP(D371,BaseType!A:A,1,FALSE())),D371&lt;&gt;"Struct"),"N","Y")</f>
        <v>Y</v>
      </c>
      <c r="G371" s="157" t="s">
        <v>3915</v>
      </c>
      <c r="H371" s="35"/>
      <c r="I371" s="35"/>
      <c r="J371" s="35"/>
      <c r="K371" s="35"/>
      <c r="L371" s="35"/>
      <c r="M371" s="35"/>
      <c r="N371" s="35"/>
      <c r="O371" s="35"/>
      <c r="P371" s="35"/>
      <c r="Q371" s="35"/>
      <c r="R371" s="35"/>
      <c r="S371" s="35"/>
      <c r="T371" s="35"/>
    </row>
    <row r="372" spans="1:20" ht="15" customHeight="1" x14ac:dyDescent="0.2">
      <c r="A372" s="157"/>
      <c r="B372" s="235"/>
      <c r="C372" s="156" t="s">
        <v>3916</v>
      </c>
      <c r="D372" s="157" t="s">
        <v>225</v>
      </c>
      <c r="E372" s="157">
        <v>1</v>
      </c>
      <c r="F372" s="235" t="str">
        <f>IF(AND(ISNA(VLOOKUP(D372,A:A,1,FALSE())),ISNA(VLOOKUP(D372,BaseType!A:A,1,FALSE())),D372&lt;&gt;"Struct"),"N","Y")</f>
        <v>Y</v>
      </c>
      <c r="G372" s="157" t="s">
        <v>3917</v>
      </c>
      <c r="H372" s="35"/>
      <c r="I372" s="35"/>
      <c r="J372" s="35"/>
      <c r="K372" s="35"/>
      <c r="L372" s="35"/>
      <c r="M372" s="35"/>
      <c r="N372" s="35"/>
      <c r="O372" s="35"/>
      <c r="P372" s="35"/>
      <c r="Q372" s="35"/>
      <c r="R372" s="35"/>
      <c r="S372" s="35"/>
      <c r="T372" s="35"/>
    </row>
    <row r="373" spans="1:20" ht="15" customHeight="1" x14ac:dyDescent="0.2">
      <c r="A373" s="157"/>
      <c r="B373" s="235"/>
      <c r="C373" s="156" t="s">
        <v>3918</v>
      </c>
      <c r="D373" s="157" t="s">
        <v>225</v>
      </c>
      <c r="E373" s="157">
        <v>1</v>
      </c>
      <c r="F373" s="235" t="str">
        <f>IF(AND(ISNA(VLOOKUP(D373,A:A,1,FALSE())),ISNA(VLOOKUP(D373,BaseType!A:A,1,FALSE())),D373&lt;&gt;"Struct"),"N","Y")</f>
        <v>Y</v>
      </c>
      <c r="G373" s="157" t="s">
        <v>3919</v>
      </c>
      <c r="H373" s="35"/>
      <c r="I373" s="35"/>
      <c r="J373" s="35"/>
      <c r="K373" s="35"/>
      <c r="L373" s="35"/>
      <c r="M373" s="35"/>
      <c r="N373" s="35"/>
      <c r="O373" s="35"/>
      <c r="P373" s="35"/>
      <c r="Q373" s="35"/>
      <c r="R373" s="35"/>
      <c r="S373" s="35"/>
      <c r="T373" s="35"/>
    </row>
    <row r="374" spans="1:20" ht="15" customHeight="1" x14ac:dyDescent="0.2">
      <c r="A374" s="157"/>
      <c r="B374" s="235"/>
      <c r="C374" s="156" t="s">
        <v>3920</v>
      </c>
      <c r="D374" s="157" t="s">
        <v>631</v>
      </c>
      <c r="E374" s="157">
        <v>1</v>
      </c>
      <c r="F374" s="235" t="str">
        <f>IF(AND(ISNA(VLOOKUP(D374,A:A,1,FALSE())),ISNA(VLOOKUP(D374,BaseType!A:A,1,FALSE())),D374&lt;&gt;"Struct"),"N","Y")</f>
        <v>Y</v>
      </c>
      <c r="G374" s="157" t="s">
        <v>3921</v>
      </c>
      <c r="H374" s="35"/>
      <c r="I374" s="35"/>
      <c r="J374" s="35"/>
      <c r="K374" s="35"/>
      <c r="L374" s="35"/>
      <c r="M374" s="35"/>
      <c r="N374" s="35"/>
      <c r="O374" s="35"/>
      <c r="P374" s="35"/>
      <c r="Q374" s="35"/>
      <c r="R374" s="35"/>
      <c r="S374" s="35"/>
      <c r="T374" s="35"/>
    </row>
    <row r="375" spans="1:20" ht="15" customHeight="1" x14ac:dyDescent="0.2">
      <c r="A375" s="157"/>
      <c r="B375" s="235"/>
      <c r="C375" s="156" t="s">
        <v>3922</v>
      </c>
      <c r="D375" s="157" t="s">
        <v>918</v>
      </c>
      <c r="E375" s="157">
        <v>1</v>
      </c>
      <c r="F375" s="235" t="str">
        <f>IF(AND(ISNA(VLOOKUP(D375,A:A,1,FALSE())),ISNA(VLOOKUP(D375,BaseType!A:A,1,FALSE())),D375&lt;&gt;"Struct"),"N","Y")</f>
        <v>Y</v>
      </c>
      <c r="G375" s="157" t="s">
        <v>3923</v>
      </c>
      <c r="H375" s="35"/>
      <c r="I375" s="35"/>
      <c r="J375" s="35"/>
      <c r="K375" s="35"/>
      <c r="L375" s="35"/>
      <c r="M375" s="35"/>
      <c r="N375" s="35"/>
      <c r="O375" s="35"/>
      <c r="P375" s="35"/>
      <c r="Q375" s="35"/>
      <c r="R375" s="35"/>
      <c r="S375" s="35"/>
      <c r="T375" s="35"/>
    </row>
    <row r="376" spans="1:20" ht="15" customHeight="1" x14ac:dyDescent="0.2">
      <c r="A376" s="157" t="s">
        <v>3903</v>
      </c>
      <c r="B376" s="235" t="str">
        <f>IF(ISBLANK(A376),"",IF(AND(ISNA(VLOOKUP(A376,Interface_E01!E:E,1,FALSE())),ISNA(VLOOKUP(A376,D:D,1,FALSE()))),"N","Y"))</f>
        <v>Y</v>
      </c>
      <c r="C376" s="156"/>
      <c r="D376" s="157" t="s">
        <v>484</v>
      </c>
      <c r="E376" s="157"/>
      <c r="F376" s="235" t="str">
        <f>IF(AND(ISNA(VLOOKUP(D376,A:A,1,FALSE())),ISNA(VLOOKUP(D376,BaseType!A:A,1,FALSE())),D376&lt;&gt;"Struct"),"N","Y")</f>
        <v>Y</v>
      </c>
      <c r="G376" s="157"/>
    </row>
    <row r="377" spans="1:20" ht="15" customHeight="1" x14ac:dyDescent="0.2">
      <c r="A377" s="157"/>
      <c r="B377" s="235"/>
      <c r="C377" s="156" t="s">
        <v>3911</v>
      </c>
      <c r="D377" s="157" t="s">
        <v>193</v>
      </c>
      <c r="E377" s="157">
        <v>1</v>
      </c>
      <c r="F377" s="235" t="str">
        <f>IF(AND(ISNA(VLOOKUP(D377,A:A,1,FALSE())),ISNA(VLOOKUP(D377,BaseType!A:A,1,FALSE())),D377&lt;&gt;"Struct"),"N","Y")</f>
        <v>Y</v>
      </c>
      <c r="G377" s="157" t="s">
        <v>2317</v>
      </c>
      <c r="H377" s="35"/>
      <c r="I377" s="35"/>
      <c r="J377" s="35"/>
      <c r="K377" s="35"/>
      <c r="L377" s="35"/>
      <c r="M377" s="35"/>
      <c r="N377" s="35"/>
      <c r="O377" s="35"/>
      <c r="P377" s="35"/>
      <c r="Q377" s="35"/>
      <c r="R377" s="35"/>
      <c r="S377" s="35"/>
      <c r="T377" s="35"/>
    </row>
    <row r="378" spans="1:20" ht="15" customHeight="1" x14ac:dyDescent="0.2">
      <c r="A378" s="157"/>
      <c r="B378" s="235"/>
      <c r="C378" s="156" t="s">
        <v>2893</v>
      </c>
      <c r="D378" s="157" t="s">
        <v>193</v>
      </c>
      <c r="E378" s="157">
        <v>1</v>
      </c>
      <c r="F378" s="235" t="str">
        <f>IF(AND(ISNA(VLOOKUP(D378,A:A,1,FALSE())),ISNA(VLOOKUP(D378,BaseType!A:A,1,FALSE())),D378&lt;&gt;"Struct"),"N","Y")</f>
        <v>Y</v>
      </c>
      <c r="G378" s="157" t="s">
        <v>3924</v>
      </c>
      <c r="H378" s="35"/>
      <c r="I378" s="35"/>
      <c r="J378" s="35"/>
      <c r="K378" s="35"/>
      <c r="L378" s="35"/>
      <c r="M378" s="35"/>
      <c r="N378" s="35"/>
      <c r="O378" s="35"/>
      <c r="P378" s="35"/>
      <c r="Q378" s="35"/>
      <c r="R378" s="35"/>
      <c r="S378" s="35"/>
      <c r="T378" s="35"/>
    </row>
    <row r="379" spans="1:20" ht="15" customHeight="1" x14ac:dyDescent="0.2">
      <c r="A379" s="157"/>
      <c r="B379" s="235"/>
      <c r="C379" s="156" t="s">
        <v>2899</v>
      </c>
      <c r="D379" s="157" t="s">
        <v>225</v>
      </c>
      <c r="E379" s="157">
        <v>1</v>
      </c>
      <c r="F379" s="235" t="str">
        <f>IF(AND(ISNA(VLOOKUP(D379,A:A,1,FALSE())),ISNA(VLOOKUP(D379,BaseType!A:A,1,FALSE())),D379&lt;&gt;"Struct"),"N","Y")</f>
        <v>Y</v>
      </c>
      <c r="G379" s="157" t="s">
        <v>2919</v>
      </c>
      <c r="H379" s="35"/>
      <c r="I379" s="35"/>
      <c r="J379" s="35"/>
      <c r="K379" s="35"/>
      <c r="L379" s="35"/>
      <c r="M379" s="35"/>
      <c r="N379" s="35"/>
      <c r="O379" s="35"/>
      <c r="P379" s="35"/>
      <c r="Q379" s="35"/>
      <c r="R379" s="35"/>
      <c r="S379" s="35"/>
      <c r="T379" s="35"/>
    </row>
    <row r="380" spans="1:20" ht="15" customHeight="1" x14ac:dyDescent="0.2">
      <c r="A380" s="157"/>
      <c r="B380" s="235"/>
      <c r="C380" s="156" t="s">
        <v>2901</v>
      </c>
      <c r="D380" s="157" t="s">
        <v>225</v>
      </c>
      <c r="E380" s="157">
        <v>1</v>
      </c>
      <c r="F380" s="235" t="str">
        <f>IF(AND(ISNA(VLOOKUP(D380,A:A,1,FALSE())),ISNA(VLOOKUP(D380,BaseType!A:A,1,FALSE())),D380&lt;&gt;"Struct"),"N","Y")</f>
        <v>Y</v>
      </c>
      <c r="G380" s="157" t="s">
        <v>2920</v>
      </c>
      <c r="H380" s="35"/>
      <c r="I380" s="35"/>
      <c r="J380" s="35"/>
      <c r="K380" s="35"/>
      <c r="L380" s="35"/>
      <c r="M380" s="35"/>
      <c r="N380" s="35"/>
      <c r="O380" s="35"/>
      <c r="P380" s="35"/>
      <c r="Q380" s="35"/>
      <c r="R380" s="35"/>
      <c r="S380" s="35"/>
      <c r="T380" s="35"/>
    </row>
    <row r="381" spans="1:20" ht="15" customHeight="1" x14ac:dyDescent="0.2">
      <c r="A381" s="157"/>
      <c r="B381" s="235"/>
      <c r="C381" s="156" t="s">
        <v>2903</v>
      </c>
      <c r="D381" s="157" t="s">
        <v>225</v>
      </c>
      <c r="E381" s="157">
        <v>1</v>
      </c>
      <c r="F381" s="235" t="str">
        <f>IF(AND(ISNA(VLOOKUP(D381,A:A,1,FALSE())),ISNA(VLOOKUP(D381,BaseType!A:A,1,FALSE())),D381&lt;&gt;"Struct"),"N","Y")</f>
        <v>Y</v>
      </c>
      <c r="G381" s="157" t="s">
        <v>3914</v>
      </c>
      <c r="H381" s="35"/>
      <c r="I381" s="35"/>
      <c r="J381" s="35"/>
      <c r="K381" s="35"/>
      <c r="L381" s="35"/>
      <c r="M381" s="35"/>
      <c r="N381" s="35"/>
      <c r="O381" s="35"/>
      <c r="P381" s="35"/>
      <c r="Q381" s="35"/>
      <c r="R381" s="35"/>
      <c r="S381" s="35"/>
      <c r="T381" s="35"/>
    </row>
    <row r="382" spans="1:20" ht="15" customHeight="1" x14ac:dyDescent="0.2">
      <c r="A382" s="157"/>
      <c r="B382" s="235"/>
      <c r="C382" s="156" t="s">
        <v>2909</v>
      </c>
      <c r="D382" s="157" t="s">
        <v>764</v>
      </c>
      <c r="E382" s="157">
        <v>1</v>
      </c>
      <c r="F382" s="235" t="str">
        <f>IF(AND(ISNA(VLOOKUP(D382,A:A,1,FALSE())),ISNA(VLOOKUP(D382,BaseType!A:A,1,FALSE())),D382&lt;&gt;"Struct"),"N","Y")</f>
        <v>Y</v>
      </c>
      <c r="G382" s="157" t="s">
        <v>3925</v>
      </c>
      <c r="H382" s="35"/>
      <c r="I382" s="35"/>
      <c r="J382" s="35"/>
      <c r="K382" s="35"/>
      <c r="L382" s="35"/>
      <c r="M382" s="35"/>
      <c r="N382" s="35"/>
      <c r="O382" s="35"/>
      <c r="P382" s="35"/>
      <c r="Q382" s="35"/>
      <c r="R382" s="35"/>
      <c r="S382" s="35"/>
      <c r="T382" s="35"/>
    </row>
    <row r="383" spans="1:20" ht="15" customHeight="1" x14ac:dyDescent="0.2">
      <c r="A383" s="157"/>
      <c r="B383" s="235"/>
      <c r="C383" s="156" t="s">
        <v>2911</v>
      </c>
      <c r="D383" s="157" t="s">
        <v>764</v>
      </c>
      <c r="E383" s="157">
        <v>1</v>
      </c>
      <c r="F383" s="235" t="str">
        <f>IF(AND(ISNA(VLOOKUP(D383,A:A,1,FALSE())),ISNA(VLOOKUP(D383,BaseType!A:A,1,FALSE())),D383&lt;&gt;"Struct"),"N","Y")</f>
        <v>Y</v>
      </c>
      <c r="G383" s="157" t="s">
        <v>2314</v>
      </c>
      <c r="H383" s="35"/>
      <c r="I383" s="35"/>
      <c r="J383" s="35"/>
      <c r="K383" s="35"/>
      <c r="L383" s="35"/>
      <c r="M383" s="35"/>
      <c r="N383" s="35"/>
      <c r="O383" s="35"/>
      <c r="P383" s="35"/>
      <c r="Q383" s="35"/>
      <c r="R383" s="35"/>
      <c r="S383" s="35"/>
      <c r="T383" s="35"/>
    </row>
    <row r="384" spans="1:20" ht="15" customHeight="1" x14ac:dyDescent="0.2">
      <c r="A384" s="157"/>
      <c r="B384" s="235"/>
      <c r="C384" s="156" t="s">
        <v>3920</v>
      </c>
      <c r="D384" s="157" t="s">
        <v>631</v>
      </c>
      <c r="E384" s="157">
        <v>1</v>
      </c>
      <c r="F384" s="235" t="str">
        <f>IF(AND(ISNA(VLOOKUP(D384,A:A,1,FALSE())),ISNA(VLOOKUP(D384,BaseType!A:A,1,FALSE())),D384&lt;&gt;"Struct"),"N","Y")</f>
        <v>Y</v>
      </c>
      <c r="G384" s="157" t="s">
        <v>3921</v>
      </c>
      <c r="H384" s="35"/>
      <c r="I384" s="35"/>
      <c r="J384" s="35"/>
      <c r="K384" s="35"/>
      <c r="L384" s="35"/>
      <c r="M384" s="35"/>
      <c r="N384" s="35"/>
      <c r="O384" s="35"/>
      <c r="P384" s="35"/>
      <c r="Q384" s="35"/>
      <c r="R384" s="35"/>
      <c r="S384" s="35"/>
      <c r="T384" s="35"/>
    </row>
    <row r="385" spans="1:20" ht="15" customHeight="1" x14ac:dyDescent="0.2">
      <c r="A385" s="157"/>
      <c r="B385" s="235"/>
      <c r="C385" s="156" t="s">
        <v>3922</v>
      </c>
      <c r="D385" s="157" t="s">
        <v>918</v>
      </c>
      <c r="E385" s="157">
        <v>1</v>
      </c>
      <c r="F385" s="235" t="str">
        <f>IF(AND(ISNA(VLOOKUP(D385,A:A,1,FALSE())),ISNA(VLOOKUP(D385,BaseType!A:A,1,FALSE())),D385&lt;&gt;"Struct"),"N","Y")</f>
        <v>Y</v>
      </c>
      <c r="G385" s="157" t="s">
        <v>3926</v>
      </c>
      <c r="H385" s="35"/>
      <c r="I385" s="35"/>
      <c r="J385" s="35"/>
      <c r="K385" s="35"/>
      <c r="L385" s="35"/>
      <c r="M385" s="35"/>
      <c r="N385" s="35"/>
      <c r="O385" s="35"/>
      <c r="P385" s="35"/>
      <c r="Q385" s="35"/>
      <c r="R385" s="35"/>
      <c r="S385" s="35"/>
      <c r="T385" s="35"/>
    </row>
    <row r="386" spans="1:20" ht="15" customHeight="1" x14ac:dyDescent="0.2">
      <c r="A386" s="157" t="s">
        <v>3906</v>
      </c>
      <c r="B386" s="235" t="str">
        <f>IF(ISBLANK(A386),"",IF(AND(ISNA(VLOOKUP(A386,Interface_E01!E:E,1,FALSE())),ISNA(VLOOKUP(A386,D:D,1,FALSE()))),"N","Y"))</f>
        <v>Y</v>
      </c>
      <c r="C386" s="156"/>
      <c r="D386" s="157" t="s">
        <v>484</v>
      </c>
      <c r="E386" s="157"/>
      <c r="F386" s="235" t="str">
        <f>IF(AND(ISNA(VLOOKUP(D386,A:A,1,FALSE())),ISNA(VLOOKUP(D386,BaseType!A:A,1,FALSE())),D386&lt;&gt;"Struct"),"N","Y")</f>
        <v>Y</v>
      </c>
      <c r="G386" s="157"/>
    </row>
    <row r="387" spans="1:20" ht="15" customHeight="1" x14ac:dyDescent="0.2">
      <c r="A387" s="157"/>
      <c r="B387" s="235"/>
      <c r="C387" s="156" t="s">
        <v>3927</v>
      </c>
      <c r="D387" s="157" t="s">
        <v>193</v>
      </c>
      <c r="E387" s="157">
        <v>1</v>
      </c>
      <c r="F387" s="235" t="str">
        <f>IF(AND(ISNA(VLOOKUP(D387,A:A,1,FALSE())),ISNA(VLOOKUP(D387,BaseType!A:A,1,FALSE())),D387&lt;&gt;"Struct"),"N","Y")</f>
        <v>Y</v>
      </c>
      <c r="G387" s="157" t="s">
        <v>3928</v>
      </c>
    </row>
    <row r="388" spans="1:20" ht="15" customHeight="1" x14ac:dyDescent="0.2">
      <c r="A388" s="157"/>
      <c r="B388" s="235"/>
      <c r="C388" s="156" t="s">
        <v>3929</v>
      </c>
      <c r="D388" s="157" t="s">
        <v>193</v>
      </c>
      <c r="E388" s="157">
        <v>1</v>
      </c>
      <c r="F388" s="235" t="str">
        <f>IF(AND(ISNA(VLOOKUP(D388,A:A,1,FALSE())),ISNA(VLOOKUP(D388,BaseType!A:A,1,FALSE())),D388&lt;&gt;"Struct"),"N","Y")</f>
        <v>Y</v>
      </c>
      <c r="G388" s="157" t="s">
        <v>3930</v>
      </c>
    </row>
    <row r="389" spans="1:20" ht="15" customHeight="1" x14ac:dyDescent="0.2">
      <c r="A389" s="157"/>
      <c r="B389" s="235"/>
      <c r="C389" s="156" t="s">
        <v>3931</v>
      </c>
      <c r="D389" s="157" t="s">
        <v>193</v>
      </c>
      <c r="E389" s="157">
        <v>1</v>
      </c>
      <c r="F389" s="235" t="str">
        <f>IF(AND(ISNA(VLOOKUP(D389,A:A,1,FALSE())),ISNA(VLOOKUP(D389,BaseType!A:A,1,FALSE())),D389&lt;&gt;"Struct"),"N","Y")</f>
        <v>Y</v>
      </c>
      <c r="G389" s="157" t="s">
        <v>3932</v>
      </c>
    </row>
    <row r="390" spans="1:20" ht="15" customHeight="1" x14ac:dyDescent="0.2">
      <c r="A390" s="157"/>
      <c r="B390" s="235"/>
      <c r="C390" s="156" t="s">
        <v>3933</v>
      </c>
      <c r="D390" s="157" t="s">
        <v>193</v>
      </c>
      <c r="E390" s="157">
        <v>1</v>
      </c>
      <c r="F390" s="235" t="str">
        <f>IF(AND(ISNA(VLOOKUP(D390,A:A,1,FALSE())),ISNA(VLOOKUP(D390,BaseType!A:A,1,FALSE())),D390&lt;&gt;"Struct"),"N","Y")</f>
        <v>Y</v>
      </c>
      <c r="G390" s="157" t="s">
        <v>3934</v>
      </c>
    </row>
    <row r="391" spans="1:20" ht="15" customHeight="1" x14ac:dyDescent="0.2">
      <c r="A391" s="157"/>
      <c r="B391" s="235"/>
      <c r="C391" s="156" t="s">
        <v>3935</v>
      </c>
      <c r="D391" s="157" t="s">
        <v>225</v>
      </c>
      <c r="E391" s="157">
        <v>1</v>
      </c>
      <c r="F391" s="235" t="str">
        <f>IF(AND(ISNA(VLOOKUP(D391,A:A,1,FALSE())),ISNA(VLOOKUP(D391,BaseType!A:A,1,FALSE())),D391&lt;&gt;"Struct"),"N","Y")</f>
        <v>Y</v>
      </c>
      <c r="G391" s="157" t="s">
        <v>3936</v>
      </c>
    </row>
    <row r="392" spans="1:20" ht="15" customHeight="1" x14ac:dyDescent="0.2">
      <c r="A392" s="157"/>
      <c r="B392" s="235"/>
      <c r="C392" s="156" t="s">
        <v>3937</v>
      </c>
      <c r="D392" s="157" t="s">
        <v>225</v>
      </c>
      <c r="E392" s="157">
        <v>1</v>
      </c>
      <c r="F392" s="235" t="str">
        <f>IF(AND(ISNA(VLOOKUP(D392,A:A,1,FALSE())),ISNA(VLOOKUP(D392,BaseType!A:A,1,FALSE())),D392&lt;&gt;"Struct"),"N","Y")</f>
        <v>Y</v>
      </c>
      <c r="G392" s="157" t="s">
        <v>3938</v>
      </c>
    </row>
    <row r="393" spans="1:20" ht="15" customHeight="1" x14ac:dyDescent="0.2">
      <c r="A393" s="157"/>
      <c r="B393" s="235"/>
      <c r="C393" s="156" t="s">
        <v>3939</v>
      </c>
      <c r="D393" s="157" t="s">
        <v>225</v>
      </c>
      <c r="E393" s="157">
        <v>1</v>
      </c>
      <c r="F393" s="235" t="str">
        <f>IF(AND(ISNA(VLOOKUP(D393,A:A,1,FALSE())),ISNA(VLOOKUP(D393,BaseType!A:A,1,FALSE())),D393&lt;&gt;"Struct"),"N","Y")</f>
        <v>Y</v>
      </c>
      <c r="G393" s="157" t="s">
        <v>3940</v>
      </c>
    </row>
    <row r="394" spans="1:20" ht="15" customHeight="1" x14ac:dyDescent="0.2">
      <c r="A394" s="157"/>
      <c r="B394" s="235"/>
      <c r="C394" s="156" t="s">
        <v>3941</v>
      </c>
      <c r="D394" s="157" t="s">
        <v>225</v>
      </c>
      <c r="E394" s="157">
        <v>1</v>
      </c>
      <c r="F394" s="235" t="str">
        <f>IF(AND(ISNA(VLOOKUP(D394,A:A,1,FALSE())),ISNA(VLOOKUP(D394,BaseType!A:A,1,FALSE())),D394&lt;&gt;"Struct"),"N","Y")</f>
        <v>Y</v>
      </c>
      <c r="G394" s="157" t="s">
        <v>3942</v>
      </c>
    </row>
    <row r="395" spans="1:20" ht="15" customHeight="1" x14ac:dyDescent="0.2">
      <c r="A395" s="157"/>
      <c r="B395" s="235"/>
      <c r="C395" s="156" t="s">
        <v>3943</v>
      </c>
      <c r="D395" s="157" t="s">
        <v>225</v>
      </c>
      <c r="E395" s="157">
        <v>1</v>
      </c>
      <c r="F395" s="235" t="str">
        <f>IF(AND(ISNA(VLOOKUP(D395,A:A,1,FALSE())),ISNA(VLOOKUP(D395,BaseType!A:A,1,FALSE())),D395&lt;&gt;"Struct"),"N","Y")</f>
        <v>Y</v>
      </c>
      <c r="G395" s="157" t="s">
        <v>3944</v>
      </c>
    </row>
    <row r="396" spans="1:20" ht="15" customHeight="1" x14ac:dyDescent="0.2">
      <c r="A396" s="157"/>
      <c r="B396" s="235"/>
      <c r="C396" s="156" t="s">
        <v>3945</v>
      </c>
      <c r="D396" s="157" t="s">
        <v>225</v>
      </c>
      <c r="E396" s="157">
        <v>1</v>
      </c>
      <c r="F396" s="235" t="str">
        <f>IF(AND(ISNA(VLOOKUP(D396,A:A,1,FALSE())),ISNA(VLOOKUP(D396,BaseType!A:A,1,FALSE())),D396&lt;&gt;"Struct"),"N","Y")</f>
        <v>Y</v>
      </c>
      <c r="G396" s="157" t="s">
        <v>3946</v>
      </c>
    </row>
    <row r="397" spans="1:20" ht="15" customHeight="1" x14ac:dyDescent="0.2">
      <c r="A397" s="157"/>
      <c r="B397" s="235"/>
      <c r="C397" s="156" t="s">
        <v>3947</v>
      </c>
      <c r="D397" s="157" t="s">
        <v>225</v>
      </c>
      <c r="E397" s="157">
        <v>1</v>
      </c>
      <c r="F397" s="235" t="str">
        <f>IF(AND(ISNA(VLOOKUP(D397,A:A,1,FALSE())),ISNA(VLOOKUP(D397,BaseType!A:A,1,FALSE())),D397&lt;&gt;"Struct"),"N","Y")</f>
        <v>Y</v>
      </c>
      <c r="G397" s="157" t="s">
        <v>3948</v>
      </c>
    </row>
    <row r="398" spans="1:20" ht="15" customHeight="1" x14ac:dyDescent="0.2">
      <c r="A398" s="157"/>
      <c r="B398" s="235"/>
      <c r="C398" s="156" t="s">
        <v>3949</v>
      </c>
      <c r="D398" s="157" t="s">
        <v>225</v>
      </c>
      <c r="E398" s="157">
        <v>1</v>
      </c>
      <c r="F398" s="235" t="str">
        <f>IF(AND(ISNA(VLOOKUP(D398,A:A,1,FALSE())),ISNA(VLOOKUP(D398,BaseType!A:A,1,FALSE())),D398&lt;&gt;"Struct"),"N","Y")</f>
        <v>Y</v>
      </c>
      <c r="G398" s="157" t="s">
        <v>3950</v>
      </c>
    </row>
    <row r="399" spans="1:20" ht="15" customHeight="1" x14ac:dyDescent="0.2">
      <c r="A399" s="157"/>
      <c r="B399" s="235"/>
      <c r="C399" s="156" t="s">
        <v>3951</v>
      </c>
      <c r="D399" s="157" t="s">
        <v>225</v>
      </c>
      <c r="E399" s="157">
        <v>1</v>
      </c>
      <c r="F399" s="235" t="str">
        <f>IF(AND(ISNA(VLOOKUP(D399,A:A,1,FALSE())),ISNA(VLOOKUP(D399,BaseType!A:A,1,FALSE())),D399&lt;&gt;"Struct"),"N","Y")</f>
        <v>Y</v>
      </c>
      <c r="G399" s="157" t="s">
        <v>3952</v>
      </c>
    </row>
    <row r="400" spans="1:20" ht="15" customHeight="1" x14ac:dyDescent="0.2">
      <c r="A400" s="157" t="s">
        <v>3909</v>
      </c>
      <c r="B400" s="235" t="str">
        <f>IF(ISBLANK(A400),"",IF(AND(ISNA(VLOOKUP(A400,Interface_E01!E:E,1,FALSE())),ISNA(VLOOKUP(A400,D:D,1,FALSE()))),"N","Y"))</f>
        <v>Y</v>
      </c>
      <c r="C400" s="273"/>
      <c r="D400" s="156" t="s">
        <v>484</v>
      </c>
      <c r="E400" s="157"/>
      <c r="F400" s="235" t="str">
        <f>IF(AND(ISNA(VLOOKUP(D400,A:A,1,FALSE())),ISNA(VLOOKUP(D400,BaseType!A:A,1,FALSE())),D400&lt;&gt;"Struct"),"N","Y")</f>
        <v>Y</v>
      </c>
      <c r="G400" s="157"/>
    </row>
    <row r="401" spans="1:7" ht="15" customHeight="1" x14ac:dyDescent="0.2">
      <c r="A401" s="157"/>
      <c r="B401" s="235"/>
      <c r="C401" s="156" t="s">
        <v>3953</v>
      </c>
      <c r="D401" s="157" t="s">
        <v>1314</v>
      </c>
      <c r="E401" s="157">
        <v>1</v>
      </c>
      <c r="F401" s="235" t="str">
        <f>IF(AND(ISNA(VLOOKUP(D401,A:A,1,FALSE())),ISNA(VLOOKUP(D401,BaseType!A:A,1,FALSE())),D401&lt;&gt;"Struct"),"N","Y")</f>
        <v>Y</v>
      </c>
      <c r="G401" s="157" t="s">
        <v>3954</v>
      </c>
    </row>
    <row r="402" spans="1:7" ht="15" customHeight="1" x14ac:dyDescent="0.2">
      <c r="A402" s="157"/>
      <c r="B402" s="235"/>
      <c r="C402" s="156" t="s">
        <v>3955</v>
      </c>
      <c r="D402" s="157" t="s">
        <v>1314</v>
      </c>
      <c r="E402" s="157">
        <v>1</v>
      </c>
      <c r="F402" s="235" t="str">
        <f>IF(AND(ISNA(VLOOKUP(D402,A:A,1,FALSE())),ISNA(VLOOKUP(D402,BaseType!A:A,1,FALSE())),D402&lt;&gt;"Struct"),"N","Y")</f>
        <v>Y</v>
      </c>
      <c r="G402" s="157" t="s">
        <v>3956</v>
      </c>
    </row>
    <row r="403" spans="1:7" ht="15" customHeight="1" x14ac:dyDescent="0.2">
      <c r="A403" s="157"/>
      <c r="B403" s="235"/>
      <c r="C403" s="156" t="s">
        <v>3957</v>
      </c>
      <c r="D403" s="157" t="s">
        <v>225</v>
      </c>
      <c r="E403" s="157">
        <v>1</v>
      </c>
      <c r="F403" s="235" t="str">
        <f>IF(AND(ISNA(VLOOKUP(D403,A:A,1,FALSE())),ISNA(VLOOKUP(D403,BaseType!A:A,1,FALSE())),D403&lt;&gt;"Struct"),"N","Y")</f>
        <v>Y</v>
      </c>
      <c r="G403" s="157" t="s">
        <v>2407</v>
      </c>
    </row>
    <row r="404" spans="1:7" ht="15" customHeight="1" x14ac:dyDescent="0.2">
      <c r="A404" s="157"/>
      <c r="B404" s="235"/>
      <c r="C404" s="156" t="s">
        <v>3958</v>
      </c>
      <c r="D404" s="157" t="s">
        <v>225</v>
      </c>
      <c r="E404" s="157">
        <v>1</v>
      </c>
      <c r="F404" s="235" t="str">
        <f>IF(AND(ISNA(VLOOKUP(D404,A:A,1,FALSE())),ISNA(VLOOKUP(D404,BaseType!A:A,1,FALSE())),D404&lt;&gt;"Struct"),"N","Y")</f>
        <v>Y</v>
      </c>
      <c r="G404" s="157" t="s">
        <v>2053</v>
      </c>
    </row>
    <row r="405" spans="1:7" ht="15" customHeight="1" x14ac:dyDescent="0.2">
      <c r="A405" s="157"/>
      <c r="B405" s="235"/>
      <c r="C405" s="156" t="s">
        <v>3959</v>
      </c>
      <c r="D405" s="157" t="s">
        <v>225</v>
      </c>
      <c r="E405" s="157">
        <v>1</v>
      </c>
      <c r="F405" s="235" t="str">
        <f>IF(AND(ISNA(VLOOKUP(D405,A:A,1,FALSE())),ISNA(VLOOKUP(D405,BaseType!A:A,1,FALSE())),D405&lt;&gt;"Struct"),"N","Y")</f>
        <v>Y</v>
      </c>
      <c r="G405" s="157" t="s">
        <v>3960</v>
      </c>
    </row>
    <row r="406" spans="1:7" ht="15" customHeight="1" x14ac:dyDescent="0.2">
      <c r="A406" s="157"/>
      <c r="B406" s="235"/>
      <c r="C406" s="156" t="s">
        <v>3961</v>
      </c>
      <c r="D406" s="157" t="s">
        <v>225</v>
      </c>
      <c r="E406" s="157">
        <v>1</v>
      </c>
      <c r="F406" s="235" t="str">
        <f>IF(AND(ISNA(VLOOKUP(D406,A:A,1,FALSE())),ISNA(VLOOKUP(D406,BaseType!A:A,1,FALSE())),D406&lt;&gt;"Struct"),"N","Y")</f>
        <v>Y</v>
      </c>
      <c r="G406" s="157" t="s">
        <v>3962</v>
      </c>
    </row>
    <row r="407" spans="1:7" ht="15" customHeight="1" x14ac:dyDescent="0.2">
      <c r="A407" s="157"/>
      <c r="B407" s="235"/>
      <c r="C407" s="156" t="s">
        <v>3963</v>
      </c>
      <c r="D407" s="157" t="s">
        <v>225</v>
      </c>
      <c r="E407" s="157">
        <v>1</v>
      </c>
      <c r="F407" s="235" t="str">
        <f>IF(AND(ISNA(VLOOKUP(D407,A:A,1,FALSE())),ISNA(VLOOKUP(D407,BaseType!A:A,1,FALSE())),D407&lt;&gt;"Struct"),"N","Y")</f>
        <v>Y</v>
      </c>
      <c r="G407" s="157" t="s">
        <v>3964</v>
      </c>
    </row>
    <row r="408" spans="1:7" ht="15" customHeight="1" x14ac:dyDescent="0.2">
      <c r="A408" s="157"/>
      <c r="B408" s="235"/>
      <c r="C408" s="156" t="s">
        <v>3965</v>
      </c>
      <c r="D408" s="157" t="s">
        <v>225</v>
      </c>
      <c r="E408" s="157">
        <v>1</v>
      </c>
      <c r="F408" s="235" t="str">
        <f>IF(AND(ISNA(VLOOKUP(D408,A:A,1,FALSE())),ISNA(VLOOKUP(D408,BaseType!A:A,1,FALSE())),D408&lt;&gt;"Struct"),"N","Y")</f>
        <v>Y</v>
      </c>
      <c r="G408" s="157" t="s">
        <v>3966</v>
      </c>
    </row>
    <row r="409" spans="1:7" ht="15" customHeight="1" x14ac:dyDescent="0.2">
      <c r="A409" s="157"/>
      <c r="B409" s="235"/>
      <c r="C409" s="156" t="s">
        <v>3967</v>
      </c>
      <c r="D409" s="157" t="s">
        <v>225</v>
      </c>
      <c r="E409" s="157">
        <v>1</v>
      </c>
      <c r="F409" s="235" t="str">
        <f>IF(AND(ISNA(VLOOKUP(D409,A:A,1,FALSE())),ISNA(VLOOKUP(D409,BaseType!A:A,1,FALSE())),D409&lt;&gt;"Struct"),"N","Y")</f>
        <v>Y</v>
      </c>
      <c r="G409" s="157" t="s">
        <v>3968</v>
      </c>
    </row>
    <row r="410" spans="1:7" ht="15" customHeight="1" x14ac:dyDescent="0.2">
      <c r="A410" s="157"/>
      <c r="B410" s="235"/>
      <c r="C410" s="156" t="s">
        <v>3969</v>
      </c>
      <c r="D410" s="157" t="s">
        <v>225</v>
      </c>
      <c r="E410" s="157">
        <v>1</v>
      </c>
      <c r="F410" s="235" t="str">
        <f>IF(AND(ISNA(VLOOKUP(D410,A:A,1,FALSE())),ISNA(VLOOKUP(D410,BaseType!A:A,1,FALSE())),D410&lt;&gt;"Struct"),"N","Y")</f>
        <v>Y</v>
      </c>
      <c r="G410" s="157" t="s">
        <v>3970</v>
      </c>
    </row>
    <row r="411" spans="1:7" ht="15" customHeight="1" x14ac:dyDescent="0.2">
      <c r="A411" s="157" t="s">
        <v>3257</v>
      </c>
      <c r="B411" s="235" t="str">
        <f>IF(ISBLANK(A411),"",IF(AND(ISNA(VLOOKUP(A411,Interface_E01!E:E,1,FALSE())),ISNA(VLOOKUP(A411,D:D,1,FALSE()))),"N","Y"))</f>
        <v>Y</v>
      </c>
      <c r="C411" s="156"/>
      <c r="D411" s="157" t="s">
        <v>484</v>
      </c>
      <c r="E411" s="157"/>
      <c r="F411" s="235" t="str">
        <f>IF(AND(ISNA(VLOOKUP(D411,A:A,1,FALSE())),ISNA(VLOOKUP(D411,BaseType!A:A,1,FALSE())),D411&lt;&gt;"Struct"),"N","Y")</f>
        <v>Y</v>
      </c>
      <c r="G411" s="157"/>
    </row>
    <row r="412" spans="1:7" ht="15" customHeight="1" x14ac:dyDescent="0.2">
      <c r="A412" s="157"/>
      <c r="B412" s="235"/>
      <c r="C412" s="156" t="s">
        <v>3971</v>
      </c>
      <c r="D412" s="157" t="s">
        <v>3972</v>
      </c>
      <c r="E412" s="157">
        <v>1</v>
      </c>
      <c r="F412" s="235" t="str">
        <f>IF(AND(ISNA(VLOOKUP(D412,A:A,1,FALSE())),ISNA(VLOOKUP(D412,BaseType!A:A,1,FALSE())),D412&lt;&gt;"Struct"),"N","Y")</f>
        <v>Y</v>
      </c>
      <c r="G412" s="157" t="s">
        <v>3973</v>
      </c>
    </row>
    <row r="413" spans="1:7" ht="15" customHeight="1" x14ac:dyDescent="0.2">
      <c r="A413" s="157"/>
      <c r="B413" s="235"/>
      <c r="C413" s="156" t="s">
        <v>3974</v>
      </c>
      <c r="D413" s="157" t="s">
        <v>3975</v>
      </c>
      <c r="E413" s="157">
        <v>1</v>
      </c>
      <c r="F413" s="235" t="str">
        <f>IF(AND(ISNA(VLOOKUP(D413,A:A,1,FALSE())),ISNA(VLOOKUP(D413,BaseType!A:A,1,FALSE())),D413&lt;&gt;"Struct"),"N","Y")</f>
        <v>Y</v>
      </c>
      <c r="G413" s="157" t="s">
        <v>3976</v>
      </c>
    </row>
    <row r="414" spans="1:7" ht="15" customHeight="1" x14ac:dyDescent="0.2">
      <c r="A414" s="157"/>
      <c r="B414" s="235"/>
      <c r="C414" s="156" t="s">
        <v>3977</v>
      </c>
      <c r="D414" s="157" t="s">
        <v>3978</v>
      </c>
      <c r="E414" s="157">
        <v>1</v>
      </c>
      <c r="F414" s="235" t="str">
        <f>IF(AND(ISNA(VLOOKUP(D414,A:A,1,FALSE())),ISNA(VLOOKUP(D414,BaseType!A:A,1,FALSE())),D414&lt;&gt;"Struct"),"N","Y")</f>
        <v>Y</v>
      </c>
      <c r="G414" s="157" t="s">
        <v>3979</v>
      </c>
    </row>
    <row r="415" spans="1:7" ht="15" customHeight="1" x14ac:dyDescent="0.2">
      <c r="A415" s="157"/>
      <c r="B415" s="235"/>
      <c r="C415" s="156" t="s">
        <v>3980</v>
      </c>
      <c r="D415" s="157" t="s">
        <v>3981</v>
      </c>
      <c r="E415" s="157">
        <v>1</v>
      </c>
      <c r="F415" s="235" t="str">
        <f>IF(AND(ISNA(VLOOKUP(D415,A:A,1,FALSE())),ISNA(VLOOKUP(D415,BaseType!A:A,1,FALSE())),D415&lt;&gt;"Struct"),"N","Y")</f>
        <v>Y</v>
      </c>
      <c r="G415" s="157" t="s">
        <v>3982</v>
      </c>
    </row>
    <row r="416" spans="1:7" ht="15" customHeight="1" x14ac:dyDescent="0.2">
      <c r="A416" s="157"/>
      <c r="B416" s="235"/>
      <c r="C416" s="156" t="s">
        <v>3983</v>
      </c>
      <c r="D416" s="157" t="s">
        <v>3984</v>
      </c>
      <c r="E416" s="157">
        <v>1</v>
      </c>
      <c r="F416" s="235" t="str">
        <f>IF(AND(ISNA(VLOOKUP(D416,A:A,1,FALSE())),ISNA(VLOOKUP(D416,BaseType!A:A,1,FALSE())),D416&lt;&gt;"Struct"),"N","Y")</f>
        <v>Y</v>
      </c>
      <c r="G416" s="157" t="s">
        <v>3985</v>
      </c>
    </row>
    <row r="417" spans="1:7" ht="15" customHeight="1" x14ac:dyDescent="0.2">
      <c r="A417" s="157"/>
      <c r="B417" s="235"/>
      <c r="C417" s="156" t="s">
        <v>3986</v>
      </c>
      <c r="D417" s="157" t="s">
        <v>3987</v>
      </c>
      <c r="E417" s="157">
        <v>1</v>
      </c>
      <c r="F417" s="235" t="str">
        <f>IF(AND(ISNA(VLOOKUP(D417,A:A,1,FALSE())),ISNA(VLOOKUP(D417,BaseType!A:A,1,FALSE())),D417&lt;&gt;"Struct"),"N","Y")</f>
        <v>Y</v>
      </c>
      <c r="G417" s="157" t="s">
        <v>3988</v>
      </c>
    </row>
    <row r="418" spans="1:7" ht="15" customHeight="1" x14ac:dyDescent="0.2">
      <c r="A418" s="157"/>
      <c r="B418" s="235"/>
      <c r="C418" s="156" t="s">
        <v>3989</v>
      </c>
      <c r="D418" s="157" t="s">
        <v>3990</v>
      </c>
      <c r="E418" s="157">
        <v>1</v>
      </c>
      <c r="F418" s="235" t="str">
        <f>IF(AND(ISNA(VLOOKUP(D418,A:A,1,FALSE())),ISNA(VLOOKUP(D418,BaseType!A:A,1,FALSE())),D418&lt;&gt;"Struct"),"N","Y")</f>
        <v>Y</v>
      </c>
      <c r="G418" s="157" t="s">
        <v>3991</v>
      </c>
    </row>
    <row r="419" spans="1:7" ht="15" customHeight="1" x14ac:dyDescent="0.2">
      <c r="A419" s="157"/>
      <c r="B419" s="235"/>
      <c r="C419" s="156" t="s">
        <v>3992</v>
      </c>
      <c r="D419" s="157" t="s">
        <v>3993</v>
      </c>
      <c r="E419" s="157">
        <v>1</v>
      </c>
      <c r="F419" s="235" t="str">
        <f>IF(AND(ISNA(VLOOKUP(D419,A:A,1,FALSE())),ISNA(VLOOKUP(D419,BaseType!A:A,1,FALSE())),D419&lt;&gt;"Struct"),"N","Y")</f>
        <v>Y</v>
      </c>
      <c r="G419" s="157" t="s">
        <v>3994</v>
      </c>
    </row>
    <row r="420" spans="1:7" ht="15" customHeight="1" x14ac:dyDescent="0.2">
      <c r="A420" s="157"/>
      <c r="B420" s="235"/>
      <c r="C420" s="156" t="s">
        <v>3995</v>
      </c>
      <c r="D420" s="157" t="s">
        <v>3996</v>
      </c>
      <c r="E420" s="157">
        <v>1</v>
      </c>
      <c r="F420" s="235" t="str">
        <f>IF(AND(ISNA(VLOOKUP(D420,A:A,1,FALSE())),ISNA(VLOOKUP(D420,BaseType!A:A,1,FALSE())),D420&lt;&gt;"Struct"),"N","Y")</f>
        <v>Y</v>
      </c>
      <c r="G420" s="157" t="s">
        <v>3997</v>
      </c>
    </row>
    <row r="421" spans="1:7" ht="15" customHeight="1" x14ac:dyDescent="0.2">
      <c r="A421" s="157"/>
      <c r="B421" s="235"/>
      <c r="C421" s="156" t="s">
        <v>3998</v>
      </c>
      <c r="D421" s="157" t="s">
        <v>3999</v>
      </c>
      <c r="E421" s="157">
        <v>1</v>
      </c>
      <c r="F421" s="235" t="str">
        <f>IF(AND(ISNA(VLOOKUP(D421,A:A,1,FALSE())),ISNA(VLOOKUP(D421,BaseType!A:A,1,FALSE())),D421&lt;&gt;"Struct"),"N","Y")</f>
        <v>Y</v>
      </c>
      <c r="G421" s="157" t="s">
        <v>3976</v>
      </c>
    </row>
    <row r="422" spans="1:7" ht="15" customHeight="1" x14ac:dyDescent="0.2">
      <c r="A422" s="157"/>
      <c r="B422" s="235"/>
      <c r="C422" s="156" t="s">
        <v>4000</v>
      </c>
      <c r="D422" s="157" t="s">
        <v>4001</v>
      </c>
      <c r="E422" s="157">
        <v>1</v>
      </c>
      <c r="F422" s="235" t="str">
        <f>IF(AND(ISNA(VLOOKUP(D422,A:A,1,FALSE())),ISNA(VLOOKUP(D422,BaseType!A:A,1,FALSE())),D422&lt;&gt;"Struct"),"N","Y")</f>
        <v>Y</v>
      </c>
      <c r="G422" s="157" t="s">
        <v>3991</v>
      </c>
    </row>
    <row r="423" spans="1:7" ht="15" customHeight="1" x14ac:dyDescent="0.2">
      <c r="A423" s="157"/>
      <c r="B423" s="235"/>
      <c r="C423" s="156" t="s">
        <v>4002</v>
      </c>
      <c r="D423" s="157" t="s">
        <v>4003</v>
      </c>
      <c r="E423" s="157">
        <v>1</v>
      </c>
      <c r="F423" s="235" t="str">
        <f>IF(AND(ISNA(VLOOKUP(D423,A:A,1,FALSE())),ISNA(VLOOKUP(D423,BaseType!A:A,1,FALSE())),D423&lt;&gt;"Struct"),"N","Y")</f>
        <v>Y</v>
      </c>
      <c r="G423" s="157" t="s">
        <v>4004</v>
      </c>
    </row>
    <row r="424" spans="1:7" ht="15" customHeight="1" x14ac:dyDescent="0.2">
      <c r="A424" s="157"/>
      <c r="B424" s="235"/>
      <c r="C424" s="156" t="s">
        <v>4005</v>
      </c>
      <c r="D424" s="157" t="s">
        <v>4006</v>
      </c>
      <c r="E424" s="157">
        <v>1</v>
      </c>
      <c r="F424" s="235" t="str">
        <f>IF(AND(ISNA(VLOOKUP(D424,A:A,1,FALSE())),ISNA(VLOOKUP(D424,BaseType!A:A,1,FALSE())),D424&lt;&gt;"Struct"),"N","Y")</f>
        <v>Y</v>
      </c>
      <c r="G424" s="157" t="s">
        <v>4007</v>
      </c>
    </row>
    <row r="425" spans="1:7" ht="15" customHeight="1" x14ac:dyDescent="0.2">
      <c r="A425" s="157"/>
      <c r="B425" s="235"/>
      <c r="C425" s="272" t="s">
        <v>4008</v>
      </c>
      <c r="D425" s="240" t="s">
        <v>4009</v>
      </c>
      <c r="E425" s="240">
        <v>1</v>
      </c>
      <c r="F425" s="248" t="str">
        <f>IF(AND(ISNA(VLOOKUP(D425,A:A,1,FALSE())),ISNA(VLOOKUP(D425,BaseType!A:A,1,FALSE())),D425&lt;&gt;"Struct"),"N","Y")</f>
        <v>Y</v>
      </c>
      <c r="G425" s="240" t="s">
        <v>4010</v>
      </c>
    </row>
    <row r="426" spans="1:7" ht="15" customHeight="1" x14ac:dyDescent="0.2">
      <c r="A426" s="157" t="s">
        <v>3972</v>
      </c>
      <c r="B426" s="235" t="str">
        <f>IF(ISBLANK(A426),"",IF(AND(ISNA(VLOOKUP(A426,Interface_E01!E:E,1,FALSE())),ISNA(VLOOKUP(A426,D:D,1,FALSE()))),"N","Y"))</f>
        <v>Y</v>
      </c>
      <c r="C426" s="156"/>
      <c r="D426" s="157" t="s">
        <v>484</v>
      </c>
      <c r="E426" s="157"/>
      <c r="F426" s="235" t="str">
        <f>IF(AND(ISNA(VLOOKUP(D426,A:A,1,FALSE())),ISNA(VLOOKUP(D426,BaseType!A:A,1,FALSE())),D426&lt;&gt;"Struct"),"N","Y")</f>
        <v>Y</v>
      </c>
      <c r="G426" s="157"/>
    </row>
    <row r="427" spans="1:7" ht="15" customHeight="1" x14ac:dyDescent="0.2">
      <c r="A427" s="157"/>
      <c r="B427" s="235"/>
      <c r="C427" s="156" t="s">
        <v>4011</v>
      </c>
      <c r="D427" s="157" t="s">
        <v>193</v>
      </c>
      <c r="E427" s="157">
        <v>1</v>
      </c>
      <c r="F427" s="235" t="str">
        <f>IF(AND(ISNA(VLOOKUP(D427,A:A,1,FALSE())),ISNA(VLOOKUP(D427,BaseType!A:A,1,FALSE())),D427&lt;&gt;"Struct"),"N","Y")</f>
        <v>Y</v>
      </c>
      <c r="G427" s="157" t="s">
        <v>4012</v>
      </c>
    </row>
    <row r="428" spans="1:7" ht="15" customHeight="1" x14ac:dyDescent="0.2">
      <c r="A428" s="157"/>
      <c r="B428" s="235"/>
      <c r="C428" s="156" t="s">
        <v>4013</v>
      </c>
      <c r="D428" s="157" t="s">
        <v>193</v>
      </c>
      <c r="E428" s="157">
        <v>1</v>
      </c>
      <c r="F428" s="235" t="str">
        <f>IF(AND(ISNA(VLOOKUP(D428,A:A,1,FALSE())),ISNA(VLOOKUP(D428,BaseType!A:A,1,FALSE())),D428&lt;&gt;"Struct"),"N","Y")</f>
        <v>Y</v>
      </c>
      <c r="G428" s="157" t="s">
        <v>4014</v>
      </c>
    </row>
    <row r="429" spans="1:7" ht="15" customHeight="1" x14ac:dyDescent="0.2">
      <c r="A429" s="157"/>
      <c r="B429" s="235"/>
      <c r="C429" s="156" t="s">
        <v>4015</v>
      </c>
      <c r="D429" s="157" t="s">
        <v>193</v>
      </c>
      <c r="E429" s="157">
        <v>1</v>
      </c>
      <c r="F429" s="235" t="str">
        <f>IF(AND(ISNA(VLOOKUP(D429,A:A,1,FALSE())),ISNA(VLOOKUP(D429,BaseType!A:A,1,FALSE())),D429&lt;&gt;"Struct"),"N","Y")</f>
        <v>Y</v>
      </c>
      <c r="G429" s="157" t="s">
        <v>4016</v>
      </c>
    </row>
    <row r="430" spans="1:7" ht="15" customHeight="1" x14ac:dyDescent="0.2">
      <c r="A430" s="157"/>
      <c r="B430" s="235"/>
      <c r="C430" s="156" t="s">
        <v>4017</v>
      </c>
      <c r="D430" s="157" t="s">
        <v>225</v>
      </c>
      <c r="E430" s="157">
        <v>1</v>
      </c>
      <c r="F430" s="235" t="str">
        <f>IF(AND(ISNA(VLOOKUP(D430,A:A,1,FALSE())),ISNA(VLOOKUP(D430,BaseType!A:A,1,FALSE())),D430&lt;&gt;"Struct"),"N","Y")</f>
        <v>Y</v>
      </c>
      <c r="G430" s="157" t="s">
        <v>4018</v>
      </c>
    </row>
    <row r="431" spans="1:7" ht="15" customHeight="1" x14ac:dyDescent="0.2">
      <c r="A431" s="157"/>
      <c r="B431" s="235"/>
      <c r="C431" s="156" t="s">
        <v>4019</v>
      </c>
      <c r="D431" s="157" t="s">
        <v>225</v>
      </c>
      <c r="E431" s="157">
        <v>1</v>
      </c>
      <c r="F431" s="235" t="str">
        <f>IF(AND(ISNA(VLOOKUP(D431,A:A,1,FALSE())),ISNA(VLOOKUP(D431,BaseType!A:A,1,FALSE())),D431&lt;&gt;"Struct"),"N","Y")</f>
        <v>Y</v>
      </c>
      <c r="G431" s="157" t="s">
        <v>4020</v>
      </c>
    </row>
    <row r="432" spans="1:7" ht="15" customHeight="1" x14ac:dyDescent="0.2">
      <c r="A432" s="157"/>
      <c r="B432" s="235"/>
      <c r="C432" s="156" t="s">
        <v>4021</v>
      </c>
      <c r="D432" s="157" t="s">
        <v>225</v>
      </c>
      <c r="E432" s="157">
        <v>1</v>
      </c>
      <c r="F432" s="235" t="str">
        <f>IF(AND(ISNA(VLOOKUP(D432,A:A,1,FALSE())),ISNA(VLOOKUP(D432,BaseType!A:A,1,FALSE())),D432&lt;&gt;"Struct"),"N","Y")</f>
        <v>Y</v>
      </c>
      <c r="G432" s="157" t="s">
        <v>4022</v>
      </c>
    </row>
    <row r="433" spans="1:7" ht="15" customHeight="1" x14ac:dyDescent="0.2">
      <c r="A433" s="157" t="s">
        <v>3975</v>
      </c>
      <c r="B433" s="235" t="str">
        <f>IF(ISBLANK(A433),"",IF(AND(ISNA(VLOOKUP(A433,Interface_E01!E:E,1,FALSE())),ISNA(VLOOKUP(A433,D:D,1,FALSE()))),"N","Y"))</f>
        <v>Y</v>
      </c>
      <c r="C433" s="156"/>
      <c r="D433" s="157" t="s">
        <v>484</v>
      </c>
      <c r="E433" s="157"/>
      <c r="F433" s="235" t="str">
        <f>IF(AND(ISNA(VLOOKUP(D433,A:A,1,FALSE())),ISNA(VLOOKUP(D433,BaseType!A:A,1,FALSE())),D433&lt;&gt;"Struct"),"N","Y")</f>
        <v>Y</v>
      </c>
      <c r="G433" s="157"/>
    </row>
    <row r="434" spans="1:7" ht="15" customHeight="1" x14ac:dyDescent="0.2">
      <c r="A434" s="157"/>
      <c r="B434" s="235"/>
      <c r="C434" s="156" t="s">
        <v>4023</v>
      </c>
      <c r="D434" s="157" t="s">
        <v>193</v>
      </c>
      <c r="E434" s="157">
        <v>1</v>
      </c>
      <c r="F434" s="235" t="str">
        <f>IF(AND(ISNA(VLOOKUP(D434,A:A,1,FALSE())),ISNA(VLOOKUP(D434,BaseType!A:A,1,FALSE())),D434&lt;&gt;"Struct"),"N","Y")</f>
        <v>Y</v>
      </c>
      <c r="G434" s="157" t="s">
        <v>4024</v>
      </c>
    </row>
    <row r="435" spans="1:7" ht="15" customHeight="1" x14ac:dyDescent="0.2">
      <c r="A435" s="157"/>
      <c r="B435" s="235"/>
      <c r="C435" s="156" t="s">
        <v>4025</v>
      </c>
      <c r="D435" s="157" t="s">
        <v>193</v>
      </c>
      <c r="E435" s="157">
        <v>1</v>
      </c>
      <c r="F435" s="235" t="str">
        <f>IF(AND(ISNA(VLOOKUP(D435,A:A,1,FALSE())),ISNA(VLOOKUP(D435,BaseType!A:A,1,FALSE())),D435&lt;&gt;"Struct"),"N","Y")</f>
        <v>Y</v>
      </c>
      <c r="G435" s="157" t="s">
        <v>4026</v>
      </c>
    </row>
    <row r="436" spans="1:7" ht="15" customHeight="1" x14ac:dyDescent="0.2">
      <c r="A436" s="157"/>
      <c r="B436" s="235"/>
      <c r="C436" s="156" t="s">
        <v>4027</v>
      </c>
      <c r="D436" s="157" t="s">
        <v>193</v>
      </c>
      <c r="E436" s="157">
        <v>1</v>
      </c>
      <c r="F436" s="235" t="str">
        <f>IF(AND(ISNA(VLOOKUP(D436,A:A,1,FALSE())),ISNA(VLOOKUP(D436,BaseType!A:A,1,FALSE())),D436&lt;&gt;"Struct"),"N","Y")</f>
        <v>Y</v>
      </c>
      <c r="G436" s="157" t="s">
        <v>4028</v>
      </c>
    </row>
    <row r="437" spans="1:7" ht="15" customHeight="1" x14ac:dyDescent="0.2">
      <c r="A437" s="157"/>
      <c r="B437" s="235"/>
      <c r="C437" s="156" t="s">
        <v>4029</v>
      </c>
      <c r="D437" s="157" t="s">
        <v>193</v>
      </c>
      <c r="E437" s="157">
        <v>1</v>
      </c>
      <c r="F437" s="235" t="str">
        <f>IF(AND(ISNA(VLOOKUP(D437,A:A,1,FALSE())),ISNA(VLOOKUP(D437,BaseType!A:A,1,FALSE())),D437&lt;&gt;"Struct"),"N","Y")</f>
        <v>Y</v>
      </c>
      <c r="G437" s="157" t="s">
        <v>4030</v>
      </c>
    </row>
    <row r="438" spans="1:7" ht="15" customHeight="1" x14ac:dyDescent="0.2">
      <c r="A438" s="157"/>
      <c r="B438" s="235"/>
      <c r="C438" s="156" t="s">
        <v>4031</v>
      </c>
      <c r="D438" s="157" t="s">
        <v>193</v>
      </c>
      <c r="E438" s="157">
        <v>1</v>
      </c>
      <c r="F438" s="235" t="str">
        <f>IF(AND(ISNA(VLOOKUP(D438,A:A,1,FALSE())),ISNA(VLOOKUP(D438,BaseType!A:A,1,FALSE())),D438&lt;&gt;"Struct"),"N","Y")</f>
        <v>Y</v>
      </c>
      <c r="G438" s="157" t="s">
        <v>4032</v>
      </c>
    </row>
    <row r="439" spans="1:7" ht="15" customHeight="1" x14ac:dyDescent="0.2">
      <c r="A439" s="157"/>
      <c r="B439" s="235"/>
      <c r="C439" s="156" t="s">
        <v>4033</v>
      </c>
      <c r="D439" s="157" t="s">
        <v>193</v>
      </c>
      <c r="E439" s="157">
        <v>1</v>
      </c>
      <c r="F439" s="235" t="str">
        <f>IF(AND(ISNA(VLOOKUP(D439,A:A,1,FALSE())),ISNA(VLOOKUP(D439,BaseType!A:A,1,FALSE())),D439&lt;&gt;"Struct"),"N","Y")</f>
        <v>Y</v>
      </c>
      <c r="G439" s="157" t="s">
        <v>4034</v>
      </c>
    </row>
    <row r="440" spans="1:7" ht="15" customHeight="1" x14ac:dyDescent="0.2">
      <c r="A440" s="157"/>
      <c r="B440" s="235"/>
      <c r="C440" s="156" t="s">
        <v>4035</v>
      </c>
      <c r="D440" s="157" t="s">
        <v>193</v>
      </c>
      <c r="E440" s="157">
        <v>1</v>
      </c>
      <c r="F440" s="235" t="str">
        <f>IF(AND(ISNA(VLOOKUP(D440,A:A,1,FALSE())),ISNA(VLOOKUP(D440,BaseType!A:A,1,FALSE())),D440&lt;&gt;"Struct"),"N","Y")</f>
        <v>Y</v>
      </c>
      <c r="G440" s="157" t="s">
        <v>4036</v>
      </c>
    </row>
    <row r="441" spans="1:7" ht="15" customHeight="1" x14ac:dyDescent="0.2">
      <c r="A441" s="157"/>
      <c r="B441" s="235"/>
      <c r="C441" s="156" t="s">
        <v>4037</v>
      </c>
      <c r="D441" s="157" t="s">
        <v>918</v>
      </c>
      <c r="E441" s="157">
        <v>1</v>
      </c>
      <c r="F441" s="235" t="str">
        <f>IF(AND(ISNA(VLOOKUP(D441,A:A,1,FALSE())),ISNA(VLOOKUP(D441,BaseType!A:A,1,FALSE())),D441&lt;&gt;"Struct"),"N","Y")</f>
        <v>Y</v>
      </c>
      <c r="G441" s="157" t="s">
        <v>4038</v>
      </c>
    </row>
    <row r="442" spans="1:7" ht="15" customHeight="1" x14ac:dyDescent="0.2">
      <c r="A442" s="157" t="s">
        <v>3978</v>
      </c>
      <c r="B442" s="235" t="str">
        <f>IF(ISBLANK(A442),"",IF(AND(ISNA(VLOOKUP(A442,Interface_E01!E:E,1,FALSE())),ISNA(VLOOKUP(A442,D:D,1,FALSE()))),"N","Y"))</f>
        <v>Y</v>
      </c>
      <c r="C442" s="156"/>
      <c r="D442" s="157" t="s">
        <v>484</v>
      </c>
      <c r="E442" s="157"/>
      <c r="F442" s="235" t="str">
        <f>IF(AND(ISNA(VLOOKUP(D442,A:A,1,FALSE())),ISNA(VLOOKUP(D442,BaseType!A:A,1,FALSE())),D442&lt;&gt;"Struct"),"N","Y")</f>
        <v>Y</v>
      </c>
      <c r="G442" s="157"/>
    </row>
    <row r="443" spans="1:7" ht="15" customHeight="1" x14ac:dyDescent="0.2">
      <c r="A443" s="157"/>
      <c r="B443" s="235"/>
      <c r="C443" s="156" t="s">
        <v>2568</v>
      </c>
      <c r="D443" s="157" t="s">
        <v>193</v>
      </c>
      <c r="E443" s="157">
        <v>1</v>
      </c>
      <c r="F443" s="235" t="str">
        <f>IF(AND(ISNA(VLOOKUP(D443,A:A,1,FALSE())),ISNA(VLOOKUP(D443,BaseType!A:A,1,FALSE())),D443&lt;&gt;"Struct"),"N","Y")</f>
        <v>Y</v>
      </c>
      <c r="G443" s="157" t="s">
        <v>4039</v>
      </c>
    </row>
    <row r="444" spans="1:7" ht="15" customHeight="1" x14ac:dyDescent="0.2">
      <c r="A444" s="157"/>
      <c r="B444" s="235"/>
      <c r="C444" s="156" t="s">
        <v>4040</v>
      </c>
      <c r="D444" s="157" t="s">
        <v>193</v>
      </c>
      <c r="E444" s="157">
        <v>1</v>
      </c>
      <c r="F444" s="235" t="str">
        <f>IF(AND(ISNA(VLOOKUP(D444,A:A,1,FALSE())),ISNA(VLOOKUP(D444,BaseType!A:A,1,FALSE())),D444&lt;&gt;"Struct"),"N","Y")</f>
        <v>Y</v>
      </c>
      <c r="G444" s="157" t="s">
        <v>4041</v>
      </c>
    </row>
    <row r="445" spans="1:7" ht="15" customHeight="1" x14ac:dyDescent="0.2">
      <c r="A445" s="157"/>
      <c r="B445" s="235"/>
      <c r="C445" s="156" t="s">
        <v>2972</v>
      </c>
      <c r="D445" s="157" t="s">
        <v>193</v>
      </c>
      <c r="E445" s="157">
        <v>1</v>
      </c>
      <c r="F445" s="235" t="str">
        <f>IF(AND(ISNA(VLOOKUP(D445,A:A,1,FALSE())),ISNA(VLOOKUP(D445,BaseType!A:A,1,FALSE())),D445&lt;&gt;"Struct"),"N","Y")</f>
        <v>Y</v>
      </c>
      <c r="G445" s="157" t="s">
        <v>4042</v>
      </c>
    </row>
    <row r="446" spans="1:7" ht="15" customHeight="1" x14ac:dyDescent="0.2">
      <c r="A446" s="157"/>
      <c r="B446" s="235"/>
      <c r="C446" s="156" t="s">
        <v>4043</v>
      </c>
      <c r="D446" s="157" t="s">
        <v>193</v>
      </c>
      <c r="E446" s="157">
        <v>1</v>
      </c>
      <c r="F446" s="235" t="str">
        <f>IF(AND(ISNA(VLOOKUP(D446,A:A,1,FALSE())),ISNA(VLOOKUP(D446,BaseType!A:A,1,FALSE())),D446&lt;&gt;"Struct"),"N","Y")</f>
        <v>Y</v>
      </c>
      <c r="G446" s="157" t="s">
        <v>4044</v>
      </c>
    </row>
    <row r="447" spans="1:7" ht="15" customHeight="1" x14ac:dyDescent="0.2">
      <c r="A447" s="157"/>
      <c r="B447" s="235"/>
      <c r="C447" s="156" t="s">
        <v>4045</v>
      </c>
      <c r="D447" s="157" t="s">
        <v>193</v>
      </c>
      <c r="E447" s="157">
        <v>1</v>
      </c>
      <c r="F447" s="235" t="str">
        <f>IF(AND(ISNA(VLOOKUP(D447,A:A,1,FALSE())),ISNA(VLOOKUP(D447,BaseType!A:A,1,FALSE())),D447&lt;&gt;"Struct"),"N","Y")</f>
        <v>Y</v>
      </c>
      <c r="G447" s="157" t="s">
        <v>4046</v>
      </c>
    </row>
    <row r="448" spans="1:7" ht="15" customHeight="1" x14ac:dyDescent="0.2">
      <c r="A448" s="157"/>
      <c r="B448" s="235"/>
      <c r="C448" s="156" t="s">
        <v>4047</v>
      </c>
      <c r="D448" s="157" t="s">
        <v>193</v>
      </c>
      <c r="E448" s="157">
        <v>1</v>
      </c>
      <c r="F448" s="235" t="str">
        <f>IF(AND(ISNA(VLOOKUP(D448,A:A,1,FALSE())),ISNA(VLOOKUP(D448,BaseType!A:A,1,FALSE())),D448&lt;&gt;"Struct"),"N","Y")</f>
        <v>Y</v>
      </c>
      <c r="G448" s="157" t="s">
        <v>4048</v>
      </c>
    </row>
    <row r="449" spans="1:7" ht="15" customHeight="1" x14ac:dyDescent="0.2">
      <c r="A449" s="157"/>
      <c r="B449" s="235"/>
      <c r="C449" s="156" t="s">
        <v>4049</v>
      </c>
      <c r="D449" s="157" t="s">
        <v>193</v>
      </c>
      <c r="E449" s="157">
        <v>1</v>
      </c>
      <c r="F449" s="235" t="str">
        <f>IF(AND(ISNA(VLOOKUP(D449,A:A,1,FALSE())),ISNA(VLOOKUP(D449,BaseType!A:A,1,FALSE())),D449&lt;&gt;"Struct"),"N","Y")</f>
        <v>Y</v>
      </c>
      <c r="G449" s="157" t="s">
        <v>4050</v>
      </c>
    </row>
    <row r="450" spans="1:7" ht="15" customHeight="1" x14ac:dyDescent="0.2">
      <c r="A450" s="157"/>
      <c r="B450" s="235"/>
      <c r="C450" s="156" t="s">
        <v>4051</v>
      </c>
      <c r="D450" s="157" t="s">
        <v>193</v>
      </c>
      <c r="E450" s="157">
        <v>1</v>
      </c>
      <c r="F450" s="235" t="str">
        <f>IF(AND(ISNA(VLOOKUP(D450,A:A,1,FALSE())),ISNA(VLOOKUP(D450,BaseType!A:A,1,FALSE())),D450&lt;&gt;"Struct"),"N","Y")</f>
        <v>Y</v>
      </c>
      <c r="G450" s="157" t="s">
        <v>4052</v>
      </c>
    </row>
    <row r="451" spans="1:7" ht="15" customHeight="1" x14ac:dyDescent="0.2">
      <c r="A451" s="157"/>
      <c r="B451" s="235"/>
      <c r="C451" s="156" t="s">
        <v>4053</v>
      </c>
      <c r="D451" s="157" t="s">
        <v>193</v>
      </c>
      <c r="E451" s="157">
        <v>1</v>
      </c>
      <c r="F451" s="235" t="str">
        <f>IF(AND(ISNA(VLOOKUP(D451,A:A,1,FALSE())),ISNA(VLOOKUP(D451,BaseType!A:A,1,FALSE())),D451&lt;&gt;"Struct"),"N","Y")</f>
        <v>Y</v>
      </c>
      <c r="G451" s="157" t="s">
        <v>4054</v>
      </c>
    </row>
    <row r="452" spans="1:7" ht="15" customHeight="1" x14ac:dyDescent="0.2">
      <c r="A452" s="157"/>
      <c r="B452" s="235"/>
      <c r="C452" s="156" t="s">
        <v>4055</v>
      </c>
      <c r="D452" s="157" t="s">
        <v>193</v>
      </c>
      <c r="E452" s="157">
        <v>1</v>
      </c>
      <c r="F452" s="235" t="str">
        <f>IF(AND(ISNA(VLOOKUP(D452,A:A,1,FALSE())),ISNA(VLOOKUP(D452,BaseType!A:A,1,FALSE())),D452&lt;&gt;"Struct"),"N","Y")</f>
        <v>Y</v>
      </c>
      <c r="G452" s="157" t="s">
        <v>4056</v>
      </c>
    </row>
    <row r="453" spans="1:7" ht="15" customHeight="1" x14ac:dyDescent="0.2">
      <c r="A453" s="157"/>
      <c r="B453" s="235"/>
      <c r="C453" s="156" t="s">
        <v>4057</v>
      </c>
      <c r="D453" s="157" t="s">
        <v>193</v>
      </c>
      <c r="E453" s="157">
        <v>1</v>
      </c>
      <c r="F453" s="235" t="str">
        <f>IF(AND(ISNA(VLOOKUP(D453,A:A,1,FALSE())),ISNA(VLOOKUP(D453,BaseType!A:A,1,FALSE())),D453&lt;&gt;"Struct"),"N","Y")</f>
        <v>Y</v>
      </c>
      <c r="G453" s="157" t="s">
        <v>4058</v>
      </c>
    </row>
    <row r="454" spans="1:7" ht="15" customHeight="1" x14ac:dyDescent="0.2">
      <c r="A454" s="157"/>
      <c r="B454" s="235"/>
      <c r="C454" s="156" t="s">
        <v>4059</v>
      </c>
      <c r="D454" s="157" t="s">
        <v>918</v>
      </c>
      <c r="E454" s="157">
        <v>1</v>
      </c>
      <c r="F454" s="235" t="str">
        <f>IF(AND(ISNA(VLOOKUP(D454,A:A,1,FALSE())),ISNA(VLOOKUP(D454,BaseType!A:A,1,FALSE())),D454&lt;&gt;"Struct"),"N","Y")</f>
        <v>Y</v>
      </c>
      <c r="G454" s="157" t="s">
        <v>4060</v>
      </c>
    </row>
    <row r="455" spans="1:7" ht="15" customHeight="1" x14ac:dyDescent="0.2">
      <c r="A455" s="157"/>
      <c r="B455" s="235"/>
      <c r="C455" s="156" t="s">
        <v>4061</v>
      </c>
      <c r="D455" s="157" t="s">
        <v>918</v>
      </c>
      <c r="E455" s="157">
        <v>1</v>
      </c>
      <c r="F455" s="235" t="str">
        <f>IF(AND(ISNA(VLOOKUP(D455,A:A,1,FALSE())),ISNA(VLOOKUP(D455,BaseType!A:A,1,FALSE())),D455&lt;&gt;"Struct"),"N","Y")</f>
        <v>Y</v>
      </c>
      <c r="G455" s="157" t="s">
        <v>4062</v>
      </c>
    </row>
    <row r="456" spans="1:7" ht="15" customHeight="1" x14ac:dyDescent="0.2">
      <c r="A456" s="157"/>
      <c r="B456" s="235"/>
      <c r="C456" s="156" t="s">
        <v>4063</v>
      </c>
      <c r="D456" s="157" t="s">
        <v>193</v>
      </c>
      <c r="E456" s="157">
        <v>1</v>
      </c>
      <c r="F456" s="235" t="str">
        <f>IF(AND(ISNA(VLOOKUP(D456,A:A,1,FALSE())),ISNA(VLOOKUP(D456,BaseType!A:A,1,FALSE())),D456&lt;&gt;"Struct"),"N","Y")</f>
        <v>Y</v>
      </c>
      <c r="G456" s="157" t="s">
        <v>4064</v>
      </c>
    </row>
    <row r="457" spans="1:7" ht="15" customHeight="1" x14ac:dyDescent="0.2">
      <c r="A457" s="157"/>
      <c r="B457" s="235"/>
      <c r="C457" s="156" t="s">
        <v>3794</v>
      </c>
      <c r="D457" s="157" t="s">
        <v>193</v>
      </c>
      <c r="E457" s="157">
        <v>1</v>
      </c>
      <c r="F457" s="235" t="str">
        <f>IF(AND(ISNA(VLOOKUP(D457,A:A,1,FALSE())),ISNA(VLOOKUP(D457,BaseType!A:A,1,FALSE())),D457&lt;&gt;"Struct"),"N","Y")</f>
        <v>Y</v>
      </c>
      <c r="G457" s="157" t="s">
        <v>4065</v>
      </c>
    </row>
    <row r="458" spans="1:7" ht="15" customHeight="1" x14ac:dyDescent="0.2">
      <c r="A458" s="157"/>
      <c r="B458" s="235"/>
      <c r="C458" s="156" t="s">
        <v>4066</v>
      </c>
      <c r="D458" s="157" t="s">
        <v>193</v>
      </c>
      <c r="E458" s="157">
        <v>1</v>
      </c>
      <c r="F458" s="235" t="str">
        <f>IF(AND(ISNA(VLOOKUP(D458,A:A,1,FALSE())),ISNA(VLOOKUP(D458,BaseType!A:A,1,FALSE())),D458&lt;&gt;"Struct"),"N","Y")</f>
        <v>Y</v>
      </c>
      <c r="G458" s="157" t="s">
        <v>4067</v>
      </c>
    </row>
    <row r="459" spans="1:7" ht="15" customHeight="1" x14ac:dyDescent="0.2">
      <c r="A459" s="157"/>
      <c r="B459" s="235"/>
      <c r="C459" s="156" t="s">
        <v>4068</v>
      </c>
      <c r="D459" s="157" t="s">
        <v>193</v>
      </c>
      <c r="E459" s="157">
        <v>1</v>
      </c>
      <c r="F459" s="235" t="str">
        <f>IF(AND(ISNA(VLOOKUP(D459,A:A,1,FALSE())),ISNA(VLOOKUP(D459,BaseType!A:A,1,FALSE())),D459&lt;&gt;"Struct"),"N","Y")</f>
        <v>Y</v>
      </c>
      <c r="G459" s="157" t="s">
        <v>4069</v>
      </c>
    </row>
    <row r="460" spans="1:7" ht="15" customHeight="1" x14ac:dyDescent="0.2">
      <c r="A460" s="157"/>
      <c r="B460" s="235"/>
      <c r="C460" s="156" t="s">
        <v>4070</v>
      </c>
      <c r="D460" s="157" t="s">
        <v>193</v>
      </c>
      <c r="E460" s="157">
        <v>1</v>
      </c>
      <c r="F460" s="235" t="str">
        <f>IF(AND(ISNA(VLOOKUP(D460,A:A,1,FALSE())),ISNA(VLOOKUP(D460,BaseType!A:A,1,FALSE())),D460&lt;&gt;"Struct"),"N","Y")</f>
        <v>Y</v>
      </c>
      <c r="G460" s="157" t="s">
        <v>4071</v>
      </c>
    </row>
    <row r="461" spans="1:7" ht="15" customHeight="1" x14ac:dyDescent="0.2">
      <c r="A461" s="157" t="s">
        <v>3981</v>
      </c>
      <c r="B461" s="235" t="str">
        <f>IF(ISBLANK(A461),"",IF(AND(ISNA(VLOOKUP(A461,Interface_E01!E:E,1,FALSE())),ISNA(VLOOKUP(A461,D:D,1,FALSE()))),"N","Y"))</f>
        <v>Y</v>
      </c>
      <c r="C461" s="156"/>
      <c r="D461" s="157" t="s">
        <v>484</v>
      </c>
      <c r="E461" s="157"/>
      <c r="F461" s="235" t="str">
        <f>IF(AND(ISNA(VLOOKUP(D461,A:A,1,FALSE())),ISNA(VLOOKUP(D461,BaseType!A:A,1,FALSE())),D461&lt;&gt;"Struct"),"N","Y")</f>
        <v>Y</v>
      </c>
      <c r="G461" s="157"/>
    </row>
    <row r="462" spans="1:7" ht="15" customHeight="1" x14ac:dyDescent="0.2">
      <c r="A462" s="157"/>
      <c r="B462" s="235"/>
      <c r="C462" s="156" t="s">
        <v>4072</v>
      </c>
      <c r="D462" s="157" t="s">
        <v>193</v>
      </c>
      <c r="E462" s="157">
        <v>1</v>
      </c>
      <c r="F462" s="235" t="str">
        <f>IF(AND(ISNA(VLOOKUP(D462,A:A,1,FALSE())),ISNA(VLOOKUP(D462,BaseType!A:A,1,FALSE())),D462&lt;&gt;"Struct"),"N","Y")</f>
        <v>Y</v>
      </c>
      <c r="G462" s="157" t="s">
        <v>4073</v>
      </c>
    </row>
    <row r="463" spans="1:7" ht="15" customHeight="1" x14ac:dyDescent="0.2">
      <c r="A463" s="157"/>
      <c r="B463" s="235"/>
      <c r="C463" s="156" t="s">
        <v>4074</v>
      </c>
      <c r="D463" s="157" t="s">
        <v>193</v>
      </c>
      <c r="E463" s="157">
        <v>1</v>
      </c>
      <c r="F463" s="235" t="str">
        <f>IF(AND(ISNA(VLOOKUP(D463,A:A,1,FALSE())),ISNA(VLOOKUP(D463,BaseType!A:A,1,FALSE())),D463&lt;&gt;"Struct"),"N","Y")</f>
        <v>Y</v>
      </c>
      <c r="G463" s="157" t="s">
        <v>4075</v>
      </c>
    </row>
    <row r="464" spans="1:7" ht="15" customHeight="1" x14ac:dyDescent="0.2">
      <c r="A464" s="157"/>
      <c r="B464" s="235"/>
      <c r="C464" s="156" t="s">
        <v>4076</v>
      </c>
      <c r="D464" s="157" t="s">
        <v>193</v>
      </c>
      <c r="E464" s="157">
        <v>1</v>
      </c>
      <c r="F464" s="235" t="str">
        <f>IF(AND(ISNA(VLOOKUP(D464,A:A,1,FALSE())),ISNA(VLOOKUP(D464,BaseType!A:A,1,FALSE())),D464&lt;&gt;"Struct"),"N","Y")</f>
        <v>Y</v>
      </c>
      <c r="G464" s="157" t="s">
        <v>4077</v>
      </c>
    </row>
    <row r="465" spans="1:7" ht="15" customHeight="1" x14ac:dyDescent="0.2">
      <c r="A465" s="157"/>
      <c r="B465" s="235"/>
      <c r="C465" s="156" t="s">
        <v>4078</v>
      </c>
      <c r="D465" s="157" t="s">
        <v>193</v>
      </c>
      <c r="E465" s="157">
        <v>1</v>
      </c>
      <c r="F465" s="235" t="str">
        <f>IF(AND(ISNA(VLOOKUP(D465,A:A,1,FALSE())),ISNA(VLOOKUP(D465,BaseType!A:A,1,FALSE())),D465&lt;&gt;"Struct"),"N","Y")</f>
        <v>Y</v>
      </c>
      <c r="G465" s="157" t="s">
        <v>4079</v>
      </c>
    </row>
    <row r="466" spans="1:7" ht="15" customHeight="1" x14ac:dyDescent="0.2">
      <c r="A466" s="157" t="s">
        <v>3984</v>
      </c>
      <c r="B466" s="235" t="str">
        <f>IF(ISBLANK(A466),"",IF(AND(ISNA(VLOOKUP(A466,Interface_E01!E:E,1,FALSE())),ISNA(VLOOKUP(A466,D:D,1,FALSE()))),"N","Y"))</f>
        <v>Y</v>
      </c>
      <c r="C466" s="156"/>
      <c r="D466" s="157" t="s">
        <v>484</v>
      </c>
      <c r="E466" s="157"/>
      <c r="F466" s="235" t="str">
        <f>IF(AND(ISNA(VLOOKUP(D466,A:A,1,FALSE())),ISNA(VLOOKUP(D466,BaseType!A:A,1,FALSE())),D466&lt;&gt;"Struct"),"N","Y")</f>
        <v>Y</v>
      </c>
      <c r="G466" s="157"/>
    </row>
    <row r="467" spans="1:7" ht="15" customHeight="1" x14ac:dyDescent="0.2">
      <c r="A467" s="157"/>
      <c r="B467" s="235"/>
      <c r="C467" s="156" t="s">
        <v>4080</v>
      </c>
      <c r="D467" s="157" t="s">
        <v>193</v>
      </c>
      <c r="E467" s="157">
        <v>1</v>
      </c>
      <c r="F467" s="235" t="str">
        <f>IF(AND(ISNA(VLOOKUP(D467,A:A,1,FALSE())),ISNA(VLOOKUP(D467,BaseType!A:A,1,FALSE())),D467&lt;&gt;"Struct"),"N","Y")</f>
        <v>Y</v>
      </c>
      <c r="G467" s="157" t="s">
        <v>4081</v>
      </c>
    </row>
    <row r="468" spans="1:7" ht="15" customHeight="1" x14ac:dyDescent="0.2">
      <c r="A468" s="157"/>
      <c r="B468" s="235"/>
      <c r="C468" s="156" t="s">
        <v>4082</v>
      </c>
      <c r="D468" s="157" t="s">
        <v>193</v>
      </c>
      <c r="E468" s="157">
        <v>1</v>
      </c>
      <c r="F468" s="235" t="str">
        <f>IF(AND(ISNA(VLOOKUP(D468,A:A,1,FALSE())),ISNA(VLOOKUP(D468,BaseType!A:A,1,FALSE())),D468&lt;&gt;"Struct"),"N","Y")</f>
        <v>Y</v>
      </c>
      <c r="G468" s="157" t="s">
        <v>4083</v>
      </c>
    </row>
    <row r="469" spans="1:7" ht="15" customHeight="1" x14ac:dyDescent="0.2">
      <c r="A469" s="157"/>
      <c r="B469" s="235"/>
      <c r="C469" s="156" t="s">
        <v>4084</v>
      </c>
      <c r="D469" s="157" t="s">
        <v>193</v>
      </c>
      <c r="E469" s="157">
        <v>1</v>
      </c>
      <c r="F469" s="235" t="str">
        <f>IF(AND(ISNA(VLOOKUP(D469,A:A,1,FALSE())),ISNA(VLOOKUP(D469,BaseType!A:A,1,FALSE())),D469&lt;&gt;"Struct"),"N","Y")</f>
        <v>Y</v>
      </c>
      <c r="G469" s="157" t="s">
        <v>4085</v>
      </c>
    </row>
    <row r="470" spans="1:7" ht="15" customHeight="1" x14ac:dyDescent="0.2">
      <c r="A470" s="157" t="s">
        <v>3987</v>
      </c>
      <c r="B470" s="235" t="str">
        <f>IF(ISBLANK(A470),"",IF(AND(ISNA(VLOOKUP(A470,Interface_E01!E:E,1,FALSE())),ISNA(VLOOKUP(A470,D:D,1,FALSE()))),"N","Y"))</f>
        <v>Y</v>
      </c>
      <c r="C470" s="156"/>
      <c r="D470" s="157" t="s">
        <v>484</v>
      </c>
      <c r="E470" s="157"/>
      <c r="F470" s="235" t="str">
        <f>IF(AND(ISNA(VLOOKUP(D470,A:A,1,FALSE())),ISNA(VLOOKUP(D470,BaseType!A:A,1,FALSE())),D470&lt;&gt;"Struct"),"N","Y")</f>
        <v>Y</v>
      </c>
      <c r="G470" s="157"/>
    </row>
    <row r="471" spans="1:7" ht="15" customHeight="1" x14ac:dyDescent="0.2">
      <c r="A471" s="157"/>
      <c r="B471" s="235"/>
      <c r="C471" s="156" t="s">
        <v>4086</v>
      </c>
      <c r="D471" s="157" t="s">
        <v>193</v>
      </c>
      <c r="E471" s="157">
        <v>1</v>
      </c>
      <c r="F471" s="235" t="str">
        <f>IF(AND(ISNA(VLOOKUP(D471,A:A,1,FALSE())),ISNA(VLOOKUP(D471,BaseType!A:A,1,FALSE())),D471&lt;&gt;"Struct"),"N","Y")</f>
        <v>Y</v>
      </c>
      <c r="G471" s="157" t="s">
        <v>4087</v>
      </c>
    </row>
    <row r="472" spans="1:7" ht="15" customHeight="1" x14ac:dyDescent="0.2">
      <c r="A472" s="157"/>
      <c r="B472" s="235"/>
      <c r="C472" s="156" t="s">
        <v>4088</v>
      </c>
      <c r="D472" s="157" t="s">
        <v>193</v>
      </c>
      <c r="E472" s="157">
        <v>1</v>
      </c>
      <c r="F472" s="235" t="str">
        <f>IF(AND(ISNA(VLOOKUP(D472,A:A,1,FALSE())),ISNA(VLOOKUP(D472,BaseType!A:A,1,FALSE())),D472&lt;&gt;"Struct"),"N","Y")</f>
        <v>Y</v>
      </c>
      <c r="G472" s="157" t="s">
        <v>4089</v>
      </c>
    </row>
    <row r="473" spans="1:7" ht="15" customHeight="1" x14ac:dyDescent="0.2">
      <c r="A473" s="157"/>
      <c r="B473" s="235"/>
      <c r="C473" s="156" t="s">
        <v>4090</v>
      </c>
      <c r="D473" s="157" t="s">
        <v>193</v>
      </c>
      <c r="E473" s="157">
        <v>1</v>
      </c>
      <c r="F473" s="235" t="str">
        <f>IF(AND(ISNA(VLOOKUP(D473,A:A,1,FALSE())),ISNA(VLOOKUP(D473,BaseType!A:A,1,FALSE())),D473&lt;&gt;"Struct"),"N","Y")</f>
        <v>Y</v>
      </c>
      <c r="G473" s="157" t="s">
        <v>4091</v>
      </c>
    </row>
    <row r="474" spans="1:7" ht="15" customHeight="1" x14ac:dyDescent="0.2">
      <c r="A474" s="157"/>
      <c r="B474" s="235"/>
      <c r="C474" s="272" t="s">
        <v>4092</v>
      </c>
      <c r="D474" s="157" t="s">
        <v>193</v>
      </c>
      <c r="E474" s="157">
        <v>1</v>
      </c>
      <c r="F474" s="235" t="str">
        <f>IF(AND(ISNA(VLOOKUP(D474,A:A,1,FALSE())),ISNA(VLOOKUP(D474,BaseType!A:A,1,FALSE())),D474&lt;&gt;"Struct"),"N","Y")</f>
        <v>Y</v>
      </c>
      <c r="G474" s="157" t="s">
        <v>4093</v>
      </c>
    </row>
    <row r="475" spans="1:7" ht="15" customHeight="1" x14ac:dyDescent="0.2">
      <c r="A475" s="157" t="s">
        <v>3990</v>
      </c>
      <c r="B475" s="235" t="str">
        <f>IF(ISBLANK(A475),"",IF(AND(ISNA(VLOOKUP(A475,Interface_E01!E:E,1,FALSE())),ISNA(VLOOKUP(A475,D:D,1,FALSE()))),"N","Y"))</f>
        <v>Y</v>
      </c>
      <c r="C475" s="156"/>
      <c r="D475" s="157" t="s">
        <v>484</v>
      </c>
      <c r="E475" s="157"/>
      <c r="F475" s="235" t="str">
        <f>IF(AND(ISNA(VLOOKUP(D475,A:A,1,FALSE())),ISNA(VLOOKUP(D475,BaseType!A:A,1,FALSE())),D475&lt;&gt;"Struct"),"N","Y")</f>
        <v>Y</v>
      </c>
      <c r="G475" s="157"/>
    </row>
    <row r="476" spans="1:7" ht="15" customHeight="1" x14ac:dyDescent="0.2">
      <c r="A476" s="157"/>
      <c r="B476" s="235"/>
      <c r="C476" s="156" t="s">
        <v>4094</v>
      </c>
      <c r="D476" s="157" t="s">
        <v>193</v>
      </c>
      <c r="E476" s="157">
        <v>1</v>
      </c>
      <c r="F476" s="235" t="str">
        <f>IF(AND(ISNA(VLOOKUP(D476,A:A,1,FALSE())),ISNA(VLOOKUP(D476,BaseType!A:A,1,FALSE())),D476&lt;&gt;"Struct"),"N","Y")</f>
        <v>Y</v>
      </c>
      <c r="G476" s="157" t="s">
        <v>4095</v>
      </c>
    </row>
    <row r="477" spans="1:7" ht="15" customHeight="1" x14ac:dyDescent="0.2">
      <c r="A477" s="157"/>
      <c r="B477" s="235"/>
      <c r="C477" s="156" t="s">
        <v>4096</v>
      </c>
      <c r="D477" s="157" t="s">
        <v>193</v>
      </c>
      <c r="E477" s="157">
        <v>1</v>
      </c>
      <c r="F477" s="235" t="str">
        <f>IF(AND(ISNA(VLOOKUP(D477,A:A,1,FALSE())),ISNA(VLOOKUP(D477,BaseType!A:A,1,FALSE())),D477&lt;&gt;"Struct"),"N","Y")</f>
        <v>Y</v>
      </c>
      <c r="G477" s="157" t="s">
        <v>4097</v>
      </c>
    </row>
    <row r="478" spans="1:7" ht="15" customHeight="1" x14ac:dyDescent="0.2">
      <c r="A478" s="157"/>
      <c r="B478" s="235"/>
      <c r="C478" s="156" t="s">
        <v>628</v>
      </c>
      <c r="D478" s="157" t="s">
        <v>193</v>
      </c>
      <c r="E478" s="157">
        <v>1</v>
      </c>
      <c r="F478" s="235" t="str">
        <f>IF(AND(ISNA(VLOOKUP(D478,A:A,1,FALSE())),ISNA(VLOOKUP(D478,BaseType!A:A,1,FALSE())),D478&lt;&gt;"Struct"),"N","Y")</f>
        <v>Y</v>
      </c>
      <c r="G478" s="157" t="s">
        <v>4098</v>
      </c>
    </row>
    <row r="479" spans="1:7" ht="15" customHeight="1" x14ac:dyDescent="0.2">
      <c r="A479" s="157"/>
      <c r="B479" s="235"/>
      <c r="C479" s="156" t="s">
        <v>4099</v>
      </c>
      <c r="D479" s="157" t="s">
        <v>193</v>
      </c>
      <c r="E479" s="157">
        <v>1</v>
      </c>
      <c r="F479" s="235" t="str">
        <f>IF(AND(ISNA(VLOOKUP(D479,A:A,1,FALSE())),ISNA(VLOOKUP(D479,BaseType!A:A,1,FALSE())),D479&lt;&gt;"Struct"),"N","Y")</f>
        <v>Y</v>
      </c>
      <c r="G479" s="157" t="s">
        <v>4100</v>
      </c>
    </row>
    <row r="480" spans="1:7" ht="15" customHeight="1" x14ac:dyDescent="0.2">
      <c r="A480" s="157"/>
      <c r="B480" s="235"/>
      <c r="C480" s="156" t="s">
        <v>4101</v>
      </c>
      <c r="D480" s="157" t="s">
        <v>193</v>
      </c>
      <c r="E480" s="157">
        <v>1</v>
      </c>
      <c r="F480" s="235" t="str">
        <f>IF(AND(ISNA(VLOOKUP(D480,A:A,1,FALSE())),ISNA(VLOOKUP(D480,BaseType!A:A,1,FALSE())),D480&lt;&gt;"Struct"),"N","Y")</f>
        <v>Y</v>
      </c>
      <c r="G480" s="157" t="s">
        <v>4102</v>
      </c>
    </row>
    <row r="481" spans="1:7" ht="15" customHeight="1" x14ac:dyDescent="0.2">
      <c r="A481" s="157"/>
      <c r="B481" s="235"/>
      <c r="C481" s="156" t="s">
        <v>4103</v>
      </c>
      <c r="D481" s="157" t="s">
        <v>193</v>
      </c>
      <c r="E481" s="157">
        <v>1</v>
      </c>
      <c r="F481" s="235" t="str">
        <f>IF(AND(ISNA(VLOOKUP(D481,A:A,1,FALSE())),ISNA(VLOOKUP(D481,BaseType!A:A,1,FALSE())),D481&lt;&gt;"Struct"),"N","Y")</f>
        <v>Y</v>
      </c>
      <c r="G481" s="157" t="s">
        <v>4104</v>
      </c>
    </row>
    <row r="482" spans="1:7" ht="15" customHeight="1" x14ac:dyDescent="0.2">
      <c r="A482" s="157"/>
      <c r="B482" s="235"/>
      <c r="C482" s="156" t="s">
        <v>4105</v>
      </c>
      <c r="D482" s="157" t="s">
        <v>193</v>
      </c>
      <c r="E482" s="157">
        <v>1</v>
      </c>
      <c r="F482" s="235" t="str">
        <f>IF(AND(ISNA(VLOOKUP(D482,A:A,1,FALSE())),ISNA(VLOOKUP(D482,BaseType!A:A,1,FALSE())),D482&lt;&gt;"Struct"),"N","Y")</f>
        <v>Y</v>
      </c>
      <c r="G482" s="157" t="s">
        <v>4106</v>
      </c>
    </row>
    <row r="483" spans="1:7" ht="15" customHeight="1" x14ac:dyDescent="0.2">
      <c r="A483" s="157"/>
      <c r="B483" s="235"/>
      <c r="C483" s="156" t="s">
        <v>4107</v>
      </c>
      <c r="D483" s="157" t="s">
        <v>193</v>
      </c>
      <c r="E483" s="157">
        <v>1</v>
      </c>
      <c r="F483" s="235" t="str">
        <f>IF(AND(ISNA(VLOOKUP(D483,A:A,1,FALSE())),ISNA(VLOOKUP(D483,BaseType!A:A,1,FALSE())),D483&lt;&gt;"Struct"),"N","Y")</f>
        <v>Y</v>
      </c>
      <c r="G483" s="157" t="s">
        <v>4108</v>
      </c>
    </row>
    <row r="484" spans="1:7" ht="15" customHeight="1" x14ac:dyDescent="0.2">
      <c r="A484" s="157" t="s">
        <v>3993</v>
      </c>
      <c r="B484" s="235" t="str">
        <f>IF(ISBLANK(A484),"",IF(AND(ISNA(VLOOKUP(A484,Interface_E01!E:E,1,FALSE())),ISNA(VLOOKUP(A484,D:D,1,FALSE()))),"N","Y"))</f>
        <v>Y</v>
      </c>
      <c r="C484" s="156"/>
      <c r="D484" s="157" t="s">
        <v>484</v>
      </c>
      <c r="E484" s="157"/>
      <c r="F484" s="235" t="str">
        <f>IF(AND(ISNA(VLOOKUP(D484,A:A,1,FALSE())),ISNA(VLOOKUP(D484,BaseType!A:A,1,FALSE())),D484&lt;&gt;"Struct"),"N","Y")</f>
        <v>Y</v>
      </c>
      <c r="G484" s="157"/>
    </row>
    <row r="485" spans="1:7" ht="15" customHeight="1" x14ac:dyDescent="0.2">
      <c r="A485" s="157"/>
      <c r="B485" s="235"/>
      <c r="C485" s="156" t="s">
        <v>4109</v>
      </c>
      <c r="D485" s="157" t="s">
        <v>193</v>
      </c>
      <c r="E485" s="157">
        <v>1</v>
      </c>
      <c r="F485" s="235" t="str">
        <f>IF(AND(ISNA(VLOOKUP(D485,A:A,1,FALSE())),ISNA(VLOOKUP(D485,BaseType!A:A,1,FALSE())),D485&lt;&gt;"Struct"),"N","Y")</f>
        <v>Y</v>
      </c>
      <c r="G485" s="157" t="s">
        <v>4110</v>
      </c>
    </row>
    <row r="486" spans="1:7" ht="15" customHeight="1" x14ac:dyDescent="0.2">
      <c r="A486" s="157"/>
      <c r="B486" s="235"/>
      <c r="C486" s="156" t="s">
        <v>4111</v>
      </c>
      <c r="D486" s="157" t="s">
        <v>193</v>
      </c>
      <c r="E486" s="157">
        <v>1</v>
      </c>
      <c r="F486" s="235" t="str">
        <f>IF(AND(ISNA(VLOOKUP(D486,A:A,1,FALSE())),ISNA(VLOOKUP(D486,BaseType!A:A,1,FALSE())),D486&lt;&gt;"Struct"),"N","Y")</f>
        <v>Y</v>
      </c>
      <c r="G486" s="157" t="s">
        <v>4112</v>
      </c>
    </row>
    <row r="487" spans="1:7" ht="15" customHeight="1" x14ac:dyDescent="0.2">
      <c r="A487" s="157"/>
      <c r="B487" s="235"/>
      <c r="C487" s="156" t="s">
        <v>4113</v>
      </c>
      <c r="D487" s="157" t="s">
        <v>193</v>
      </c>
      <c r="E487" s="157">
        <v>1</v>
      </c>
      <c r="F487" s="235" t="str">
        <f>IF(AND(ISNA(VLOOKUP(D487,A:A,1,FALSE())),ISNA(VLOOKUP(D487,BaseType!A:A,1,FALSE())),D487&lt;&gt;"Struct"),"N","Y")</f>
        <v>Y</v>
      </c>
      <c r="G487" s="157" t="s">
        <v>4114</v>
      </c>
    </row>
    <row r="488" spans="1:7" ht="15" customHeight="1" x14ac:dyDescent="0.2">
      <c r="A488" s="157"/>
      <c r="B488" s="235"/>
      <c r="C488" s="156" t="s">
        <v>4115</v>
      </c>
      <c r="D488" s="157" t="s">
        <v>193</v>
      </c>
      <c r="E488" s="157">
        <v>1</v>
      </c>
      <c r="F488" s="235" t="str">
        <f>IF(AND(ISNA(VLOOKUP(D488,A:A,1,FALSE())),ISNA(VLOOKUP(D488,BaseType!A:A,1,FALSE())),D488&lt;&gt;"Struct"),"N","Y")</f>
        <v>Y</v>
      </c>
      <c r="G488" s="157" t="s">
        <v>4116</v>
      </c>
    </row>
    <row r="489" spans="1:7" ht="15" customHeight="1" x14ac:dyDescent="0.2">
      <c r="A489" s="157" t="s">
        <v>3996</v>
      </c>
      <c r="B489" s="235" t="str">
        <f>IF(ISBLANK(A489),"",IF(AND(ISNA(VLOOKUP(A489,Interface_E01!E:E,1,FALSE())),ISNA(VLOOKUP(A489,D:D,1,FALSE()))),"N","Y"))</f>
        <v>Y</v>
      </c>
      <c r="C489" s="156"/>
      <c r="D489" s="157" t="s">
        <v>484</v>
      </c>
      <c r="E489" s="157"/>
      <c r="F489" s="235" t="str">
        <f>IF(AND(ISNA(VLOOKUP(D489,A:A,1,FALSE())),ISNA(VLOOKUP(D489,BaseType!A:A,1,FALSE())),D489&lt;&gt;"Struct"),"N","Y")</f>
        <v>Y</v>
      </c>
      <c r="G489" s="157"/>
    </row>
    <row r="490" spans="1:7" ht="15" customHeight="1" x14ac:dyDescent="0.2">
      <c r="A490" s="157"/>
      <c r="B490" s="235"/>
      <c r="C490" s="156" t="s">
        <v>4117</v>
      </c>
      <c r="D490" s="157" t="s">
        <v>193</v>
      </c>
      <c r="E490" s="157">
        <v>1</v>
      </c>
      <c r="F490" s="235" t="str">
        <f>IF(AND(ISNA(VLOOKUP(D490,A:A,1,FALSE())),ISNA(VLOOKUP(D490,BaseType!A:A,1,FALSE())),D490&lt;&gt;"Struct"),"N","Y")</f>
        <v>Y</v>
      </c>
      <c r="G490" s="157" t="s">
        <v>4118</v>
      </c>
    </row>
    <row r="491" spans="1:7" ht="15" customHeight="1" x14ac:dyDescent="0.2">
      <c r="A491" s="157"/>
      <c r="B491" s="235"/>
      <c r="C491" s="156" t="s">
        <v>4119</v>
      </c>
      <c r="D491" s="157" t="s">
        <v>193</v>
      </c>
      <c r="E491" s="157">
        <v>1</v>
      </c>
      <c r="F491" s="235" t="str">
        <f>IF(AND(ISNA(VLOOKUP(D491,A:A,1,FALSE())),ISNA(VLOOKUP(D491,BaseType!A:A,1,FALSE())),D491&lt;&gt;"Struct"),"N","Y")</f>
        <v>Y</v>
      </c>
      <c r="G491" s="157" t="s">
        <v>4120</v>
      </c>
    </row>
    <row r="492" spans="1:7" ht="15" customHeight="1" x14ac:dyDescent="0.2">
      <c r="A492" s="227" t="s">
        <v>3999</v>
      </c>
      <c r="B492" s="196" t="s">
        <v>388</v>
      </c>
      <c r="C492" s="259"/>
      <c r="D492" s="227" t="s">
        <v>484</v>
      </c>
      <c r="E492" s="227"/>
      <c r="F492" s="196" t="s">
        <v>388</v>
      </c>
      <c r="G492" s="227"/>
    </row>
    <row r="493" spans="1:7" ht="15" customHeight="1" x14ac:dyDescent="0.2">
      <c r="A493" s="227"/>
      <c r="B493" s="196"/>
      <c r="C493" s="259" t="s">
        <v>4023</v>
      </c>
      <c r="D493" s="227" t="s">
        <v>193</v>
      </c>
      <c r="E493" s="227">
        <v>1</v>
      </c>
      <c r="F493" s="196" t="s">
        <v>388</v>
      </c>
      <c r="G493" s="227" t="s">
        <v>4121</v>
      </c>
    </row>
    <row r="494" spans="1:7" ht="15" customHeight="1" x14ac:dyDescent="0.2">
      <c r="A494" s="227"/>
      <c r="B494" s="196"/>
      <c r="C494" s="259" t="s">
        <v>4025</v>
      </c>
      <c r="D494" s="227" t="s">
        <v>193</v>
      </c>
      <c r="E494" s="227">
        <v>1</v>
      </c>
      <c r="F494" s="196" t="s">
        <v>388</v>
      </c>
      <c r="G494" s="227" t="s">
        <v>4122</v>
      </c>
    </row>
    <row r="495" spans="1:7" ht="15" customHeight="1" x14ac:dyDescent="0.2">
      <c r="A495" s="227"/>
      <c r="B495" s="196"/>
      <c r="C495" s="259" t="s">
        <v>4027</v>
      </c>
      <c r="D495" s="227" t="s">
        <v>193</v>
      </c>
      <c r="E495" s="227">
        <v>1</v>
      </c>
      <c r="F495" s="196" t="s">
        <v>388</v>
      </c>
      <c r="G495" s="227" t="s">
        <v>4123</v>
      </c>
    </row>
    <row r="496" spans="1:7" ht="15" customHeight="1" x14ac:dyDescent="0.2">
      <c r="A496" s="227"/>
      <c r="B496" s="196"/>
      <c r="C496" s="259" t="s">
        <v>4029</v>
      </c>
      <c r="D496" s="227" t="s">
        <v>193</v>
      </c>
      <c r="E496" s="227">
        <v>1</v>
      </c>
      <c r="F496" s="196" t="s">
        <v>388</v>
      </c>
      <c r="G496" s="227" t="s">
        <v>4124</v>
      </c>
    </row>
    <row r="497" spans="1:7" ht="15" customHeight="1" x14ac:dyDescent="0.2">
      <c r="A497" s="227"/>
      <c r="B497" s="196"/>
      <c r="C497" s="259" t="s">
        <v>4031</v>
      </c>
      <c r="D497" s="227" t="s">
        <v>193</v>
      </c>
      <c r="E497" s="227">
        <v>1</v>
      </c>
      <c r="F497" s="196" t="s">
        <v>388</v>
      </c>
      <c r="G497" s="227" t="s">
        <v>4125</v>
      </c>
    </row>
    <row r="498" spans="1:7" ht="15" customHeight="1" x14ac:dyDescent="0.2">
      <c r="A498" s="227"/>
      <c r="B498" s="196"/>
      <c r="C498" s="259" t="s">
        <v>4033</v>
      </c>
      <c r="D498" s="227" t="s">
        <v>193</v>
      </c>
      <c r="E498" s="227">
        <v>1</v>
      </c>
      <c r="F498" s="196" t="s">
        <v>388</v>
      </c>
      <c r="G498" s="227" t="s">
        <v>4126</v>
      </c>
    </row>
    <row r="499" spans="1:7" ht="15" customHeight="1" x14ac:dyDescent="0.2">
      <c r="A499" s="227"/>
      <c r="B499" s="196"/>
      <c r="C499" s="259" t="s">
        <v>4035</v>
      </c>
      <c r="D499" s="227" t="s">
        <v>193</v>
      </c>
      <c r="E499" s="227">
        <v>1</v>
      </c>
      <c r="F499" s="196" t="s">
        <v>388</v>
      </c>
      <c r="G499" s="227" t="s">
        <v>4036</v>
      </c>
    </row>
    <row r="500" spans="1:7" ht="15" customHeight="1" x14ac:dyDescent="0.2">
      <c r="A500" s="227"/>
      <c r="B500" s="196"/>
      <c r="C500" s="259" t="s">
        <v>4037</v>
      </c>
      <c r="D500" s="227" t="s">
        <v>918</v>
      </c>
      <c r="E500" s="227">
        <v>1</v>
      </c>
      <c r="F500" s="196" t="s">
        <v>388</v>
      </c>
      <c r="G500" s="227" t="s">
        <v>4038</v>
      </c>
    </row>
    <row r="501" spans="1:7" ht="15" customHeight="1" x14ac:dyDescent="0.2">
      <c r="A501" s="227"/>
      <c r="B501" s="196"/>
      <c r="C501" s="259" t="s">
        <v>3806</v>
      </c>
      <c r="D501" s="227" t="s">
        <v>193</v>
      </c>
      <c r="E501" s="227">
        <v>1</v>
      </c>
      <c r="F501" s="196" t="s">
        <v>388</v>
      </c>
      <c r="G501" s="227" t="s">
        <v>4127</v>
      </c>
    </row>
    <row r="502" spans="1:7" ht="15" customHeight="1" x14ac:dyDescent="0.2">
      <c r="A502" s="227"/>
      <c r="B502" s="196"/>
      <c r="C502" s="259" t="s">
        <v>4128</v>
      </c>
      <c r="D502" s="227" t="s">
        <v>918</v>
      </c>
      <c r="E502" s="227">
        <v>1</v>
      </c>
      <c r="F502" s="196" t="s">
        <v>388</v>
      </c>
      <c r="G502" s="227" t="s">
        <v>4129</v>
      </c>
    </row>
    <row r="503" spans="1:7" ht="15" customHeight="1" x14ac:dyDescent="0.2">
      <c r="A503" s="227"/>
      <c r="B503" s="196"/>
      <c r="C503" s="259" t="s">
        <v>4130</v>
      </c>
      <c r="D503" s="227" t="s">
        <v>193</v>
      </c>
      <c r="E503" s="227">
        <v>1</v>
      </c>
      <c r="F503" s="196" t="s">
        <v>388</v>
      </c>
      <c r="G503" s="227" t="s">
        <v>4131</v>
      </c>
    </row>
    <row r="504" spans="1:7" ht="15" customHeight="1" x14ac:dyDescent="0.2">
      <c r="A504" s="227" t="s">
        <v>4001</v>
      </c>
      <c r="B504" s="196" t="s">
        <v>388</v>
      </c>
      <c r="C504" s="259"/>
      <c r="D504" s="227" t="s">
        <v>484</v>
      </c>
      <c r="E504" s="227"/>
      <c r="F504" s="196" t="s">
        <v>388</v>
      </c>
      <c r="G504" s="227"/>
    </row>
    <row r="505" spans="1:7" ht="15" customHeight="1" x14ac:dyDescent="0.2">
      <c r="A505" s="227"/>
      <c r="B505" s="196"/>
      <c r="C505" s="259" t="s">
        <v>4094</v>
      </c>
      <c r="D505" s="227" t="s">
        <v>193</v>
      </c>
      <c r="E505" s="227">
        <v>1</v>
      </c>
      <c r="F505" s="196" t="s">
        <v>388</v>
      </c>
      <c r="G505" s="227" t="s">
        <v>4132</v>
      </c>
    </row>
    <row r="506" spans="1:7" ht="15" customHeight="1" x14ac:dyDescent="0.2">
      <c r="A506" s="227"/>
      <c r="B506" s="196"/>
      <c r="C506" s="259" t="s">
        <v>4096</v>
      </c>
      <c r="D506" s="227" t="s">
        <v>193</v>
      </c>
      <c r="E506" s="227">
        <v>1</v>
      </c>
      <c r="F506" s="196" t="s">
        <v>388</v>
      </c>
      <c r="G506" s="227" t="s">
        <v>4133</v>
      </c>
    </row>
    <row r="507" spans="1:7" ht="15" customHeight="1" x14ac:dyDescent="0.2">
      <c r="A507" s="227"/>
      <c r="B507" s="196"/>
      <c r="C507" s="259" t="s">
        <v>628</v>
      </c>
      <c r="D507" s="227" t="s">
        <v>193</v>
      </c>
      <c r="E507" s="227">
        <v>1</v>
      </c>
      <c r="F507" s="196" t="s">
        <v>388</v>
      </c>
      <c r="G507" s="227" t="s">
        <v>4132</v>
      </c>
    </row>
    <row r="508" spans="1:7" ht="15" customHeight="1" x14ac:dyDescent="0.2">
      <c r="A508" s="227"/>
      <c r="B508" s="196"/>
      <c r="C508" s="259" t="s">
        <v>4099</v>
      </c>
      <c r="D508" s="227" t="s">
        <v>193</v>
      </c>
      <c r="E508" s="227">
        <v>1</v>
      </c>
      <c r="F508" s="196" t="s">
        <v>388</v>
      </c>
      <c r="G508" s="227" t="s">
        <v>4134</v>
      </c>
    </row>
    <row r="509" spans="1:7" ht="15" customHeight="1" x14ac:dyDescent="0.2">
      <c r="A509" s="227"/>
      <c r="B509" s="196"/>
      <c r="C509" s="259" t="s">
        <v>4101</v>
      </c>
      <c r="D509" s="227" t="s">
        <v>193</v>
      </c>
      <c r="E509" s="227">
        <v>1</v>
      </c>
      <c r="F509" s="196" t="s">
        <v>388</v>
      </c>
      <c r="G509" s="227" t="s">
        <v>4134</v>
      </c>
    </row>
    <row r="510" spans="1:7" ht="15" customHeight="1" x14ac:dyDescent="0.2">
      <c r="A510" s="227"/>
      <c r="B510" s="196"/>
      <c r="C510" s="259" t="s">
        <v>4103</v>
      </c>
      <c r="D510" s="227" t="s">
        <v>193</v>
      </c>
      <c r="E510" s="227">
        <v>1</v>
      </c>
      <c r="F510" s="196" t="s">
        <v>388</v>
      </c>
      <c r="G510" s="227" t="s">
        <v>4135</v>
      </c>
    </row>
    <row r="511" spans="1:7" ht="15" customHeight="1" x14ac:dyDescent="0.2">
      <c r="A511" s="227"/>
      <c r="B511" s="196"/>
      <c r="C511" s="259" t="s">
        <v>4105</v>
      </c>
      <c r="D511" s="227" t="s">
        <v>193</v>
      </c>
      <c r="E511" s="227">
        <v>1</v>
      </c>
      <c r="F511" s="196" t="s">
        <v>388</v>
      </c>
      <c r="G511" s="227" t="s">
        <v>4135</v>
      </c>
    </row>
    <row r="512" spans="1:7" ht="15" customHeight="1" x14ac:dyDescent="0.2">
      <c r="A512" s="227"/>
      <c r="B512" s="196"/>
      <c r="C512" s="259" t="s">
        <v>4107</v>
      </c>
      <c r="D512" s="227" t="s">
        <v>193</v>
      </c>
      <c r="E512" s="227">
        <v>1</v>
      </c>
      <c r="F512" s="196" t="s">
        <v>388</v>
      </c>
      <c r="G512" s="227" t="s">
        <v>4136</v>
      </c>
    </row>
    <row r="513" spans="1:7" ht="15" customHeight="1" x14ac:dyDescent="0.2">
      <c r="A513" s="227"/>
      <c r="B513" s="196"/>
      <c r="C513" s="259" t="s">
        <v>3877</v>
      </c>
      <c r="D513" s="227" t="s">
        <v>193</v>
      </c>
      <c r="E513" s="227">
        <v>1</v>
      </c>
      <c r="F513" s="196" t="s">
        <v>388</v>
      </c>
      <c r="G513" s="227" t="s">
        <v>4137</v>
      </c>
    </row>
    <row r="514" spans="1:7" ht="15" customHeight="1" x14ac:dyDescent="0.2">
      <c r="A514" s="227"/>
      <c r="B514" s="196"/>
      <c r="C514" s="259" t="s">
        <v>4138</v>
      </c>
      <c r="D514" s="227" t="s">
        <v>193</v>
      </c>
      <c r="E514" s="227">
        <v>1</v>
      </c>
      <c r="F514" s="196" t="s">
        <v>388</v>
      </c>
      <c r="G514" s="227" t="s">
        <v>4139</v>
      </c>
    </row>
    <row r="515" spans="1:7" ht="15" customHeight="1" x14ac:dyDescent="0.2">
      <c r="A515" s="227" t="s">
        <v>4003</v>
      </c>
      <c r="B515" s="196" t="s">
        <v>388</v>
      </c>
      <c r="C515" s="259"/>
      <c r="D515" s="227" t="s">
        <v>484</v>
      </c>
      <c r="E515" s="227"/>
      <c r="F515" s="196" t="s">
        <v>388</v>
      </c>
      <c r="G515" s="227"/>
    </row>
    <row r="516" spans="1:7" ht="15" customHeight="1" x14ac:dyDescent="0.2">
      <c r="A516" s="227"/>
      <c r="B516" s="196"/>
      <c r="C516" s="259" t="s">
        <v>4140</v>
      </c>
      <c r="D516" s="227" t="s">
        <v>193</v>
      </c>
      <c r="E516" s="227">
        <v>1</v>
      </c>
      <c r="F516" s="196" t="s">
        <v>388</v>
      </c>
      <c r="G516" s="227"/>
    </row>
    <row r="517" spans="1:7" ht="15" customHeight="1" x14ac:dyDescent="0.2">
      <c r="A517" s="227" t="s">
        <v>4006</v>
      </c>
      <c r="B517" s="196" t="s">
        <v>388</v>
      </c>
      <c r="C517" s="259"/>
      <c r="D517" s="227" t="s">
        <v>484</v>
      </c>
      <c r="E517" s="227"/>
      <c r="F517" s="196" t="s">
        <v>388</v>
      </c>
      <c r="G517" s="227"/>
    </row>
    <row r="518" spans="1:7" ht="15" customHeight="1" x14ac:dyDescent="0.2">
      <c r="A518" s="227"/>
      <c r="B518" s="196"/>
      <c r="C518" s="259" t="s">
        <v>4141</v>
      </c>
      <c r="D518" s="227" t="s">
        <v>193</v>
      </c>
      <c r="E518" s="227">
        <v>1</v>
      </c>
      <c r="F518" s="196" t="s">
        <v>388</v>
      </c>
      <c r="G518" s="227" t="s">
        <v>4142</v>
      </c>
    </row>
    <row r="519" spans="1:7" ht="15" customHeight="1" x14ac:dyDescent="0.2">
      <c r="A519" s="227"/>
      <c r="B519" s="196"/>
      <c r="C519" s="259" t="s">
        <v>4143</v>
      </c>
      <c r="D519" s="227" t="s">
        <v>193</v>
      </c>
      <c r="E519" s="227">
        <v>1</v>
      </c>
      <c r="F519" s="196" t="s">
        <v>388</v>
      </c>
      <c r="G519" s="227" t="s">
        <v>4144</v>
      </c>
    </row>
    <row r="520" spans="1:7" ht="15" customHeight="1" x14ac:dyDescent="0.2">
      <c r="A520" s="278" t="s">
        <v>4009</v>
      </c>
      <c r="B520" s="279" t="s">
        <v>388</v>
      </c>
      <c r="C520" s="272"/>
      <c r="D520" s="227" t="s">
        <v>484</v>
      </c>
      <c r="E520" s="157"/>
      <c r="F520" s="196" t="s">
        <v>388</v>
      </c>
      <c r="G520" s="157"/>
    </row>
    <row r="521" spans="1:7" ht="15" customHeight="1" x14ac:dyDescent="0.2">
      <c r="A521" s="240"/>
      <c r="B521" s="248"/>
      <c r="C521" s="272" t="s">
        <v>4145</v>
      </c>
      <c r="D521" s="277" t="s">
        <v>193</v>
      </c>
      <c r="E521" s="227">
        <v>1</v>
      </c>
      <c r="F521" s="196" t="s">
        <v>388</v>
      </c>
      <c r="G521" s="264" t="s">
        <v>4146</v>
      </c>
    </row>
    <row r="522" spans="1:7" ht="15" customHeight="1" x14ac:dyDescent="0.2">
      <c r="A522" s="157" t="s">
        <v>3260</v>
      </c>
      <c r="B522" s="235" t="str">
        <f>IF(ISBLANK(A522),"",IF(AND(ISNA(VLOOKUP(A522,Interface_E01!E:E,1,FALSE())),ISNA(VLOOKUP(A522,D:D,1,FALSE()))),"N","Y"))</f>
        <v>Y</v>
      </c>
      <c r="C522" s="156"/>
      <c r="D522" s="157" t="s">
        <v>484</v>
      </c>
      <c r="E522" s="157"/>
      <c r="F522" s="235" t="str">
        <f>IF(AND(ISNA(VLOOKUP(D522,A:A,1,FALSE())),ISNA(VLOOKUP(D522,BaseType!A:A,1,FALSE())),D522&lt;&gt;"Struct"),"N","Y")</f>
        <v>Y</v>
      </c>
      <c r="G522" s="157"/>
    </row>
    <row r="523" spans="1:7" ht="15" customHeight="1" x14ac:dyDescent="0.2">
      <c r="A523" s="157"/>
      <c r="B523" s="235"/>
      <c r="C523" s="156" t="s">
        <v>4147</v>
      </c>
      <c r="D523" s="157" t="s">
        <v>4148</v>
      </c>
      <c r="E523" s="157">
        <v>1</v>
      </c>
      <c r="F523" s="235" t="str">
        <f>IF(AND(ISNA(VLOOKUP(D523,A:A,1,FALSE())),ISNA(VLOOKUP(D523,BaseType!A:A,1,FALSE())),D523&lt;&gt;"Struct"),"N","Y")</f>
        <v>Y</v>
      </c>
      <c r="G523" s="157"/>
    </row>
    <row r="524" spans="1:7" ht="15" customHeight="1" x14ac:dyDescent="0.2">
      <c r="A524" s="157"/>
      <c r="B524" s="235"/>
      <c r="C524" s="156" t="s">
        <v>4149</v>
      </c>
      <c r="D524" s="157" t="s">
        <v>4150</v>
      </c>
      <c r="E524" s="157">
        <v>1</v>
      </c>
      <c r="F524" s="235" t="str">
        <f>IF(AND(ISNA(VLOOKUP(D524,A:A,1,FALSE())),ISNA(VLOOKUP(D524,BaseType!A:A,1,FALSE())),D524&lt;&gt;"Struct"),"N","Y")</f>
        <v>Y</v>
      </c>
      <c r="G524" s="157" t="s">
        <v>4151</v>
      </c>
    </row>
    <row r="525" spans="1:7" ht="15" customHeight="1" x14ac:dyDescent="0.2">
      <c r="A525" s="157"/>
      <c r="B525" s="235"/>
      <c r="C525" s="156" t="s">
        <v>4152</v>
      </c>
      <c r="D525" s="157" t="s">
        <v>4153</v>
      </c>
      <c r="E525" s="157">
        <v>1</v>
      </c>
      <c r="F525" s="235" t="str">
        <f>IF(AND(ISNA(VLOOKUP(D525,A:A,1,FALSE())),ISNA(VLOOKUP(D525,BaseType!A:A,1,FALSE())),D525&lt;&gt;"Struct"),"N","Y")</f>
        <v>Y</v>
      </c>
      <c r="G525" s="157" t="s">
        <v>4151</v>
      </c>
    </row>
    <row r="526" spans="1:7" ht="15" customHeight="1" x14ac:dyDescent="0.2">
      <c r="A526" s="157" t="s">
        <v>4148</v>
      </c>
      <c r="B526" s="235" t="str">
        <f>IF(ISBLANK(A526),"",IF(AND(ISNA(VLOOKUP(A526,Interface_E01!E:E,1,FALSE())),ISNA(VLOOKUP(A526,D:D,1,FALSE()))),"N","Y"))</f>
        <v>Y</v>
      </c>
      <c r="C526" s="156"/>
      <c r="D526" s="157" t="s">
        <v>484</v>
      </c>
      <c r="E526" s="157"/>
      <c r="F526" s="235" t="str">
        <f>IF(AND(ISNA(VLOOKUP(D526,A:A,1,FALSE())),ISNA(VLOOKUP(D526,BaseType!A:A,1,FALSE())),D526&lt;&gt;"Struct"),"N","Y")</f>
        <v>Y</v>
      </c>
      <c r="G526" s="157"/>
    </row>
    <row r="527" spans="1:7" ht="15" customHeight="1" x14ac:dyDescent="0.2">
      <c r="A527" s="157"/>
      <c r="B527" s="235"/>
      <c r="C527" s="156" t="s">
        <v>4154</v>
      </c>
      <c r="D527" s="157" t="s">
        <v>193</v>
      </c>
      <c r="E527" s="157">
        <v>1</v>
      </c>
      <c r="F527" s="235" t="str">
        <f>IF(AND(ISNA(VLOOKUP(D527,A:A,1,FALSE())),ISNA(VLOOKUP(D527,BaseType!A:A,1,FALSE())),D527&lt;&gt;"Struct"),"N","Y")</f>
        <v>Y</v>
      </c>
      <c r="G527" s="157" t="s">
        <v>4155</v>
      </c>
    </row>
    <row r="528" spans="1:7" ht="15" customHeight="1" x14ac:dyDescent="0.2">
      <c r="A528" s="157"/>
      <c r="B528" s="235"/>
      <c r="C528" s="156" t="s">
        <v>4156</v>
      </c>
      <c r="D528" s="157" t="s">
        <v>193</v>
      </c>
      <c r="E528" s="157">
        <v>1</v>
      </c>
      <c r="F528" s="235" t="str">
        <f>IF(AND(ISNA(VLOOKUP(D528,A:A,1,FALSE())),ISNA(VLOOKUP(D528,BaseType!A:A,1,FALSE())),D528&lt;&gt;"Struct"),"N","Y")</f>
        <v>Y</v>
      </c>
      <c r="G528" s="157" t="s">
        <v>4157</v>
      </c>
    </row>
    <row r="529" spans="1:7" ht="15" customHeight="1" x14ac:dyDescent="0.2">
      <c r="A529" s="157"/>
      <c r="B529" s="235"/>
      <c r="C529" s="156" t="s">
        <v>4158</v>
      </c>
      <c r="D529" s="157" t="s">
        <v>193</v>
      </c>
      <c r="E529" s="157">
        <v>1</v>
      </c>
      <c r="F529" s="235" t="str">
        <f>IF(AND(ISNA(VLOOKUP(D529,A:A,1,FALSE())),ISNA(VLOOKUP(D529,BaseType!A:A,1,FALSE())),D529&lt;&gt;"Struct"),"N","Y")</f>
        <v>Y</v>
      </c>
      <c r="G529" s="157" t="s">
        <v>4159</v>
      </c>
    </row>
    <row r="530" spans="1:7" ht="15" customHeight="1" x14ac:dyDescent="0.2">
      <c r="A530" s="157"/>
      <c r="B530" s="235"/>
      <c r="C530" s="156" t="s">
        <v>4160</v>
      </c>
      <c r="D530" s="157" t="s">
        <v>193</v>
      </c>
      <c r="E530" s="157">
        <v>1</v>
      </c>
      <c r="F530" s="235" t="str">
        <f>IF(AND(ISNA(VLOOKUP(D530,A:A,1,FALSE())),ISNA(VLOOKUP(D530,BaseType!A:A,1,FALSE())),D530&lt;&gt;"Struct"),"N","Y")</f>
        <v>Y</v>
      </c>
      <c r="G530" s="157" t="s">
        <v>4161</v>
      </c>
    </row>
    <row r="531" spans="1:7" ht="15" customHeight="1" x14ac:dyDescent="0.2">
      <c r="A531" s="157"/>
      <c r="B531" s="235"/>
      <c r="C531" s="156" t="s">
        <v>4162</v>
      </c>
      <c r="D531" s="157" t="s">
        <v>193</v>
      </c>
      <c r="E531" s="157">
        <v>1</v>
      </c>
      <c r="F531" s="235" t="str">
        <f>IF(AND(ISNA(VLOOKUP(D531,A:A,1,FALSE())),ISNA(VLOOKUP(D531,BaseType!A:A,1,FALSE())),D531&lt;&gt;"Struct"),"N","Y")</f>
        <v>Y</v>
      </c>
      <c r="G531" s="157" t="s">
        <v>4163</v>
      </c>
    </row>
    <row r="532" spans="1:7" ht="15" customHeight="1" x14ac:dyDescent="0.2">
      <c r="A532" s="157" t="s">
        <v>4150</v>
      </c>
      <c r="B532" s="235" t="str">
        <f>IF(ISBLANK(A532),"",IF(AND(ISNA(VLOOKUP(A532,Interface_E01!E:E,1,FALSE())),ISNA(VLOOKUP(A532,D:D,1,FALSE()))),"N","Y"))</f>
        <v>Y</v>
      </c>
      <c r="C532" s="156"/>
      <c r="D532" s="157" t="s">
        <v>484</v>
      </c>
      <c r="E532" s="157"/>
      <c r="F532" s="235" t="str">
        <f>IF(AND(ISNA(VLOOKUP(D532,A:A,1,FALSE())),ISNA(VLOOKUP(D532,BaseType!A:A,1,FALSE())),D532&lt;&gt;"Struct"),"N","Y")</f>
        <v>Y</v>
      </c>
      <c r="G532" s="157"/>
    </row>
    <row r="533" spans="1:7" ht="15" customHeight="1" x14ac:dyDescent="0.2">
      <c r="A533" s="157"/>
      <c r="B533" s="235" t="str">
        <f>IF(ISBLANK(A533),"",IF(AND(ISNA(VLOOKUP(A533,Interface_E01!E:E,1,FALSE())),ISNA(VLOOKUP(A533,D:D,1,FALSE()))),"N","Y"))</f>
        <v/>
      </c>
      <c r="C533" s="156" t="s">
        <v>4164</v>
      </c>
      <c r="D533" s="157" t="s">
        <v>193</v>
      </c>
      <c r="E533" s="157">
        <v>1</v>
      </c>
      <c r="F533" s="235" t="str">
        <f>IF(AND(ISNA(VLOOKUP(D533,A:A,1,FALSE())),ISNA(VLOOKUP(D533,BaseType!A:A,1,FALSE())),D533&lt;&gt;"Struct"),"N","Y")</f>
        <v>Y</v>
      </c>
      <c r="G533" s="157" t="s">
        <v>4165</v>
      </c>
    </row>
    <row r="534" spans="1:7" ht="15" customHeight="1" x14ac:dyDescent="0.2">
      <c r="A534" s="157"/>
      <c r="B534" s="235" t="str">
        <f>IF(ISBLANK(A534),"",IF(AND(ISNA(VLOOKUP(A534,Interface_E01!E:E,1,FALSE())),ISNA(VLOOKUP(A534,D:D,1,FALSE()))),"N","Y"))</f>
        <v/>
      </c>
      <c r="C534" s="156" t="s">
        <v>4166</v>
      </c>
      <c r="D534" s="157" t="s">
        <v>193</v>
      </c>
      <c r="E534" s="157">
        <v>1</v>
      </c>
      <c r="F534" s="235" t="str">
        <f>IF(AND(ISNA(VLOOKUP(D534,A:A,1,FALSE())),ISNA(VLOOKUP(D534,BaseType!A:A,1,FALSE())),D534&lt;&gt;"Struct"),"N","Y")</f>
        <v>Y</v>
      </c>
      <c r="G534" s="157" t="s">
        <v>4167</v>
      </c>
    </row>
    <row r="535" spans="1:7" ht="15" customHeight="1" x14ac:dyDescent="0.2">
      <c r="A535" s="157"/>
      <c r="B535" s="235" t="str">
        <f>IF(ISBLANK(A535),"",IF(AND(ISNA(VLOOKUP(A535,Interface_E01!E:E,1,FALSE())),ISNA(VLOOKUP(A535,D:D,1,FALSE()))),"N","Y"))</f>
        <v/>
      </c>
      <c r="C535" s="156" t="s">
        <v>4168</v>
      </c>
      <c r="D535" s="157" t="s">
        <v>193</v>
      </c>
      <c r="E535" s="157">
        <v>1</v>
      </c>
      <c r="F535" s="235" t="str">
        <f>IF(AND(ISNA(VLOOKUP(D535,A:A,1,FALSE())),ISNA(VLOOKUP(D535,BaseType!A:A,1,FALSE())),D535&lt;&gt;"Struct"),"N","Y")</f>
        <v>Y</v>
      </c>
      <c r="G535" s="157" t="s">
        <v>4169</v>
      </c>
    </row>
    <row r="536" spans="1:7" ht="15" customHeight="1" x14ac:dyDescent="0.2">
      <c r="A536" s="157"/>
      <c r="B536" s="235" t="str">
        <f>IF(ISBLANK(A536),"",IF(AND(ISNA(VLOOKUP(A536,Interface_E01!E:E,1,FALSE())),ISNA(VLOOKUP(A536,D:D,1,FALSE()))),"N","Y"))</f>
        <v/>
      </c>
      <c r="C536" s="156" t="s">
        <v>4170</v>
      </c>
      <c r="D536" s="157" t="s">
        <v>225</v>
      </c>
      <c r="E536" s="157">
        <v>1</v>
      </c>
      <c r="F536" s="235" t="str">
        <f>IF(AND(ISNA(VLOOKUP(D536,A:A,1,FALSE())),ISNA(VLOOKUP(D536,BaseType!A:A,1,FALSE())),D536&lt;&gt;"Struct"),"N","Y")</f>
        <v>Y</v>
      </c>
      <c r="G536" s="157" t="s">
        <v>4171</v>
      </c>
    </row>
    <row r="537" spans="1:7" ht="15" customHeight="1" x14ac:dyDescent="0.2">
      <c r="A537" s="157"/>
      <c r="B537" s="235" t="str">
        <f>IF(ISBLANK(A537),"",IF(AND(ISNA(VLOOKUP(A537,Interface_E01!E:E,1,FALSE())),ISNA(VLOOKUP(A537,D:D,1,FALSE()))),"N","Y"))</f>
        <v/>
      </c>
      <c r="C537" s="156" t="s">
        <v>4172</v>
      </c>
      <c r="D537" s="157" t="s">
        <v>225</v>
      </c>
      <c r="E537" s="157">
        <v>1</v>
      </c>
      <c r="F537" s="235" t="str">
        <f>IF(AND(ISNA(VLOOKUP(D537,A:A,1,FALSE())),ISNA(VLOOKUP(D537,BaseType!A:A,1,FALSE())),D537&lt;&gt;"Struct"),"N","Y")</f>
        <v>Y</v>
      </c>
      <c r="G537" s="157" t="s">
        <v>4173</v>
      </c>
    </row>
    <row r="538" spans="1:7" ht="15" customHeight="1" x14ac:dyDescent="0.2">
      <c r="A538" s="157"/>
      <c r="B538" s="235" t="str">
        <f>IF(ISBLANK(A538),"",IF(AND(ISNA(VLOOKUP(A538,Interface_E01!E:E,1,FALSE())),ISNA(VLOOKUP(A538,D:D,1,FALSE()))),"N","Y"))</f>
        <v/>
      </c>
      <c r="C538" s="156" t="s">
        <v>4174</v>
      </c>
      <c r="D538" s="157" t="s">
        <v>225</v>
      </c>
      <c r="E538" s="157">
        <v>1</v>
      </c>
      <c r="F538" s="235" t="str">
        <f>IF(AND(ISNA(VLOOKUP(D538,A:A,1,FALSE())),ISNA(VLOOKUP(D538,BaseType!A:A,1,FALSE())),D538&lt;&gt;"Struct"),"N","Y")</f>
        <v>Y</v>
      </c>
      <c r="G538" s="157" t="s">
        <v>4175</v>
      </c>
    </row>
    <row r="539" spans="1:7" ht="15" customHeight="1" x14ac:dyDescent="0.2">
      <c r="A539" s="157" t="s">
        <v>4153</v>
      </c>
      <c r="B539" s="235" t="str">
        <f>IF(ISBLANK(A539),"",IF(AND(ISNA(VLOOKUP(A539,Interface_E01!E:E,1,FALSE())),ISNA(VLOOKUP(A539,D:D,1,FALSE()))),"N","Y"))</f>
        <v>Y</v>
      </c>
      <c r="C539" s="156"/>
      <c r="D539" s="157" t="s">
        <v>484</v>
      </c>
      <c r="E539" s="157"/>
      <c r="F539" s="235" t="str">
        <f>IF(AND(ISNA(VLOOKUP(D539,A:A,1,FALSE())),ISNA(VLOOKUP(D539,BaseType!A:A,1,FALSE())),D539&lt;&gt;"Struct"),"N","Y")</f>
        <v>Y</v>
      </c>
      <c r="G539" s="157"/>
    </row>
    <row r="540" spans="1:7" ht="15" customHeight="1" x14ac:dyDescent="0.2">
      <c r="A540" s="157"/>
      <c r="B540" s="235" t="str">
        <f>IF(ISBLANK(A540),"",IF(AND(ISNA(VLOOKUP(A540,Interface_E01!E:E,1,FALSE())),ISNA(VLOOKUP(A540,D:D,1,FALSE()))),"N","Y"))</f>
        <v/>
      </c>
      <c r="C540" s="156" t="s">
        <v>4154</v>
      </c>
      <c r="D540" s="157" t="s">
        <v>193</v>
      </c>
      <c r="E540" s="157">
        <v>1</v>
      </c>
      <c r="F540" s="235" t="str">
        <f>IF(AND(ISNA(VLOOKUP(D540,A:A,1,FALSE())),ISNA(VLOOKUP(D540,BaseType!A:A,1,FALSE())),D540&lt;&gt;"Struct"),"N","Y")</f>
        <v>Y</v>
      </c>
      <c r="G540" s="157" t="s">
        <v>4155</v>
      </c>
    </row>
    <row r="541" spans="1:7" ht="15" customHeight="1" x14ac:dyDescent="0.2">
      <c r="A541" s="157"/>
      <c r="B541" s="235" t="str">
        <f>IF(ISBLANK(A541),"",IF(AND(ISNA(VLOOKUP(A541,Interface_E01!E:E,1,FALSE())),ISNA(VLOOKUP(A541,D:D,1,FALSE()))),"N","Y"))</f>
        <v/>
      </c>
      <c r="C541" s="156" t="s">
        <v>4156</v>
      </c>
      <c r="D541" s="157" t="s">
        <v>193</v>
      </c>
      <c r="E541" s="157">
        <v>1</v>
      </c>
      <c r="F541" s="235" t="str">
        <f>IF(AND(ISNA(VLOOKUP(D541,A:A,1,FALSE())),ISNA(VLOOKUP(D541,BaseType!A:A,1,FALSE())),D541&lt;&gt;"Struct"),"N","Y")</f>
        <v>Y</v>
      </c>
      <c r="G541" s="157" t="s">
        <v>4157</v>
      </c>
    </row>
    <row r="542" spans="1:7" ht="15" customHeight="1" x14ac:dyDescent="0.2">
      <c r="A542" s="157"/>
      <c r="B542" s="235" t="str">
        <f>IF(ISBLANK(A542),"",IF(AND(ISNA(VLOOKUP(A542,Interface_E01!E:E,1,FALSE())),ISNA(VLOOKUP(A542,D:D,1,FALSE()))),"N","Y"))</f>
        <v/>
      </c>
      <c r="C542" s="156" t="s">
        <v>4158</v>
      </c>
      <c r="D542" s="157" t="s">
        <v>193</v>
      </c>
      <c r="E542" s="157">
        <v>1</v>
      </c>
      <c r="F542" s="235" t="str">
        <f>IF(AND(ISNA(VLOOKUP(D542,A:A,1,FALSE())),ISNA(VLOOKUP(D542,BaseType!A:A,1,FALSE())),D542&lt;&gt;"Struct"),"N","Y")</f>
        <v>Y</v>
      </c>
      <c r="G542" s="157" t="s">
        <v>4159</v>
      </c>
    </row>
    <row r="543" spans="1:7" ht="15" customHeight="1" x14ac:dyDescent="0.2">
      <c r="A543" s="157"/>
      <c r="B543" s="235" t="str">
        <f>IF(ISBLANK(A543),"",IF(AND(ISNA(VLOOKUP(A543,Interface_E01!E:E,1,FALSE())),ISNA(VLOOKUP(A543,D:D,1,FALSE()))),"N","Y"))</f>
        <v/>
      </c>
      <c r="C543" s="156" t="s">
        <v>4160</v>
      </c>
      <c r="D543" s="157" t="s">
        <v>193</v>
      </c>
      <c r="E543" s="157">
        <v>1</v>
      </c>
      <c r="F543" s="235" t="str">
        <f>IF(AND(ISNA(VLOOKUP(D543,A:A,1,FALSE())),ISNA(VLOOKUP(D543,BaseType!A:A,1,FALSE())),D543&lt;&gt;"Struct"),"N","Y")</f>
        <v>Y</v>
      </c>
      <c r="G543" s="157" t="s">
        <v>4161</v>
      </c>
    </row>
    <row r="544" spans="1:7" ht="15" customHeight="1" x14ac:dyDescent="0.2">
      <c r="A544" s="157"/>
      <c r="B544" s="235" t="str">
        <f>IF(ISBLANK(A544),"",IF(AND(ISNA(VLOOKUP(A544,Interface_E01!E:E,1,FALSE())),ISNA(VLOOKUP(A544,D:D,1,FALSE()))),"N","Y"))</f>
        <v/>
      </c>
      <c r="C544" s="156" t="s">
        <v>4162</v>
      </c>
      <c r="D544" s="157" t="s">
        <v>193</v>
      </c>
      <c r="E544" s="157">
        <v>1</v>
      </c>
      <c r="F544" s="235" t="str">
        <f>IF(AND(ISNA(VLOOKUP(D544,A:A,1,FALSE())),ISNA(VLOOKUP(D544,BaseType!A:A,1,FALSE())),D544&lt;&gt;"Struct"),"N","Y")</f>
        <v>Y</v>
      </c>
      <c r="G544" s="157" t="s">
        <v>4163</v>
      </c>
    </row>
    <row r="545" spans="1:7" ht="15" customHeight="1" x14ac:dyDescent="0.2">
      <c r="A545" s="157"/>
      <c r="B545" s="235" t="str">
        <f>IF(ISBLANK(A545),"",IF(AND(ISNA(VLOOKUP(A545,Interface_E01!E:E,1,FALSE())),ISNA(VLOOKUP(A545,D:D,1,FALSE()))),"N","Y"))</f>
        <v/>
      </c>
      <c r="C545" s="156" t="s">
        <v>4176</v>
      </c>
      <c r="D545" s="157" t="s">
        <v>193</v>
      </c>
      <c r="E545" s="157">
        <v>1</v>
      </c>
      <c r="F545" s="235" t="str">
        <f>IF(AND(ISNA(VLOOKUP(D545,A:A,1,FALSE())),ISNA(VLOOKUP(D545,BaseType!A:A,1,FALSE())),D545&lt;&gt;"Struct"),"N","Y")</f>
        <v>Y</v>
      </c>
      <c r="G545" s="157" t="s">
        <v>4177</v>
      </c>
    </row>
    <row r="546" spans="1:7" ht="15" customHeight="1" x14ac:dyDescent="0.2">
      <c r="A546" s="157" t="s">
        <v>3263</v>
      </c>
      <c r="B546" s="235" t="str">
        <f>IF(ISBLANK(A546),"",IF(AND(ISNA(VLOOKUP(A546,Interface_E01!E:E,1,FALSE())),ISNA(VLOOKUP(A546,D:D,1,FALSE()))),"N","Y"))</f>
        <v>Y</v>
      </c>
      <c r="C546" s="273"/>
      <c r="D546" s="156" t="s">
        <v>484</v>
      </c>
      <c r="E546" s="157"/>
      <c r="F546" s="235" t="str">
        <f>IF(AND(ISNA(VLOOKUP(D546,A:A,1,FALSE())),ISNA(VLOOKUP(D546,BaseType!A:A,1,FALSE())),D546&lt;&gt;"Struct"),"N","Y")</f>
        <v>Y</v>
      </c>
      <c r="G546" s="157"/>
    </row>
    <row r="547" spans="1:7" ht="15" customHeight="1" x14ac:dyDescent="0.2">
      <c r="A547" s="157"/>
      <c r="B547" s="235"/>
      <c r="C547" s="156" t="s">
        <v>4178</v>
      </c>
      <c r="D547" s="157" t="s">
        <v>193</v>
      </c>
      <c r="E547" s="157">
        <v>1</v>
      </c>
      <c r="F547" s="235" t="str">
        <f>IF(AND(ISNA(VLOOKUP(D547,A:A,1,FALSE())),ISNA(VLOOKUP(D547,BaseType!A:A,1,FALSE())),D547&lt;&gt;"Struct"),"N","Y")</f>
        <v>Y</v>
      </c>
      <c r="G547" s="157" t="s">
        <v>4179</v>
      </c>
    </row>
    <row r="548" spans="1:7" ht="15" customHeight="1" x14ac:dyDescent="0.2">
      <c r="A548" s="157"/>
      <c r="B548" s="235"/>
      <c r="C548" s="156" t="s">
        <v>4180</v>
      </c>
      <c r="D548" s="157" t="s">
        <v>193</v>
      </c>
      <c r="E548" s="157">
        <v>1</v>
      </c>
      <c r="F548" s="235" t="str">
        <f>IF(AND(ISNA(VLOOKUP(D548,A:A,1,FALSE())),ISNA(VLOOKUP(D548,BaseType!A:A,1,FALSE())),D548&lt;&gt;"Struct"),"N","Y")</f>
        <v>Y</v>
      </c>
      <c r="G548" s="157" t="s">
        <v>4179</v>
      </c>
    </row>
    <row r="549" spans="1:7" ht="15" customHeight="1" x14ac:dyDescent="0.2">
      <c r="A549" s="157"/>
      <c r="B549" s="235"/>
      <c r="C549" s="156" t="s">
        <v>4181</v>
      </c>
      <c r="D549" s="157" t="s">
        <v>193</v>
      </c>
      <c r="E549" s="157">
        <v>1</v>
      </c>
      <c r="F549" s="235" t="str">
        <f>IF(AND(ISNA(VLOOKUP(D549,A:A,1,FALSE())),ISNA(VLOOKUP(D549,BaseType!A:A,1,FALSE())),D549&lt;&gt;"Struct"),"N","Y")</f>
        <v>Y</v>
      </c>
      <c r="G549" s="157" t="s">
        <v>4182</v>
      </c>
    </row>
    <row r="550" spans="1:7" ht="15" customHeight="1" x14ac:dyDescent="0.2">
      <c r="A550" s="157"/>
      <c r="B550" s="235"/>
      <c r="C550" s="156" t="s">
        <v>4183</v>
      </c>
      <c r="D550" s="157" t="s">
        <v>193</v>
      </c>
      <c r="E550" s="157">
        <v>1</v>
      </c>
      <c r="F550" s="235" t="str">
        <f>IF(AND(ISNA(VLOOKUP(D550,A:A,1,FALSE())),ISNA(VLOOKUP(D550,BaseType!A:A,1,FALSE())),D550&lt;&gt;"Struct"),"N","Y")</f>
        <v>Y</v>
      </c>
      <c r="G550" s="157" t="s">
        <v>4179</v>
      </c>
    </row>
    <row r="551" spans="1:7" ht="15" customHeight="1" x14ac:dyDescent="0.2">
      <c r="A551" s="157"/>
      <c r="B551" s="235"/>
      <c r="C551" s="156" t="s">
        <v>4184</v>
      </c>
      <c r="D551" s="157" t="s">
        <v>193</v>
      </c>
      <c r="E551" s="157">
        <v>1</v>
      </c>
      <c r="F551" s="235" t="str">
        <f>IF(AND(ISNA(VLOOKUP(D551,A:A,1,FALSE())),ISNA(VLOOKUP(D551,BaseType!A:A,1,FALSE())),D551&lt;&gt;"Struct"),"N","Y")</f>
        <v>Y</v>
      </c>
      <c r="G551" s="157" t="s">
        <v>4182</v>
      </c>
    </row>
    <row r="552" spans="1:7" ht="15" customHeight="1" x14ac:dyDescent="0.2">
      <c r="A552" s="157"/>
      <c r="B552" s="235"/>
      <c r="C552" s="156" t="s">
        <v>4185</v>
      </c>
      <c r="D552" s="157" t="s">
        <v>193</v>
      </c>
      <c r="E552" s="157">
        <v>1</v>
      </c>
      <c r="F552" s="235" t="str">
        <f>IF(AND(ISNA(VLOOKUP(D552,A:A,1,FALSE())),ISNA(VLOOKUP(D552,BaseType!A:A,1,FALSE())),D552&lt;&gt;"Struct"),"N","Y")</f>
        <v>Y</v>
      </c>
      <c r="G552" s="157" t="s">
        <v>4179</v>
      </c>
    </row>
    <row r="553" spans="1:7" ht="15" customHeight="1" x14ac:dyDescent="0.2">
      <c r="A553" s="157"/>
      <c r="B553" s="235"/>
      <c r="C553" s="156" t="s">
        <v>4186</v>
      </c>
      <c r="D553" s="157" t="s">
        <v>193</v>
      </c>
      <c r="E553" s="157">
        <v>1</v>
      </c>
      <c r="F553" s="235" t="str">
        <f>IF(AND(ISNA(VLOOKUP(D553,A:A,1,FALSE())),ISNA(VLOOKUP(D553,BaseType!A:A,1,FALSE())),D553&lt;&gt;"Struct"),"N","Y")</f>
        <v>Y</v>
      </c>
      <c r="G553" s="157" t="s">
        <v>4182</v>
      </c>
    </row>
    <row r="554" spans="1:7" ht="15" customHeight="1" x14ac:dyDescent="0.2">
      <c r="A554" s="157"/>
      <c r="B554" s="235"/>
      <c r="C554" s="156" t="s">
        <v>4187</v>
      </c>
      <c r="D554" s="157" t="s">
        <v>193</v>
      </c>
      <c r="E554" s="157">
        <v>1</v>
      </c>
      <c r="F554" s="235" t="str">
        <f>IF(AND(ISNA(VLOOKUP(D554,A:A,1,FALSE())),ISNA(VLOOKUP(D554,BaseType!A:A,1,FALSE())),D554&lt;&gt;"Struct"),"N","Y")</f>
        <v>Y</v>
      </c>
      <c r="G554" s="157" t="s">
        <v>4179</v>
      </c>
    </row>
    <row r="555" spans="1:7" ht="15" customHeight="1" x14ac:dyDescent="0.2">
      <c r="A555" s="157"/>
      <c r="B555" s="235"/>
      <c r="C555" s="156" t="s">
        <v>4188</v>
      </c>
      <c r="D555" s="157" t="s">
        <v>193</v>
      </c>
      <c r="E555" s="157">
        <v>1</v>
      </c>
      <c r="F555" s="235" t="str">
        <f>IF(AND(ISNA(VLOOKUP(D555,A:A,1,FALSE())),ISNA(VLOOKUP(D555,BaseType!A:A,1,FALSE())),D555&lt;&gt;"Struct"),"N","Y")</f>
        <v>Y</v>
      </c>
      <c r="G555" s="157" t="s">
        <v>4182</v>
      </c>
    </row>
    <row r="556" spans="1:7" ht="15" customHeight="1" x14ac:dyDescent="0.2">
      <c r="A556" s="157"/>
      <c r="B556" s="235"/>
      <c r="C556" s="156" t="s">
        <v>4189</v>
      </c>
      <c r="D556" s="157" t="s">
        <v>193</v>
      </c>
      <c r="E556" s="157">
        <v>1</v>
      </c>
      <c r="F556" s="235" t="str">
        <f>IF(AND(ISNA(VLOOKUP(D556,A:A,1,FALSE())),ISNA(VLOOKUP(D556,BaseType!A:A,1,FALSE())),D556&lt;&gt;"Struct"),"N","Y")</f>
        <v>Y</v>
      </c>
      <c r="G556" s="157" t="s">
        <v>4179</v>
      </c>
    </row>
    <row r="557" spans="1:7" ht="15" customHeight="1" x14ac:dyDescent="0.2">
      <c r="A557" s="157"/>
      <c r="B557" s="235"/>
      <c r="C557" s="156" t="s">
        <v>4190</v>
      </c>
      <c r="D557" s="157" t="s">
        <v>193</v>
      </c>
      <c r="E557" s="157">
        <v>1</v>
      </c>
      <c r="F557" s="235" t="str">
        <f>IF(AND(ISNA(VLOOKUP(D557,A:A,1,FALSE())),ISNA(VLOOKUP(D557,BaseType!A:A,1,FALSE())),D557&lt;&gt;"Struct"),"N","Y")</f>
        <v>Y</v>
      </c>
      <c r="G557" s="157" t="s">
        <v>4182</v>
      </c>
    </row>
    <row r="558" spans="1:7" ht="15" customHeight="1" x14ac:dyDescent="0.2">
      <c r="A558" s="157"/>
      <c r="B558" s="235"/>
      <c r="C558" s="156" t="s">
        <v>4191</v>
      </c>
      <c r="D558" s="157" t="s">
        <v>193</v>
      </c>
      <c r="E558" s="157">
        <v>1</v>
      </c>
      <c r="F558" s="235" t="str">
        <f>IF(AND(ISNA(VLOOKUP(D558,A:A,1,FALSE())),ISNA(VLOOKUP(D558,BaseType!A:A,1,FALSE())),D558&lt;&gt;"Struct"),"N","Y")</f>
        <v>Y</v>
      </c>
      <c r="G558" s="157" t="s">
        <v>4179</v>
      </c>
    </row>
    <row r="559" spans="1:7" ht="15" customHeight="1" x14ac:dyDescent="0.2">
      <c r="A559" s="157"/>
      <c r="B559" s="235"/>
      <c r="C559" s="156" t="s">
        <v>4192</v>
      </c>
      <c r="D559" s="157" t="s">
        <v>193</v>
      </c>
      <c r="E559" s="157">
        <v>1</v>
      </c>
      <c r="F559" s="235" t="str">
        <f>IF(AND(ISNA(VLOOKUP(D559,A:A,1,FALSE())),ISNA(VLOOKUP(D559,BaseType!A:A,1,FALSE())),D559&lt;&gt;"Struct"),"N","Y")</f>
        <v>Y</v>
      </c>
      <c r="G559" s="157" t="s">
        <v>4182</v>
      </c>
    </row>
    <row r="560" spans="1:7" ht="15" customHeight="1" x14ac:dyDescent="0.2">
      <c r="A560" s="157"/>
      <c r="B560" s="235"/>
      <c r="C560" s="156" t="s">
        <v>4193</v>
      </c>
      <c r="D560" s="157" t="s">
        <v>193</v>
      </c>
      <c r="E560" s="157">
        <v>1</v>
      </c>
      <c r="F560" s="235" t="str">
        <f>IF(AND(ISNA(VLOOKUP(D560,A:A,1,FALSE())),ISNA(VLOOKUP(D560,BaseType!A:A,1,FALSE())),D560&lt;&gt;"Struct"),"N","Y")</f>
        <v>Y</v>
      </c>
      <c r="G560" s="157" t="s">
        <v>4179</v>
      </c>
    </row>
    <row r="561" spans="1:7" ht="15" customHeight="1" x14ac:dyDescent="0.2">
      <c r="A561" s="157"/>
      <c r="B561" s="235"/>
      <c r="C561" s="156" t="s">
        <v>4194</v>
      </c>
      <c r="D561" s="157" t="s">
        <v>193</v>
      </c>
      <c r="E561" s="157">
        <v>1</v>
      </c>
      <c r="F561" s="235" t="str">
        <f>IF(AND(ISNA(VLOOKUP(D561,A:A,1,FALSE())),ISNA(VLOOKUP(D561,BaseType!A:A,1,FALSE())),D561&lt;&gt;"Struct"),"N","Y")</f>
        <v>Y</v>
      </c>
      <c r="G561" s="157" t="s">
        <v>4182</v>
      </c>
    </row>
    <row r="562" spans="1:7" ht="15" customHeight="1" x14ac:dyDescent="0.2">
      <c r="A562" s="157"/>
      <c r="B562" s="235"/>
      <c r="C562" s="156" t="s">
        <v>4195</v>
      </c>
      <c r="D562" s="157" t="s">
        <v>193</v>
      </c>
      <c r="E562" s="157">
        <v>1</v>
      </c>
      <c r="F562" s="235" t="str">
        <f>IF(AND(ISNA(VLOOKUP(D562,A:A,1,FALSE())),ISNA(VLOOKUP(D562,BaseType!A:A,1,FALSE())),D562&lt;&gt;"Struct"),"N","Y")</f>
        <v>Y</v>
      </c>
      <c r="G562" s="157" t="s">
        <v>4179</v>
      </c>
    </row>
    <row r="563" spans="1:7" ht="15" customHeight="1" x14ac:dyDescent="0.2">
      <c r="A563" s="157"/>
      <c r="B563" s="235"/>
      <c r="C563" s="156" t="s">
        <v>4196</v>
      </c>
      <c r="D563" s="157" t="s">
        <v>193</v>
      </c>
      <c r="E563" s="157">
        <v>1</v>
      </c>
      <c r="F563" s="235" t="str">
        <f>IF(AND(ISNA(VLOOKUP(D563,A:A,1,FALSE())),ISNA(VLOOKUP(D563,BaseType!A:A,1,FALSE())),D563&lt;&gt;"Struct"),"N","Y")</f>
        <v>Y</v>
      </c>
      <c r="G563" s="157" t="s">
        <v>4182</v>
      </c>
    </row>
    <row r="564" spans="1:7" ht="15" customHeight="1" x14ac:dyDescent="0.2">
      <c r="A564" s="157"/>
      <c r="B564" s="235"/>
      <c r="C564" s="156" t="s">
        <v>4197</v>
      </c>
      <c r="D564" s="157" t="s">
        <v>193</v>
      </c>
      <c r="E564" s="157">
        <v>1</v>
      </c>
      <c r="F564" s="235" t="str">
        <f>IF(AND(ISNA(VLOOKUP(D564,A:A,1,FALSE())),ISNA(VLOOKUP(D564,BaseType!A:A,1,FALSE())),D564&lt;&gt;"Struct"),"N","Y")</f>
        <v>Y</v>
      </c>
      <c r="G564" s="157" t="s">
        <v>4179</v>
      </c>
    </row>
    <row r="565" spans="1:7" ht="15" customHeight="1" x14ac:dyDescent="0.2">
      <c r="A565" s="157"/>
      <c r="B565" s="235"/>
      <c r="C565" s="156" t="s">
        <v>4198</v>
      </c>
      <c r="D565" s="157" t="s">
        <v>193</v>
      </c>
      <c r="E565" s="157">
        <v>1</v>
      </c>
      <c r="F565" s="235" t="str">
        <f>IF(AND(ISNA(VLOOKUP(D565,A:A,1,FALSE())),ISNA(VLOOKUP(D565,BaseType!A:A,1,FALSE())),D565&lt;&gt;"Struct"),"N","Y")</f>
        <v>Y</v>
      </c>
      <c r="G565" s="157" t="s">
        <v>4182</v>
      </c>
    </row>
    <row r="566" spans="1:7" ht="15" customHeight="1" x14ac:dyDescent="0.2">
      <c r="A566" s="157"/>
      <c r="B566" s="235"/>
      <c r="C566" s="156" t="s">
        <v>4199</v>
      </c>
      <c r="D566" s="157" t="s">
        <v>193</v>
      </c>
      <c r="E566" s="157">
        <v>1</v>
      </c>
      <c r="F566" s="235" t="str">
        <f>IF(AND(ISNA(VLOOKUP(D566,A:A,1,FALSE())),ISNA(VLOOKUP(D566,BaseType!A:A,1,FALSE())),D566&lt;&gt;"Struct"),"N","Y")</f>
        <v>Y</v>
      </c>
      <c r="G566" s="157" t="s">
        <v>4179</v>
      </c>
    </row>
    <row r="567" spans="1:7" ht="15" customHeight="1" x14ac:dyDescent="0.2">
      <c r="A567" s="157"/>
      <c r="B567" s="235"/>
      <c r="C567" s="156" t="s">
        <v>4200</v>
      </c>
      <c r="D567" s="157" t="s">
        <v>193</v>
      </c>
      <c r="E567" s="157">
        <v>1</v>
      </c>
      <c r="F567" s="235" t="str">
        <f>IF(AND(ISNA(VLOOKUP(D567,A:A,1,FALSE())),ISNA(VLOOKUP(D567,BaseType!A:A,1,FALSE())),D567&lt;&gt;"Struct"),"N","Y")</f>
        <v>Y</v>
      </c>
      <c r="G567" s="157" t="s">
        <v>4182</v>
      </c>
    </row>
    <row r="568" spans="1:7" ht="15" customHeight="1" x14ac:dyDescent="0.2">
      <c r="A568" s="157"/>
      <c r="B568" s="235"/>
      <c r="C568" s="156" t="s">
        <v>4201</v>
      </c>
      <c r="D568" s="157" t="s">
        <v>193</v>
      </c>
      <c r="E568" s="157">
        <v>1</v>
      </c>
      <c r="F568" s="235" t="str">
        <f>IF(AND(ISNA(VLOOKUP(D568,A:A,1,FALSE())),ISNA(VLOOKUP(D568,BaseType!A:A,1,FALSE())),D568&lt;&gt;"Struct"),"N","Y")</f>
        <v>Y</v>
      </c>
      <c r="G568" s="157" t="s">
        <v>4179</v>
      </c>
    </row>
    <row r="569" spans="1:7" ht="15" customHeight="1" x14ac:dyDescent="0.2">
      <c r="A569" s="157"/>
      <c r="B569" s="235"/>
      <c r="C569" s="156" t="s">
        <v>4202</v>
      </c>
      <c r="D569" s="157" t="s">
        <v>193</v>
      </c>
      <c r="E569" s="157">
        <v>1</v>
      </c>
      <c r="F569" s="235" t="str">
        <f>IF(AND(ISNA(VLOOKUP(D569,A:A,1,FALSE())),ISNA(VLOOKUP(D569,BaseType!A:A,1,FALSE())),D569&lt;&gt;"Struct"),"N","Y")</f>
        <v>Y</v>
      </c>
      <c r="G569" s="157" t="s">
        <v>4179</v>
      </c>
    </row>
    <row r="570" spans="1:7" ht="15" customHeight="1" x14ac:dyDescent="0.2">
      <c r="A570" s="157"/>
      <c r="B570" s="235"/>
      <c r="C570" s="156" t="s">
        <v>4203</v>
      </c>
      <c r="D570" s="157" t="s">
        <v>193</v>
      </c>
      <c r="E570" s="157">
        <v>1</v>
      </c>
      <c r="F570" s="235" t="str">
        <f>IF(AND(ISNA(VLOOKUP(D570,A:A,1,FALSE())),ISNA(VLOOKUP(D570,BaseType!A:A,1,FALSE())),D570&lt;&gt;"Struct"),"N","Y")</f>
        <v>Y</v>
      </c>
      <c r="G570" s="157" t="s">
        <v>4179</v>
      </c>
    </row>
    <row r="571" spans="1:7" ht="15" customHeight="1" x14ac:dyDescent="0.2">
      <c r="A571" s="157"/>
      <c r="B571" s="235"/>
      <c r="C571" s="156" t="s">
        <v>4204</v>
      </c>
      <c r="D571" s="157" t="s">
        <v>193</v>
      </c>
      <c r="E571" s="157">
        <v>1</v>
      </c>
      <c r="F571" s="235" t="str">
        <f>IF(AND(ISNA(VLOOKUP(D571,A:A,1,FALSE())),ISNA(VLOOKUP(D571,BaseType!A:A,1,FALSE())),D571&lt;&gt;"Struct"),"N","Y")</f>
        <v>Y</v>
      </c>
      <c r="G571" s="157" t="s">
        <v>4179</v>
      </c>
    </row>
    <row r="572" spans="1:7" ht="15" customHeight="1" x14ac:dyDescent="0.2">
      <c r="A572" s="157"/>
      <c r="B572" s="235"/>
      <c r="C572" s="156" t="s">
        <v>4205</v>
      </c>
      <c r="D572" s="157" t="s">
        <v>193</v>
      </c>
      <c r="E572" s="157">
        <v>1</v>
      </c>
      <c r="F572" s="235" t="str">
        <f>IF(AND(ISNA(VLOOKUP(D572,A:A,1,FALSE())),ISNA(VLOOKUP(D572,BaseType!A:A,1,FALSE())),D572&lt;&gt;"Struct"),"N","Y")</f>
        <v>Y</v>
      </c>
      <c r="G572" s="157" t="s">
        <v>4182</v>
      </c>
    </row>
    <row r="573" spans="1:7" ht="15" customHeight="1" x14ac:dyDescent="0.2">
      <c r="A573" s="157"/>
      <c r="B573" s="235"/>
      <c r="C573" s="156" t="s">
        <v>4206</v>
      </c>
      <c r="D573" s="157" t="s">
        <v>193</v>
      </c>
      <c r="E573" s="157">
        <v>1</v>
      </c>
      <c r="F573" s="235" t="str">
        <f>IF(AND(ISNA(VLOOKUP(D573,A:A,1,FALSE())),ISNA(VLOOKUP(D573,BaseType!A:A,1,FALSE())),D573&lt;&gt;"Struct"),"N","Y")</f>
        <v>Y</v>
      </c>
      <c r="G573" s="157" t="s">
        <v>4182</v>
      </c>
    </row>
    <row r="574" spans="1:7" ht="15" customHeight="1" x14ac:dyDescent="0.2">
      <c r="A574" s="157"/>
      <c r="B574" s="235"/>
      <c r="C574" s="156" t="s">
        <v>4207</v>
      </c>
      <c r="D574" s="157" t="s">
        <v>193</v>
      </c>
      <c r="E574" s="157">
        <v>1</v>
      </c>
      <c r="F574" s="235" t="str">
        <f>IF(AND(ISNA(VLOOKUP(D574,A:A,1,FALSE())),ISNA(VLOOKUP(D574,BaseType!A:A,1,FALSE())),D574&lt;&gt;"Struct"),"N","Y")</f>
        <v>Y</v>
      </c>
      <c r="G574" s="157" t="s">
        <v>4182</v>
      </c>
    </row>
    <row r="575" spans="1:7" ht="15" customHeight="1" x14ac:dyDescent="0.2">
      <c r="A575" s="157"/>
      <c r="B575" s="235"/>
      <c r="C575" s="156" t="s">
        <v>4208</v>
      </c>
      <c r="D575" s="157" t="s">
        <v>193</v>
      </c>
      <c r="E575" s="157">
        <v>1</v>
      </c>
      <c r="F575" s="235" t="str">
        <f>IF(AND(ISNA(VLOOKUP(D575,A:A,1,FALSE())),ISNA(VLOOKUP(D575,BaseType!A:A,1,FALSE())),D575&lt;&gt;"Struct"),"N","Y")</f>
        <v>Y</v>
      </c>
      <c r="G575" s="157" t="s">
        <v>4182</v>
      </c>
    </row>
    <row r="576" spans="1:7" ht="15" customHeight="1" x14ac:dyDescent="0.2">
      <c r="A576" s="80" t="s">
        <v>3269</v>
      </c>
      <c r="B576" s="235" t="str">
        <f>IF(ISBLANK(A576),"",IF(AND(ISNA(VLOOKUP(A576,Interface_E01!E:E,1,FALSE())),ISNA(VLOOKUP(A576,D:D,1,FALSE()))),"N","Y"))</f>
        <v>Y</v>
      </c>
      <c r="C576" s="273"/>
      <c r="D576" s="156" t="s">
        <v>484</v>
      </c>
      <c r="E576" s="157"/>
      <c r="F576" s="235" t="str">
        <f>IF(AND(ISNA(VLOOKUP(D576,A:A,1,FALSE())),ISNA(VLOOKUP(D576,BaseType!A:A,1,FALSE())),D576&lt;&gt;"Struct"),"N","Y")</f>
        <v>Y</v>
      </c>
      <c r="G576" t="s">
        <v>3270</v>
      </c>
    </row>
    <row r="577" spans="1:7" ht="15" customHeight="1" x14ac:dyDescent="0.2">
      <c r="A577" s="157"/>
      <c r="B577" s="235"/>
      <c r="C577" s="259" t="s">
        <v>4209</v>
      </c>
      <c r="D577" s="257" t="s">
        <v>193</v>
      </c>
      <c r="E577" s="157">
        <v>1</v>
      </c>
      <c r="F577" s="235" t="str">
        <f>IF(AND(ISNA(VLOOKUP(D577,A:A,1,FALSE())),ISNA(VLOOKUP(D577,BaseType!A:A,1,FALSE())),D577&lt;&gt;"Struct"),"N","Y")</f>
        <v>Y</v>
      </c>
      <c r="G577" s="258" t="s">
        <v>4210</v>
      </c>
    </row>
    <row r="578" spans="1:7" ht="15" customHeight="1" x14ac:dyDescent="0.2">
      <c r="A578" s="157"/>
      <c r="B578" s="235"/>
      <c r="C578" s="259" t="s">
        <v>4211</v>
      </c>
      <c r="D578" s="257" t="s">
        <v>193</v>
      </c>
      <c r="E578" s="157">
        <v>1</v>
      </c>
      <c r="F578" s="235" t="str">
        <f>IF(AND(ISNA(VLOOKUP(D578,A:A,1,FALSE())),ISNA(VLOOKUP(D578,BaseType!A:A,1,FALSE())),D578&lt;&gt;"Struct"),"N","Y")</f>
        <v>Y</v>
      </c>
      <c r="G578" s="258" t="s">
        <v>4212</v>
      </c>
    </row>
    <row r="579" spans="1:7" ht="15" customHeight="1" x14ac:dyDescent="0.2">
      <c r="A579" s="157"/>
      <c r="B579" s="235"/>
      <c r="C579" s="259" t="s">
        <v>4213</v>
      </c>
      <c r="D579" s="257" t="s">
        <v>1314</v>
      </c>
      <c r="E579" s="157">
        <v>12</v>
      </c>
      <c r="F579" s="235" t="str">
        <f>IF(AND(ISNA(VLOOKUP(D579,A:A,1,FALSE())),ISNA(VLOOKUP(D579,BaseType!A:A,1,FALSE())),D579&lt;&gt;"Struct"),"N","Y")</f>
        <v>Y</v>
      </c>
      <c r="G579" s="258" t="s">
        <v>4214</v>
      </c>
    </row>
    <row r="580" spans="1:7" ht="15" customHeight="1" x14ac:dyDescent="0.2">
      <c r="A580" s="48" t="s">
        <v>3266</v>
      </c>
      <c r="B580" s="235" t="str">
        <f>IF(ISBLANK(A580),"",IF(AND(ISNA(VLOOKUP(A580,Interface_E01!E:E,1,FALSE())),ISNA(VLOOKUP(A580,D:D,1,FALSE()))),"N","Y"))</f>
        <v>Y</v>
      </c>
      <c r="C580" s="273"/>
      <c r="D580" s="156" t="s">
        <v>484</v>
      </c>
      <c r="E580" s="157"/>
      <c r="F580" s="235" t="str">
        <f>IF(AND(ISNA(VLOOKUP(D580,A:A,1,FALSE())),ISNA(VLOOKUP(D580,BaseType!A:A,1,FALSE())),D580&lt;&gt;"Struct"),"N","Y")</f>
        <v>Y</v>
      </c>
      <c r="G580" s="157"/>
    </row>
    <row r="581" spans="1:7" ht="15" customHeight="1" x14ac:dyDescent="0.2">
      <c r="A581" s="157"/>
      <c r="B581" s="235"/>
      <c r="C581" s="259" t="s">
        <v>4215</v>
      </c>
      <c r="D581" s="286" t="s">
        <v>193</v>
      </c>
      <c r="E581" s="240">
        <v>128</v>
      </c>
      <c r="F581" s="235" t="str">
        <f>IF(AND(ISNA(VLOOKUP(D581,A:A,1,FALSE())),ISNA(VLOOKUP(D581,BaseType!A:A,1,FALSE())),D581&lt;&gt;"Struct"),"N","Y")</f>
        <v>Y</v>
      </c>
      <c r="G581" s="257" t="s">
        <v>4216</v>
      </c>
    </row>
    <row r="582" spans="1:7" ht="15" customHeight="1" x14ac:dyDescent="0.2">
      <c r="A582" s="194" t="s">
        <v>3251</v>
      </c>
      <c r="B582" s="248" t="str">
        <f>IF(ISBLANK(A582),"",IF(AND(ISNA(VLOOKUP(A582,Interface_E01!E:E,1,FALSE())),ISNA(VLOOKUP(A582,D:D,1,FALSE()))),"N","Y"))</f>
        <v>Y</v>
      </c>
      <c r="C582" s="284"/>
      <c r="D582" s="272" t="s">
        <v>484</v>
      </c>
      <c r="E582" s="240"/>
      <c r="F582" s="235" t="str">
        <f>IF(AND(ISNA(VLOOKUP(D582,A:A,1,FALSE())),ISNA(VLOOKUP(D582,BaseType!A:A,1,FALSE())),D582&lt;&gt;"Struct"),"N","Y")</f>
        <v>Y</v>
      </c>
      <c r="G582" s="157"/>
    </row>
    <row r="583" spans="1:7" ht="15" customHeight="1" x14ac:dyDescent="0.2">
      <c r="A583" s="240"/>
      <c r="B583" s="248"/>
      <c r="C583" s="275" t="s">
        <v>4217</v>
      </c>
      <c r="D583" s="240" t="s">
        <v>4218</v>
      </c>
      <c r="E583" s="240">
        <v>1</v>
      </c>
      <c r="F583" s="235" t="str">
        <f>IF(AND(ISNA(VLOOKUP(D583,A:A,1,FALSE())),ISNA(VLOOKUP(D583,BaseType!A:A,1,FALSE())),D583&lt;&gt;"Struct"),"N","Y")</f>
        <v>Y</v>
      </c>
      <c r="G583" s="157"/>
    </row>
    <row r="584" spans="1:7" ht="15" customHeight="1" x14ac:dyDescent="0.2">
      <c r="A584" s="240"/>
      <c r="B584" s="248"/>
      <c r="C584" s="275" t="s">
        <v>4219</v>
      </c>
      <c r="D584" s="240" t="s">
        <v>4220</v>
      </c>
      <c r="E584" s="240">
        <v>1</v>
      </c>
      <c r="F584" s="235" t="str">
        <f>IF(AND(ISNA(VLOOKUP(D584,A:A,1,FALSE())),ISNA(VLOOKUP(D584,BaseType!A:A,1,FALSE())),D584&lt;&gt;"Struct"),"N","Y")</f>
        <v>Y</v>
      </c>
      <c r="G584" s="157"/>
    </row>
    <row r="585" spans="1:7" ht="15" customHeight="1" x14ac:dyDescent="0.2">
      <c r="A585" s="240" t="s">
        <v>4218</v>
      </c>
      <c r="B585" s="248" t="str">
        <f>IF(ISBLANK(A585),"",IF(AND(ISNA(VLOOKUP(A585,Interface_E01!E:E,1,FALSE())),ISNA(VLOOKUP(A585,D:D,1,FALSE()))),"N","Y"))</f>
        <v>Y</v>
      </c>
      <c r="C585" s="272"/>
      <c r="D585" s="272" t="s">
        <v>484</v>
      </c>
      <c r="E585" s="240"/>
      <c r="F585" s="235" t="str">
        <f>IF(AND(ISNA(VLOOKUP(D585,A:A,1,FALSE())),ISNA(VLOOKUP(D585,BaseType!A:A,1,FALSE())),D585&lt;&gt;"Struct"),"N","Y")</f>
        <v>Y</v>
      </c>
      <c r="G585" s="157"/>
    </row>
    <row r="586" spans="1:7" ht="15" customHeight="1" x14ac:dyDescent="0.2">
      <c r="A586" s="267"/>
      <c r="B586" s="248" t="str">
        <f>IF(ISBLANK(A586),"",IF(AND(ISNA(VLOOKUP(A586,Interface_E01!E:E,1,FALSE())),ISNA(VLOOKUP(A586,D:D,1,FALSE()))),"N","Y"))</f>
        <v/>
      </c>
      <c r="C586" s="268" t="s">
        <v>4221</v>
      </c>
      <c r="D586" s="265" t="s">
        <v>1249</v>
      </c>
      <c r="E586" s="240">
        <v>1</v>
      </c>
      <c r="F586" s="235" t="str">
        <f>IF(AND(ISNA(VLOOKUP(D586,A:A,1,FALSE())),ISNA(VLOOKUP(D586,BaseType!A:A,1,FALSE())),D586&lt;&gt;"Struct"),"N","Y")</f>
        <v>Y</v>
      </c>
      <c r="G586" s="266" t="s">
        <v>4222</v>
      </c>
    </row>
    <row r="587" spans="1:7" ht="15" customHeight="1" x14ac:dyDescent="0.2">
      <c r="A587" s="267"/>
      <c r="B587" s="248" t="str">
        <f>IF(ISBLANK(A587),"",IF(AND(ISNA(VLOOKUP(A587,Interface_E01!E:E,1,FALSE())),ISNA(VLOOKUP(A587,D:D,1,FALSE()))),"N","Y"))</f>
        <v/>
      </c>
      <c r="C587" s="268" t="s">
        <v>4223</v>
      </c>
      <c r="D587" s="265" t="s">
        <v>1249</v>
      </c>
      <c r="E587" s="240">
        <v>1</v>
      </c>
      <c r="F587" s="235" t="str">
        <f>IF(AND(ISNA(VLOOKUP(D587,A:A,1,FALSE())),ISNA(VLOOKUP(D587,BaseType!A:A,1,FALSE())),D587&lt;&gt;"Struct"),"N","Y")</f>
        <v>Y</v>
      </c>
      <c r="G587" s="266" t="s">
        <v>4224</v>
      </c>
    </row>
    <row r="588" spans="1:7" ht="15" customHeight="1" x14ac:dyDescent="0.2">
      <c r="A588" s="267" t="s">
        <v>4220</v>
      </c>
      <c r="B588" s="248" t="str">
        <f>IF(ISBLANK(A588),"",IF(AND(ISNA(VLOOKUP(A588,Interface_E01!E:E,1,FALSE())),ISNA(VLOOKUP(A588,D:D,1,FALSE()))),"N","Y"))</f>
        <v>Y</v>
      </c>
      <c r="C588" s="268"/>
      <c r="D588" s="272" t="s">
        <v>484</v>
      </c>
      <c r="E588" s="240"/>
      <c r="F588" s="235" t="str">
        <f>IF(AND(ISNA(VLOOKUP(D588,A:A,1,FALSE())),ISNA(VLOOKUP(D588,BaseType!A:A,1,FALSE())),D588&lt;&gt;"Struct"),"N","Y")</f>
        <v>Y</v>
      </c>
      <c r="G588" s="266"/>
    </row>
    <row r="589" spans="1:7" ht="15" customHeight="1" x14ac:dyDescent="0.2">
      <c r="A589" s="267"/>
      <c r="B589" s="248" t="str">
        <f>IF(ISBLANK(A589),"",IF(AND(ISNA(VLOOKUP(A589,Interface_E01!E:E,1,FALSE())),ISNA(VLOOKUP(A589,D:D,1,FALSE()))),"N","Y"))</f>
        <v/>
      </c>
      <c r="C589" s="268" t="s">
        <v>4225</v>
      </c>
      <c r="D589" s="265" t="s">
        <v>1249</v>
      </c>
      <c r="E589" s="240">
        <v>1</v>
      </c>
      <c r="F589" s="235" t="str">
        <f>IF(AND(ISNA(VLOOKUP(D589,A:A,1,FALSE())),ISNA(VLOOKUP(D589,BaseType!A:A,1,FALSE())),D589&lt;&gt;"Struct"),"N","Y")</f>
        <v>Y</v>
      </c>
      <c r="G589" s="266" t="s">
        <v>4226</v>
      </c>
    </row>
    <row r="590" spans="1:7" ht="15" customHeight="1" x14ac:dyDescent="0.2">
      <c r="A590" s="267"/>
      <c r="B590" s="248" t="str">
        <f>IF(ISBLANK(A590),"",IF(AND(ISNA(VLOOKUP(A590,Interface_E01!E:E,1,FALSE())),ISNA(VLOOKUP(A590,D:D,1,FALSE()))),"N","Y"))</f>
        <v/>
      </c>
      <c r="C590" s="268" t="s">
        <v>4227</v>
      </c>
      <c r="D590" s="265" t="s">
        <v>1249</v>
      </c>
      <c r="E590" s="240">
        <v>1</v>
      </c>
      <c r="F590" s="235" t="str">
        <f>IF(AND(ISNA(VLOOKUP(D590,A:A,1,FALSE())),ISNA(VLOOKUP(D590,BaseType!A:A,1,FALSE())),D590&lt;&gt;"Struct"),"N","Y")</f>
        <v>Y</v>
      </c>
      <c r="G590" s="266" t="s">
        <v>4228</v>
      </c>
    </row>
    <row r="591" spans="1:7" ht="15" customHeight="1" x14ac:dyDescent="0.2">
      <c r="A591" s="267"/>
      <c r="B591" s="248" t="str">
        <f>IF(ISBLANK(A591),"",IF(AND(ISNA(VLOOKUP(A591,Interface_E01!E:E,1,FALSE())),ISNA(VLOOKUP(A591,D:D,1,FALSE()))),"N","Y"))</f>
        <v/>
      </c>
      <c r="C591" s="268" t="s">
        <v>4229</v>
      </c>
      <c r="D591" s="265" t="s">
        <v>1249</v>
      </c>
      <c r="E591" s="240">
        <v>1</v>
      </c>
      <c r="F591" s="235" t="str">
        <f>IF(AND(ISNA(VLOOKUP(D591,A:A,1,FALSE())),ISNA(VLOOKUP(D591,BaseType!A:A,1,FALSE())),D591&lt;&gt;"Struct"),"N","Y")</f>
        <v>Y</v>
      </c>
      <c r="G591" s="266" t="s">
        <v>4230</v>
      </c>
    </row>
    <row r="592" spans="1:7" ht="15" customHeight="1" x14ac:dyDescent="0.2">
      <c r="A592" s="260" t="s">
        <v>4231</v>
      </c>
      <c r="B592" s="235" t="str">
        <f>IF(ISBLANK(A592),"",IF(AND(ISNA(VLOOKUP(A592,Interface_E01!E:E,1,FALSE())),ISNA(VLOOKUP(A592,D:D,1,FALSE()))),"N","Y"))</f>
        <v>Y</v>
      </c>
      <c r="C592" s="227"/>
      <c r="D592" s="271" t="s">
        <v>484</v>
      </c>
      <c r="E592" s="196"/>
      <c r="F592" s="263" t="str">
        <f>IF(AND(ISNA(VLOOKUP(D592,A:A,1,FALSE())),ISNA(VLOOKUP(D592,BaseType!A:A,1,FALSE())),D592&lt;&gt;"Struct"),"N","Y")</f>
        <v>Y</v>
      </c>
      <c r="G592" s="285"/>
    </row>
    <row r="593" spans="1:7" ht="15" customHeight="1" x14ac:dyDescent="0.2">
      <c r="A593" s="260"/>
      <c r="B593" s="261" t="str">
        <f>IF(ISBLANK(A593),"",IF(AND(ISNA(VLOOKUP(A593,Interface_Platform!D:D,1,FALSE())),ISNA(VLOOKUP(A593,D:D,1,FALSE()))),"N","Y"))</f>
        <v/>
      </c>
      <c r="C593" s="119" t="s">
        <v>4232</v>
      </c>
      <c r="D593" s="261" t="s">
        <v>225</v>
      </c>
      <c r="E593" s="262">
        <v>1</v>
      </c>
      <c r="F593" s="263" t="str">
        <f>IF(AND(ISNA(VLOOKUP(D593,A:A,1,FALSE())),ISNA(VLOOKUP(D593,BaseType!A:A,1,FALSE())),D593&lt;&gt;"Struct"),"N","Y")</f>
        <v>Y</v>
      </c>
      <c r="G593" s="227"/>
    </row>
    <row r="594" spans="1:7" ht="15" customHeight="1" x14ac:dyDescent="0.2">
      <c r="A594" s="260"/>
      <c r="B594" s="261" t="str">
        <f>IF(ISBLANK(A594),"",IF(AND(ISNA(VLOOKUP(A594,Interface_Platform!D:D,1,FALSE())),ISNA(VLOOKUP(A594,D:D,1,FALSE()))),"N","Y"))</f>
        <v/>
      </c>
      <c r="C594" s="119" t="s">
        <v>4233</v>
      </c>
      <c r="D594" s="261" t="s">
        <v>225</v>
      </c>
      <c r="E594" s="262">
        <v>1</v>
      </c>
      <c r="F594" s="263" t="str">
        <f>IF(AND(ISNA(VLOOKUP(D594,A:A,1,FALSE())),ISNA(VLOOKUP(D594,BaseType!A:A,1,FALSE())),D594&lt;&gt;"Struct"),"N","Y")</f>
        <v>Y</v>
      </c>
      <c r="G594" s="227"/>
    </row>
    <row r="595" spans="1:7" ht="15" customHeight="1" x14ac:dyDescent="0.2">
      <c r="A595" s="260"/>
      <c r="B595" s="261" t="str">
        <f>IF(ISBLANK(A595),"",IF(AND(ISNA(VLOOKUP(A595,Interface_Platform!D:D,1,FALSE())),ISNA(VLOOKUP(A595,D:D,1,FALSE()))),"N","Y"))</f>
        <v/>
      </c>
      <c r="C595" s="119" t="s">
        <v>4234</v>
      </c>
      <c r="D595" s="261" t="s">
        <v>225</v>
      </c>
      <c r="E595" s="262">
        <v>1</v>
      </c>
      <c r="F595" s="263" t="str">
        <f>IF(AND(ISNA(VLOOKUP(D595,A:A,1,FALSE())),ISNA(VLOOKUP(D595,BaseType!A:A,1,FALSE())),D595&lt;&gt;"Struct"),"N","Y")</f>
        <v>Y</v>
      </c>
      <c r="G595" s="227"/>
    </row>
    <row r="596" spans="1:7" ht="15" customHeight="1" x14ac:dyDescent="0.2">
      <c r="A596" s="260"/>
      <c r="B596" s="261" t="str">
        <f>IF(ISBLANK(A596),"",IF(AND(ISNA(VLOOKUP(A596,Interface_Platform!D:D,1,FALSE())),ISNA(VLOOKUP(A596,D:D,1,FALSE()))),"N","Y"))</f>
        <v/>
      </c>
      <c r="C596" s="119" t="s">
        <v>4235</v>
      </c>
      <c r="D596" s="261" t="s">
        <v>193</v>
      </c>
      <c r="E596" s="262">
        <v>1</v>
      </c>
      <c r="F596" s="263" t="str">
        <f>IF(AND(ISNA(VLOOKUP(D596,A:A,1,FALSE())),ISNA(VLOOKUP(D596,BaseType!A:A,1,FALSE())),D596&lt;&gt;"Struct"),"N","Y")</f>
        <v>Y</v>
      </c>
      <c r="G596" s="227"/>
    </row>
    <row r="597" spans="1:7" ht="15" customHeight="1" x14ac:dyDescent="0.2">
      <c r="A597" s="260"/>
      <c r="B597" s="261" t="str">
        <f>IF(ISBLANK(A597),"",IF(AND(ISNA(VLOOKUP(A597,Interface_Platform!D:D,1,FALSE())),ISNA(VLOOKUP(A597,D:D,1,FALSE()))),"N","Y"))</f>
        <v/>
      </c>
      <c r="C597" s="119" t="s">
        <v>4236</v>
      </c>
      <c r="D597" s="261" t="s">
        <v>225</v>
      </c>
      <c r="E597" s="262">
        <v>1</v>
      </c>
      <c r="F597" s="263" t="str">
        <f>IF(AND(ISNA(VLOOKUP(D597,A:A,1,FALSE())),ISNA(VLOOKUP(D597,BaseType!A:A,1,FALSE())),D597&lt;&gt;"Struct"),"N","Y")</f>
        <v>Y</v>
      </c>
      <c r="G597" s="227"/>
    </row>
    <row r="598" spans="1:7" ht="15" customHeight="1" x14ac:dyDescent="0.2">
      <c r="A598" s="260"/>
      <c r="B598" s="261" t="str">
        <f>IF(ISBLANK(A598),"",IF(AND(ISNA(VLOOKUP(A598,Interface_Platform!D:D,1,FALSE())),ISNA(VLOOKUP(A598,D:D,1,FALSE()))),"N","Y"))</f>
        <v/>
      </c>
      <c r="C598" s="119" t="s">
        <v>4237</v>
      </c>
      <c r="D598" s="261" t="s">
        <v>225</v>
      </c>
      <c r="E598" s="262">
        <v>1</v>
      </c>
      <c r="F598" s="263" t="str">
        <f>IF(AND(ISNA(VLOOKUP(D598,A:A,1,FALSE())),ISNA(VLOOKUP(D598,BaseType!A:A,1,FALSE())),D598&lt;&gt;"Struct"),"N","Y")</f>
        <v>Y</v>
      </c>
      <c r="G598" s="227"/>
    </row>
    <row r="599" spans="1:7" ht="15" customHeight="1" x14ac:dyDescent="0.2">
      <c r="A599" s="260"/>
      <c r="B599" s="261" t="str">
        <f>IF(ISBLANK(A599),"",IF(AND(ISNA(VLOOKUP(A599,Interface_Platform!D:D,1,FALSE())),ISNA(VLOOKUP(A599,D:D,1,FALSE()))),"N","Y"))</f>
        <v/>
      </c>
      <c r="C599" s="119" t="s">
        <v>4238</v>
      </c>
      <c r="D599" s="261" t="s">
        <v>225</v>
      </c>
      <c r="E599" s="262">
        <v>1</v>
      </c>
      <c r="F599" s="263" t="str">
        <f>IF(AND(ISNA(VLOOKUP(D599,A:A,1,FALSE())),ISNA(VLOOKUP(D599,BaseType!A:A,1,FALSE())),D599&lt;&gt;"Struct"),"N","Y")</f>
        <v>Y</v>
      </c>
      <c r="G599" s="227"/>
    </row>
    <row r="600" spans="1:7" ht="15" customHeight="1" x14ac:dyDescent="0.2">
      <c r="A600" s="260"/>
      <c r="B600" s="261" t="str">
        <f>IF(ISBLANK(A600),"",IF(AND(ISNA(VLOOKUP(A600,Interface_Platform!D:D,1,FALSE())),ISNA(VLOOKUP(A600,D:D,1,FALSE()))),"N","Y"))</f>
        <v/>
      </c>
      <c r="C600" s="119" t="s">
        <v>4239</v>
      </c>
      <c r="D600" s="261" t="s">
        <v>225</v>
      </c>
      <c r="E600" s="262">
        <v>1</v>
      </c>
      <c r="F600" s="263" t="str">
        <f>IF(AND(ISNA(VLOOKUP(D600,A:A,1,FALSE())),ISNA(VLOOKUP(D600,BaseType!A:A,1,FALSE())),D600&lt;&gt;"Struct"),"N","Y")</f>
        <v>Y</v>
      </c>
      <c r="G600" s="227"/>
    </row>
    <row r="601" spans="1:7" ht="15" customHeight="1" x14ac:dyDescent="0.2">
      <c r="A601" s="260"/>
      <c r="B601" s="261" t="str">
        <f>IF(ISBLANK(A601),"",IF(AND(ISNA(VLOOKUP(A601,Interface_Platform!D:D,1,FALSE())),ISNA(VLOOKUP(A601,D:D,1,FALSE()))),"N","Y"))</f>
        <v/>
      </c>
      <c r="C601" s="119" t="s">
        <v>4240</v>
      </c>
      <c r="D601" s="261" t="s">
        <v>225</v>
      </c>
      <c r="E601" s="262">
        <v>1</v>
      </c>
      <c r="F601" s="263" t="str">
        <f>IF(AND(ISNA(VLOOKUP(D601,A:A,1,FALSE())),ISNA(VLOOKUP(D601,BaseType!A:A,1,FALSE())),D601&lt;&gt;"Struct"),"N","Y")</f>
        <v>Y</v>
      </c>
      <c r="G601" s="227"/>
    </row>
    <row r="602" spans="1:7" ht="15" customHeight="1" x14ac:dyDescent="0.2">
      <c r="A602" s="260"/>
      <c r="B602" s="261" t="str">
        <f>IF(ISBLANK(A602),"",IF(AND(ISNA(VLOOKUP(A602,Interface_Platform!D:D,1,FALSE())),ISNA(VLOOKUP(A602,D:D,1,FALSE()))),"N","Y"))</f>
        <v/>
      </c>
      <c r="C602" s="119" t="s">
        <v>4241</v>
      </c>
      <c r="D602" s="261" t="s">
        <v>193</v>
      </c>
      <c r="E602" s="262">
        <v>1</v>
      </c>
      <c r="F602" s="263" t="str">
        <f>IF(AND(ISNA(VLOOKUP(D602,A:A,1,FALSE())),ISNA(VLOOKUP(D602,BaseType!A:A,1,FALSE())),D602&lt;&gt;"Struct"),"N","Y")</f>
        <v>Y</v>
      </c>
      <c r="G602" s="227"/>
    </row>
    <row r="603" spans="1:7" ht="15" customHeight="1" x14ac:dyDescent="0.2">
      <c r="A603" s="260"/>
      <c r="B603" s="261" t="str">
        <f>IF(ISBLANK(A603),"",IF(AND(ISNA(VLOOKUP(A603,Interface_Platform!D:D,1,FALSE())),ISNA(VLOOKUP(A603,D:D,1,FALSE()))),"N","Y"))</f>
        <v/>
      </c>
      <c r="C603" s="119" t="s">
        <v>4242</v>
      </c>
      <c r="D603" s="261" t="s">
        <v>193</v>
      </c>
      <c r="E603" s="262">
        <v>1</v>
      </c>
      <c r="F603" s="263" t="str">
        <f>IF(AND(ISNA(VLOOKUP(D603,A:A,1,FALSE())),ISNA(VLOOKUP(D603,BaseType!A:A,1,FALSE())),D603&lt;&gt;"Struct"),"N","Y")</f>
        <v>Y</v>
      </c>
      <c r="G603" s="227"/>
    </row>
    <row r="604" spans="1:7" ht="15" customHeight="1" x14ac:dyDescent="0.2">
      <c r="A604" s="260"/>
      <c r="B604" s="261" t="str">
        <f>IF(ISBLANK(A604),"",IF(AND(ISNA(VLOOKUP(A604,Interface_Platform!D:D,1,FALSE())),ISNA(VLOOKUP(A604,D:D,1,FALSE()))),"N","Y"))</f>
        <v/>
      </c>
      <c r="C604" s="119" t="s">
        <v>4243</v>
      </c>
      <c r="D604" s="261" t="s">
        <v>193</v>
      </c>
      <c r="E604" s="262">
        <v>1</v>
      </c>
      <c r="F604" s="263" t="str">
        <f>IF(AND(ISNA(VLOOKUP(D604,A:A,1,FALSE())),ISNA(VLOOKUP(D604,BaseType!A:A,1,FALSE())),D604&lt;&gt;"Struct"),"N","Y")</f>
        <v>Y</v>
      </c>
      <c r="G604" s="227"/>
    </row>
    <row r="605" spans="1:7" ht="15" customHeight="1" x14ac:dyDescent="0.2">
      <c r="A605" s="260"/>
      <c r="B605" s="261" t="str">
        <f>IF(ISBLANK(A605),"",IF(AND(ISNA(VLOOKUP(A605,Interface_Platform!D:D,1,FALSE())),ISNA(VLOOKUP(A605,D:D,1,FALSE()))),"N","Y"))</f>
        <v/>
      </c>
      <c r="C605" s="119" t="s">
        <v>4244</v>
      </c>
      <c r="D605" s="261" t="s">
        <v>193</v>
      </c>
      <c r="E605" s="262">
        <v>1</v>
      </c>
      <c r="F605" s="263" t="str">
        <f>IF(AND(ISNA(VLOOKUP(D605,A:A,1,FALSE())),ISNA(VLOOKUP(D605,BaseType!A:A,1,FALSE())),D605&lt;&gt;"Struct"),"N","Y")</f>
        <v>Y</v>
      </c>
      <c r="G605" s="227"/>
    </row>
    <row r="606" spans="1:7" ht="15" customHeight="1" x14ac:dyDescent="0.2">
      <c r="A606" s="260"/>
      <c r="B606" s="261" t="str">
        <f>IF(ISBLANK(A606),"",IF(AND(ISNA(VLOOKUP(A606,Interface_Platform!D:D,1,FALSE())),ISNA(VLOOKUP(A606,D:D,1,FALSE()))),"N","Y"))</f>
        <v/>
      </c>
      <c r="C606" s="119" t="s">
        <v>4245</v>
      </c>
      <c r="D606" s="261" t="s">
        <v>193</v>
      </c>
      <c r="E606" s="262">
        <v>1</v>
      </c>
      <c r="F606" s="263" t="str">
        <f>IF(AND(ISNA(VLOOKUP(D606,A:A,1,FALSE())),ISNA(VLOOKUP(D606,BaseType!A:A,1,FALSE())),D606&lt;&gt;"Struct"),"N","Y")</f>
        <v>Y</v>
      </c>
      <c r="G606" s="227"/>
    </row>
    <row r="607" spans="1:7" ht="15" customHeight="1" x14ac:dyDescent="0.2">
      <c r="A607" s="260"/>
      <c r="B607" s="261" t="str">
        <f>IF(ISBLANK(A607),"",IF(AND(ISNA(VLOOKUP(A607,Interface_Platform!D:D,1,FALSE())),ISNA(VLOOKUP(A607,D:D,1,FALSE()))),"N","Y"))</f>
        <v/>
      </c>
      <c r="C607" s="119" t="s">
        <v>4246</v>
      </c>
      <c r="D607" s="261" t="s">
        <v>225</v>
      </c>
      <c r="E607" s="262">
        <v>1</v>
      </c>
      <c r="F607" s="263" t="str">
        <f>IF(AND(ISNA(VLOOKUP(D607,A:A,1,FALSE())),ISNA(VLOOKUP(D607,BaseType!A:A,1,FALSE())),D607&lt;&gt;"Struct"),"N","Y")</f>
        <v>Y</v>
      </c>
      <c r="G607" s="227"/>
    </row>
    <row r="608" spans="1:7" ht="15" customHeight="1" x14ac:dyDescent="0.2">
      <c r="A608" s="260"/>
      <c r="B608" s="261" t="str">
        <f>IF(ISBLANK(A608),"",IF(AND(ISNA(VLOOKUP(A608,Interface_Platform!D:D,1,FALSE())),ISNA(VLOOKUP(A608,D:D,1,FALSE()))),"N","Y"))</f>
        <v/>
      </c>
      <c r="C608" s="119" t="s">
        <v>4247</v>
      </c>
      <c r="D608" s="261" t="s">
        <v>225</v>
      </c>
      <c r="E608" s="262">
        <v>1</v>
      </c>
      <c r="F608" s="263" t="str">
        <f>IF(AND(ISNA(VLOOKUP(D608,A:A,1,FALSE())),ISNA(VLOOKUP(D608,BaseType!A:A,1,FALSE())),D608&lt;&gt;"Struct"),"N","Y")</f>
        <v>Y</v>
      </c>
      <c r="G608" s="227"/>
    </row>
    <row r="609" spans="1:20" ht="15" customHeight="1" x14ac:dyDescent="0.2">
      <c r="A609" s="260"/>
      <c r="B609" s="261" t="str">
        <f>IF(ISBLANK(A609),"",IF(AND(ISNA(VLOOKUP(A609,Interface_Platform!D:D,1,FALSE())),ISNA(VLOOKUP(A609,D:D,1,FALSE()))),"N","Y"))</f>
        <v/>
      </c>
      <c r="C609" s="119" t="s">
        <v>4248</v>
      </c>
      <c r="D609" s="261" t="s">
        <v>225</v>
      </c>
      <c r="E609" s="262">
        <v>1</v>
      </c>
      <c r="F609" s="263" t="str">
        <f>IF(AND(ISNA(VLOOKUP(D609,A:A,1,FALSE())),ISNA(VLOOKUP(D609,BaseType!A:A,1,FALSE())),D609&lt;&gt;"Struct"),"N","Y")</f>
        <v>Y</v>
      </c>
      <c r="G609" s="280"/>
    </row>
    <row r="610" spans="1:20" ht="15" customHeight="1" x14ac:dyDescent="0.2">
      <c r="A610" s="260"/>
      <c r="B610" s="261" t="str">
        <f>IF(ISBLANK(A610),"",IF(AND(ISNA(VLOOKUP(A610,Interface_Platform!D:D,1,FALSE())),ISNA(VLOOKUP(A610,D:D,1,FALSE()))),"N","Y"))</f>
        <v/>
      </c>
      <c r="C610" s="119" t="s">
        <v>4249</v>
      </c>
      <c r="D610" s="261" t="s">
        <v>225</v>
      </c>
      <c r="E610" s="262">
        <v>1</v>
      </c>
      <c r="F610" s="263" t="str">
        <f>IF(AND(ISNA(VLOOKUP(D610,A:A,1,FALSE())),ISNA(VLOOKUP(D610,BaseType!A:A,1,FALSE())),D610&lt;&gt;"Struct"),"N","Y")</f>
        <v>Y</v>
      </c>
      <c r="G610" s="227"/>
    </row>
    <row r="611" spans="1:20" ht="15" customHeight="1" x14ac:dyDescent="0.2">
      <c r="A611" s="260" t="s">
        <v>4250</v>
      </c>
      <c r="B611" s="270" t="str">
        <f>IF(ISBLANK(A611),"",IF(AND(ISNA(VLOOKUP(A611,Interface_E01!E:E,1,FALSE())),ISNA(VLOOKUP(A611,D:D,1,FALSE()))),"N","Y"))</f>
        <v>Y</v>
      </c>
      <c r="C611" s="119"/>
      <c r="D611" s="271" t="s">
        <v>484</v>
      </c>
      <c r="E611" s="262"/>
      <c r="F611" s="263" t="str">
        <f>IF(AND(ISNA(VLOOKUP(D611,A:A,1,FALSE())),ISNA(VLOOKUP(D611,BaseType!A:A,1,FALSE())),D611&lt;&gt;"Struct"),"N","Y")</f>
        <v>Y</v>
      </c>
      <c r="G611" s="227"/>
    </row>
    <row r="612" spans="1:20" ht="15" customHeight="1" x14ac:dyDescent="0.2">
      <c r="A612" s="260"/>
      <c r="B612" s="261" t="str">
        <f>IF(ISBLANK(A612),"",IF(AND(ISNA(VLOOKUP(A612,Interface_Platform!D:D,1,FALSE())),ISNA(VLOOKUP(A612,D:D,1,FALSE()))),"N","Y"))</f>
        <v/>
      </c>
      <c r="C612" s="119" t="s">
        <v>4251</v>
      </c>
      <c r="D612" s="261" t="s">
        <v>193</v>
      </c>
      <c r="E612" s="262">
        <v>1</v>
      </c>
      <c r="F612" s="263" t="str">
        <f>IF(AND(ISNA(VLOOKUP(D612,A:A,1,FALSE())),ISNA(VLOOKUP(D612,BaseType!A:A,1,FALSE())),D612&lt;&gt;"Struct"),"N","Y")</f>
        <v>Y</v>
      </c>
      <c r="G612" s="227"/>
    </row>
    <row r="613" spans="1:20" ht="15" customHeight="1" x14ac:dyDescent="0.2">
      <c r="A613" s="260"/>
      <c r="B613" s="261" t="str">
        <f>IF(ISBLANK(A613),"",IF(AND(ISNA(VLOOKUP(A613,Interface_Platform!D:D,1,FALSE())),ISNA(VLOOKUP(A613,D:D,1,FALSE()))),"N","Y"))</f>
        <v/>
      </c>
      <c r="C613" s="119" t="s">
        <v>628</v>
      </c>
      <c r="D613" s="261" t="s">
        <v>193</v>
      </c>
      <c r="E613" s="262">
        <v>1</v>
      </c>
      <c r="F613" s="263" t="str">
        <f>IF(AND(ISNA(VLOOKUP(D613,A:A,1,FALSE())),ISNA(VLOOKUP(D613,BaseType!A:A,1,FALSE())),D613&lt;&gt;"Struct"),"N","Y")</f>
        <v>Y</v>
      </c>
      <c r="G613" s="227"/>
    </row>
    <row r="614" spans="1:20" ht="15" customHeight="1" x14ac:dyDescent="0.2">
      <c r="A614" s="260"/>
      <c r="B614" s="261" t="str">
        <f>IF(ISBLANK(A614),"",IF(AND(ISNA(VLOOKUP(A614,Interface_Platform!D:D,1,FALSE())),ISNA(VLOOKUP(A614,D:D,1,FALSE()))),"N","Y"))</f>
        <v/>
      </c>
      <c r="C614" s="119" t="s">
        <v>4252</v>
      </c>
      <c r="D614" s="261" t="s">
        <v>193</v>
      </c>
      <c r="E614" s="262">
        <v>1</v>
      </c>
      <c r="F614" s="263" t="str">
        <f>IF(AND(ISNA(VLOOKUP(D614,A:A,1,FALSE())),ISNA(VLOOKUP(D614,BaseType!A:A,1,FALSE())),D614&lt;&gt;"Struct"),"N","Y")</f>
        <v>Y</v>
      </c>
      <c r="G614" s="227"/>
    </row>
    <row r="615" spans="1:20" ht="15" customHeight="1" x14ac:dyDescent="0.2">
      <c r="A615" s="260"/>
      <c r="B615" s="261"/>
      <c r="C615" s="119" t="s">
        <v>4253</v>
      </c>
      <c r="D615" s="261" t="s">
        <v>193</v>
      </c>
      <c r="E615" s="262">
        <v>1</v>
      </c>
      <c r="F615" s="263" t="str">
        <f>IF(AND(ISNA(VLOOKUP(D615,A:A,1,FALSE())),ISNA(VLOOKUP(D615,BaseType!A:A,1,FALSE())),D615&lt;&gt;"Struct"),"Y","Y")</f>
        <v>Y</v>
      </c>
      <c r="G615" s="227"/>
    </row>
    <row r="616" spans="1:20" ht="15" customHeight="1" x14ac:dyDescent="0.2">
      <c r="A616" s="260"/>
      <c r="B616" s="261" t="str">
        <f>IF(ISBLANK(A616),"",IF(AND(ISNA(VLOOKUP(A616,Interface_Platform!D:D,1,FALSE())),ISNA(VLOOKUP(A616,D:D,1,FALSE()))),"N","Y"))</f>
        <v/>
      </c>
      <c r="C616" s="119" t="s">
        <v>4254</v>
      </c>
      <c r="D616" s="261" t="s">
        <v>631</v>
      </c>
      <c r="E616" s="262">
        <v>1</v>
      </c>
      <c r="F616" s="263" t="str">
        <f>IF(AND(ISNA(VLOOKUP(D616,A:A,1,FALSE())),ISNA(VLOOKUP(D616,BaseType!A:A,1,FALSE())),D616&lt;&gt;"Struct"),"N","Y")</f>
        <v>Y</v>
      </c>
      <c r="G616" s="276" t="s">
        <v>4255</v>
      </c>
    </row>
    <row r="617" spans="1:20" ht="15" customHeight="1" x14ac:dyDescent="0.2">
      <c r="A617" s="260"/>
      <c r="B617" s="261"/>
      <c r="C617" s="119" t="s">
        <v>4256</v>
      </c>
      <c r="D617" s="261" t="s">
        <v>631</v>
      </c>
      <c r="E617" s="262">
        <v>1</v>
      </c>
      <c r="F617" s="263" t="str">
        <f>IF(AND(ISNA(VLOOKUP(D617,A:A,1,FALSE())),ISNA(VLOOKUP(D617,BaseType!A:A,1,FALSE())),D617&lt;&gt;"Struct"),"N","Y")</f>
        <v>Y</v>
      </c>
      <c r="G617" s="80" t="s">
        <v>4257</v>
      </c>
    </row>
    <row r="618" spans="1:20" ht="15" customHeight="1" x14ac:dyDescent="0.2">
      <c r="A618" s="260" t="s">
        <v>3272</v>
      </c>
      <c r="B618" s="270" t="str">
        <f>IF(ISBLANK(A618),"",IF(AND(ISNA(VLOOKUP(A618,Interface_E01!E:E,1,FALSE())),ISNA(VLOOKUP(A618,D:D,1,FALSE()))),"N","Y"))</f>
        <v>Y</v>
      </c>
      <c r="C618" s="119"/>
      <c r="D618" s="271" t="s">
        <v>484</v>
      </c>
      <c r="E618" s="262"/>
      <c r="F618" s="263" t="str">
        <f>IF(AND(ISNA(VLOOKUP(D618,A:A,1,FALSE())),ISNA(VLOOKUP(D618,BaseType!A:A,1,FALSE())),D618&lt;&gt;"Struct"),"N","Y")</f>
        <v>Y</v>
      </c>
      <c r="G618" s="227"/>
    </row>
    <row r="619" spans="1:20" ht="15" customHeight="1" x14ac:dyDescent="0.2">
      <c r="A619" s="260"/>
      <c r="B619" s="261" t="str">
        <f>IF(ISBLANK(A619),"",IF(AND(ISNA(VLOOKUP(A619,Interface_Platform!D:D,1,FALSE())),ISNA(VLOOKUP(A619,D:D,1,FALSE()))),"N","Y"))</f>
        <v/>
      </c>
      <c r="C619" s="119" t="s">
        <v>4258</v>
      </c>
      <c r="D619" s="261" t="s">
        <v>4250</v>
      </c>
      <c r="E619" s="262">
        <v>1</v>
      </c>
      <c r="F619" s="263" t="str">
        <f>IF(AND(ISNA(VLOOKUP(D619,A:A,1,FALSE())),ISNA(VLOOKUP(D619,BaseType!A:A,1,FALSE())),D619&lt;&gt;"Struct"),"N","Y")</f>
        <v>Y</v>
      </c>
      <c r="G619" s="227"/>
    </row>
    <row r="620" spans="1:20" ht="15" customHeight="1" x14ac:dyDescent="0.2">
      <c r="A620" s="260"/>
      <c r="B620" s="261" t="str">
        <f>IF(ISBLANK(A620),"",IF(AND(ISNA(VLOOKUP(A620,Interface_Platform!D:D,1,FALSE())),ISNA(VLOOKUP(A620,D:D,1,FALSE()))),"N","Y"))</f>
        <v/>
      </c>
      <c r="C620" s="281" t="s">
        <v>4259</v>
      </c>
      <c r="D620" s="282" t="s">
        <v>4231</v>
      </c>
      <c r="E620" s="283">
        <v>5</v>
      </c>
      <c r="F620" s="263" t="str">
        <f>IF(AND(ISNA(VLOOKUP(D620,A:A,1,FALSE())),ISNA(VLOOKUP(D620,BaseType!A:A,1,FALSE())),D620&lt;&gt;"Struct"),"N","Y")</f>
        <v>Y</v>
      </c>
      <c r="G620" s="280"/>
    </row>
    <row r="621" spans="1:20" ht="15" customHeight="1" x14ac:dyDescent="0.2">
      <c r="A621" s="63" t="s">
        <v>3275</v>
      </c>
      <c r="B621" s="270" t="str">
        <f>IF(ISBLANK(A621),"",IF(AND(ISNA(VLOOKUP(A621,Interface_E01!E:E,1,FALSE())),ISNA(VLOOKUP(A621,D:D,1,FALSE()))),"N","Y"))</f>
        <v>Y</v>
      </c>
      <c r="C621" s="148"/>
      <c r="D621" s="271" t="s">
        <v>484</v>
      </c>
      <c r="E621" s="46"/>
      <c r="F621" s="144"/>
      <c r="G621" s="91"/>
      <c r="H621" s="155"/>
      <c r="I621" s="155"/>
      <c r="J621" s="155"/>
      <c r="K621" s="155"/>
      <c r="L621" s="155"/>
      <c r="M621" s="155"/>
      <c r="N621" s="54"/>
      <c r="O621" s="54"/>
      <c r="P621" s="54"/>
      <c r="Q621" s="54"/>
      <c r="R621" s="54"/>
      <c r="S621" s="54"/>
      <c r="T621" s="54"/>
    </row>
    <row r="622" spans="1:20" ht="15" customHeight="1" x14ac:dyDescent="0.2">
      <c r="A622" s="91"/>
      <c r="B622" s="158"/>
      <c r="C622" s="148" t="s">
        <v>3238</v>
      </c>
      <c r="D622" s="91" t="s">
        <v>3239</v>
      </c>
      <c r="E622" s="46">
        <v>1</v>
      </c>
      <c r="F622" s="144" t="str">
        <f>IF(AND(ISNA(VLOOKUP(D622,DataType_Platform!A:A,1,FALSE())),ISNA(VLOOKUP(D622,A:A,1,FALSE())),ISNA(VLOOKUP(D622,BaseType!A:A,1,FALSE())),D622&lt;&gt;"Struct"),"N","Y")</f>
        <v>Y</v>
      </c>
      <c r="G622" s="91"/>
      <c r="H622" s="155"/>
      <c r="I622" s="155"/>
      <c r="J622" s="155"/>
      <c r="K622" s="155"/>
      <c r="L622" s="155"/>
      <c r="M622" s="155"/>
      <c r="N622" s="54"/>
      <c r="O622" s="54"/>
      <c r="P622" s="54"/>
      <c r="Q622" s="54"/>
      <c r="R622" s="54"/>
      <c r="S622" s="54"/>
      <c r="T622" s="54"/>
    </row>
    <row r="623" spans="1:20" ht="15" customHeight="1" x14ac:dyDescent="0.2">
      <c r="A623" s="91"/>
      <c r="B623" s="158"/>
      <c r="C623" s="148" t="s">
        <v>3244</v>
      </c>
      <c r="D623" s="91" t="s">
        <v>3245</v>
      </c>
      <c r="E623" s="46">
        <v>1</v>
      </c>
      <c r="F623" s="144" t="str">
        <f>IF(AND(ISNA(VLOOKUP(D623,DataType_Platform!A:A,1,FALSE())),ISNA(VLOOKUP(D623,A:A,1,FALSE())),ISNA(VLOOKUP(D623,BaseType!A:A,1,FALSE())),D623&lt;&gt;"Struct"),"N","Y")</f>
        <v>Y</v>
      </c>
      <c r="G623" s="91"/>
      <c r="H623" s="155"/>
      <c r="I623" s="155"/>
      <c r="J623" s="155"/>
      <c r="K623" s="155"/>
      <c r="L623" s="155"/>
      <c r="M623" s="155"/>
      <c r="N623" s="54"/>
      <c r="O623" s="54"/>
      <c r="P623" s="54"/>
      <c r="Q623" s="54"/>
      <c r="R623" s="54"/>
      <c r="S623" s="54"/>
      <c r="T623" s="54"/>
    </row>
    <row r="624" spans="1:20" ht="15" customHeight="1" x14ac:dyDescent="0.2">
      <c r="A624" s="91"/>
      <c r="B624" s="158"/>
      <c r="C624" s="148" t="s">
        <v>216</v>
      </c>
      <c r="D624" s="91" t="s">
        <v>217</v>
      </c>
      <c r="E624" s="46">
        <v>1</v>
      </c>
      <c r="F624" s="144" t="str">
        <f>IF(AND(ISNA(VLOOKUP(D624,DataType_Platform!A:A,1,FALSE())),ISNA(VLOOKUP(D624,A:A,1,FALSE())),ISNA(VLOOKUP(D624,BaseType!A:A,1,FALSE())),D624&lt;&gt;"Struct"),"N","Y")</f>
        <v>Y</v>
      </c>
      <c r="G624" s="91"/>
      <c r="H624" s="155"/>
      <c r="I624" s="155"/>
      <c r="J624" s="155"/>
      <c r="K624" s="155"/>
      <c r="L624" s="155"/>
      <c r="M624" s="155"/>
      <c r="N624" s="54"/>
      <c r="O624" s="54"/>
      <c r="P624" s="54"/>
      <c r="Q624" s="54"/>
      <c r="R624" s="54"/>
      <c r="S624" s="54"/>
      <c r="T624" s="54"/>
    </row>
    <row r="625" spans="1:20" ht="15" customHeight="1" x14ac:dyDescent="0.2">
      <c r="A625" s="91"/>
      <c r="B625" s="158"/>
      <c r="C625" s="148" t="s">
        <v>455</v>
      </c>
      <c r="D625" s="91" t="s">
        <v>293</v>
      </c>
      <c r="E625" s="46">
        <v>1</v>
      </c>
      <c r="F625" s="144" t="str">
        <f>IF(AND(ISNA(VLOOKUP(D625,DataType_Platform!A:A,1,FALSE())),ISNA(VLOOKUP(D625,A:A,1,FALSE())),ISNA(VLOOKUP(D625,BaseType!A:A,1,FALSE())),D625&lt;&gt;"Struct"),"N","Y")</f>
        <v>Y</v>
      </c>
      <c r="G625" s="91"/>
      <c r="H625" s="155"/>
      <c r="I625" s="155"/>
      <c r="J625" s="155"/>
      <c r="K625" s="155"/>
      <c r="L625" s="155"/>
      <c r="M625" s="155"/>
      <c r="N625" s="54"/>
      <c r="O625" s="54"/>
      <c r="P625" s="54"/>
      <c r="Q625" s="54"/>
      <c r="R625" s="54"/>
      <c r="S625" s="54"/>
      <c r="T625" s="54"/>
    </row>
    <row r="626" spans="1:20" ht="15" customHeight="1" x14ac:dyDescent="0.2">
      <c r="A626" s="229"/>
      <c r="B626" s="235"/>
      <c r="C626" s="157"/>
      <c r="D626" s="235"/>
      <c r="E626" s="235"/>
      <c r="F626" s="235"/>
      <c r="G626" s="256"/>
    </row>
    <row r="627" spans="1:20" ht="15" customHeight="1" x14ac:dyDescent="0.2">
      <c r="A627" s="229"/>
      <c r="B627" s="235"/>
      <c r="C627" s="157"/>
      <c r="D627" s="235"/>
      <c r="E627" s="235"/>
      <c r="F627" s="235"/>
      <c r="G627" s="256"/>
    </row>
    <row r="628" spans="1:20" ht="15" customHeight="1" x14ac:dyDescent="0.2">
      <c r="A628" s="229"/>
      <c r="B628" s="235"/>
      <c r="C628" s="157"/>
      <c r="D628" s="235"/>
      <c r="E628" s="235"/>
      <c r="F628" s="235"/>
      <c r="G628" s="256"/>
    </row>
    <row r="629" spans="1:20" ht="15" customHeight="1" x14ac:dyDescent="0.2">
      <c r="A629" s="229"/>
      <c r="B629" s="235"/>
      <c r="C629" s="157"/>
      <c r="D629" s="235"/>
      <c r="E629" s="235"/>
      <c r="F629" s="235"/>
      <c r="G629" s="256"/>
    </row>
    <row r="630" spans="1:20" ht="15" customHeight="1" x14ac:dyDescent="0.2">
      <c r="A630" s="229"/>
      <c r="B630" s="235"/>
      <c r="C630" s="157"/>
      <c r="D630" s="235"/>
      <c r="E630" s="235"/>
      <c r="F630" s="235"/>
      <c r="G630" s="256"/>
    </row>
    <row r="631" spans="1:20" ht="15" customHeight="1" x14ac:dyDescent="0.2">
      <c r="A631" s="229"/>
      <c r="B631" s="235"/>
      <c r="C631" s="157"/>
      <c r="D631" s="235"/>
      <c r="E631" s="235"/>
      <c r="F631" s="235"/>
      <c r="G631" s="256"/>
    </row>
    <row r="632" spans="1:20" ht="15" customHeight="1" x14ac:dyDescent="0.2">
      <c r="A632" s="229"/>
      <c r="B632" s="235"/>
      <c r="C632" s="157"/>
      <c r="D632" s="235"/>
      <c r="E632" s="235"/>
      <c r="F632" s="235"/>
      <c r="G632" s="256"/>
    </row>
    <row r="633" spans="1:20" ht="15" customHeight="1" x14ac:dyDescent="0.2">
      <c r="A633" s="229"/>
      <c r="B633" s="235"/>
      <c r="C633" s="157"/>
      <c r="D633" s="229"/>
      <c r="E633" s="235"/>
      <c r="F633" s="235"/>
      <c r="G633" s="256"/>
    </row>
    <row r="634" spans="1:20" ht="15" customHeight="1" x14ac:dyDescent="0.2">
      <c r="A634" s="229"/>
      <c r="B634" s="235"/>
      <c r="C634" s="157"/>
      <c r="D634" s="229"/>
      <c r="E634" s="235"/>
      <c r="F634" s="235"/>
      <c r="G634" s="256"/>
    </row>
    <row r="635" spans="1:20" ht="15" customHeight="1" x14ac:dyDescent="0.2">
      <c r="A635" s="229"/>
      <c r="B635" s="235"/>
      <c r="C635" s="157"/>
      <c r="D635" s="229"/>
      <c r="E635" s="235"/>
      <c r="F635" s="235"/>
      <c r="G635" s="256"/>
    </row>
    <row r="636" spans="1:20" ht="15" customHeight="1" x14ac:dyDescent="0.2">
      <c r="A636" s="1"/>
      <c r="B636" s="1"/>
      <c r="C636" s="257"/>
      <c r="D636" s="80"/>
      <c r="E636" s="256"/>
      <c r="F636" s="235"/>
      <c r="G636" s="256"/>
    </row>
    <row r="637" spans="1:20" ht="15" customHeight="1" x14ac:dyDescent="0.2">
      <c r="A637" s="1"/>
      <c r="B637" s="1"/>
      <c r="C637" s="257"/>
      <c r="D637" s="80"/>
      <c r="E637" s="256"/>
      <c r="F637" s="235"/>
      <c r="G637" s="256"/>
    </row>
    <row r="638" spans="1:20" ht="15" customHeight="1" x14ac:dyDescent="0.2">
      <c r="A638" s="1"/>
      <c r="B638" s="1"/>
      <c r="C638" s="257"/>
      <c r="D638" s="80"/>
      <c r="E638" s="256"/>
      <c r="F638" s="235"/>
      <c r="G638" s="256"/>
    </row>
    <row r="639" spans="1:20" ht="15" customHeight="1" x14ac:dyDescent="0.2">
      <c r="A639" s="1"/>
      <c r="B639" s="1"/>
      <c r="C639" s="257"/>
      <c r="D639" s="80"/>
      <c r="E639" s="256"/>
      <c r="F639" s="235"/>
      <c r="G639" s="256"/>
    </row>
    <row r="640" spans="1:20" ht="15" customHeight="1" x14ac:dyDescent="0.2">
      <c r="A640" s="1"/>
      <c r="B640" s="1"/>
      <c r="C640" s="257"/>
      <c r="D640" s="80"/>
      <c r="E640" s="256"/>
      <c r="F640" s="235"/>
      <c r="G640" s="256"/>
    </row>
    <row r="641" spans="1:7" ht="15" customHeight="1" x14ac:dyDescent="0.2">
      <c r="A641" s="1"/>
      <c r="B641" s="1"/>
      <c r="C641" s="257"/>
      <c r="D641" s="80"/>
      <c r="E641" s="256"/>
      <c r="F641" s="235"/>
      <c r="G641" s="256"/>
    </row>
    <row r="642" spans="1:7" ht="15" customHeight="1" x14ac:dyDescent="0.2">
      <c r="A642" s="1"/>
      <c r="B642" s="1"/>
      <c r="C642" s="257"/>
      <c r="D642" s="80"/>
      <c r="E642" s="256"/>
      <c r="F642" s="235"/>
      <c r="G642" s="256"/>
    </row>
    <row r="643" spans="1:7" ht="15" customHeight="1" x14ac:dyDescent="0.2">
      <c r="A643" s="1"/>
      <c r="B643" s="1"/>
      <c r="C643" s="257"/>
      <c r="D643" s="80"/>
      <c r="E643" s="256"/>
      <c r="F643" s="235"/>
      <c r="G643" s="256"/>
    </row>
    <row r="644" spans="1:7" ht="15" customHeight="1" x14ac:dyDescent="0.2">
      <c r="A644" s="1"/>
      <c r="B644" s="1"/>
      <c r="C644" s="257"/>
      <c r="D644" s="80"/>
      <c r="E644" s="256"/>
      <c r="F644" s="235"/>
      <c r="G644" s="256"/>
    </row>
    <row r="645" spans="1:7" ht="15" customHeight="1" x14ac:dyDescent="0.2">
      <c r="A645" s="1"/>
      <c r="B645" s="1"/>
      <c r="C645" s="257"/>
      <c r="D645" s="80"/>
      <c r="E645" s="256"/>
      <c r="F645" s="235"/>
      <c r="G645" s="256"/>
    </row>
    <row r="646" spans="1:7" ht="15" customHeight="1" x14ac:dyDescent="0.2">
      <c r="A646" s="1"/>
      <c r="B646" s="1"/>
      <c r="C646" s="257"/>
      <c r="D646" s="80"/>
      <c r="E646" s="256"/>
      <c r="F646" s="235"/>
      <c r="G646" s="256"/>
    </row>
    <row r="647" spans="1:7" ht="15" customHeight="1" x14ac:dyDescent="0.2">
      <c r="A647" s="1"/>
      <c r="B647" s="1"/>
      <c r="C647" s="257"/>
      <c r="D647" s="80"/>
      <c r="E647" s="256"/>
      <c r="F647" s="235"/>
      <c r="G647" s="256"/>
    </row>
    <row r="648" spans="1:7" ht="15" customHeight="1" x14ac:dyDescent="0.2">
      <c r="A648" s="1"/>
      <c r="B648" s="1"/>
      <c r="C648" s="257"/>
      <c r="D648" s="80"/>
      <c r="E648" s="256"/>
      <c r="F648" s="235"/>
      <c r="G648" s="256"/>
    </row>
    <row r="649" spans="1:7" ht="15" customHeight="1" x14ac:dyDescent="0.2">
      <c r="A649" s="1"/>
      <c r="B649" s="1"/>
      <c r="C649" s="257"/>
      <c r="D649" s="80"/>
      <c r="E649" s="256"/>
      <c r="F649" s="235"/>
      <c r="G649" s="256"/>
    </row>
    <row r="650" spans="1:7" ht="15" customHeight="1" x14ac:dyDescent="0.2">
      <c r="A650" s="1"/>
      <c r="B650" s="1"/>
      <c r="C650" s="257"/>
      <c r="D650" s="80"/>
      <c r="E650" s="256"/>
      <c r="F650" s="235"/>
      <c r="G650" s="256"/>
    </row>
    <row r="651" spans="1:7" ht="15" customHeight="1" x14ac:dyDescent="0.2">
      <c r="A651" s="1"/>
      <c r="B651" s="1"/>
      <c r="C651" s="257"/>
      <c r="D651" s="80"/>
      <c r="E651" s="256"/>
      <c r="F651" s="235"/>
      <c r="G651" s="256"/>
    </row>
    <row r="652" spans="1:7" ht="15" customHeight="1" x14ac:dyDescent="0.2">
      <c r="A652" s="1"/>
      <c r="B652" s="1"/>
      <c r="C652" s="257"/>
      <c r="D652" s="80"/>
      <c r="E652" s="256"/>
      <c r="F652" s="235"/>
      <c r="G652" s="256"/>
    </row>
    <row r="653" spans="1:7" ht="15" customHeight="1" x14ac:dyDescent="0.2">
      <c r="A653" s="1"/>
      <c r="B653" s="1"/>
      <c r="C653" s="257"/>
      <c r="D653" s="80"/>
      <c r="E653" s="256"/>
      <c r="F653" s="235"/>
      <c r="G653" s="256"/>
    </row>
    <row r="654" spans="1:7" ht="15" customHeight="1" x14ac:dyDescent="0.2">
      <c r="A654" s="1"/>
      <c r="B654" s="1"/>
      <c r="C654" s="257"/>
      <c r="D654" s="80"/>
      <c r="E654" s="256"/>
      <c r="F654" s="235"/>
      <c r="G654" s="256"/>
    </row>
    <row r="655" spans="1:7" ht="15" customHeight="1" x14ac:dyDescent="0.2">
      <c r="A655" s="1"/>
      <c r="B655" s="1"/>
      <c r="C655" s="257"/>
      <c r="D655" s="80"/>
      <c r="E655" s="256"/>
      <c r="F655" s="235"/>
      <c r="G655" s="256"/>
    </row>
    <row r="656" spans="1:7" ht="15" customHeight="1" x14ac:dyDescent="0.2">
      <c r="A656" s="1"/>
      <c r="B656" s="1"/>
      <c r="C656" s="257"/>
      <c r="D656" s="80"/>
      <c r="E656" s="256"/>
      <c r="F656" s="235"/>
      <c r="G656" s="256"/>
    </row>
    <row r="657" spans="1:7" ht="15" customHeight="1" x14ac:dyDescent="0.2">
      <c r="A657" s="1"/>
      <c r="B657" s="1"/>
      <c r="C657" s="257"/>
      <c r="D657" s="80"/>
      <c r="E657" s="256"/>
      <c r="F657" s="235"/>
      <c r="G657" s="256"/>
    </row>
    <row r="658" spans="1:7" ht="15" customHeight="1" x14ac:dyDescent="0.2">
      <c r="A658" s="1"/>
      <c r="B658" s="1"/>
      <c r="C658" s="257"/>
      <c r="D658" s="80"/>
      <c r="E658" s="256"/>
      <c r="F658" s="235"/>
      <c r="G658" s="256"/>
    </row>
    <row r="659" spans="1:7" ht="15" customHeight="1" x14ac:dyDescent="0.2">
      <c r="A659" s="1"/>
      <c r="B659" s="1"/>
      <c r="C659" s="257"/>
      <c r="D659" s="80"/>
      <c r="E659" s="256"/>
      <c r="F659" s="235"/>
      <c r="G659" s="256"/>
    </row>
    <row r="660" spans="1:7" ht="15" customHeight="1" x14ac:dyDescent="0.2">
      <c r="A660" s="1"/>
      <c r="B660" s="1"/>
      <c r="C660" s="257"/>
      <c r="D660" s="80"/>
      <c r="E660" s="256"/>
      <c r="F660" s="235"/>
      <c r="G660" s="256"/>
    </row>
    <row r="661" spans="1:7" ht="15" customHeight="1" x14ac:dyDescent="0.2">
      <c r="A661" s="1"/>
      <c r="B661" s="1"/>
      <c r="C661" s="257"/>
      <c r="D661" s="80"/>
      <c r="E661" s="256"/>
      <c r="F661" s="235"/>
      <c r="G661" s="256"/>
    </row>
    <row r="662" spans="1:7" ht="15" customHeight="1" x14ac:dyDescent="0.2">
      <c r="A662" s="1"/>
      <c r="B662" s="1"/>
      <c r="C662" s="257"/>
      <c r="D662" s="80"/>
      <c r="E662" s="256"/>
      <c r="F662" s="235"/>
      <c r="G662" s="256"/>
    </row>
    <row r="663" spans="1:7" ht="15" customHeight="1" x14ac:dyDescent="0.2">
      <c r="A663" s="1"/>
      <c r="B663" s="1"/>
      <c r="C663" s="257"/>
      <c r="D663" s="80"/>
      <c r="E663" s="256"/>
      <c r="F663" s="235"/>
      <c r="G663" s="256"/>
    </row>
    <row r="664" spans="1:7" ht="15" customHeight="1" x14ac:dyDescent="0.2">
      <c r="A664" s="1"/>
      <c r="B664" s="1"/>
      <c r="C664" s="257"/>
      <c r="D664" s="80"/>
      <c r="E664" s="256"/>
      <c r="F664" s="235"/>
      <c r="G664" s="256"/>
    </row>
    <row r="665" spans="1:7" ht="15" customHeight="1" x14ac:dyDescent="0.2">
      <c r="A665" s="1"/>
      <c r="B665" s="1"/>
      <c r="C665" s="257"/>
      <c r="D665" s="80"/>
      <c r="E665" s="256"/>
      <c r="F665" s="235"/>
      <c r="G665" s="256"/>
    </row>
    <row r="666" spans="1:7" ht="15" customHeight="1" x14ac:dyDescent="0.2">
      <c r="A666" s="1"/>
      <c r="B666" s="1"/>
      <c r="C666" s="257"/>
      <c r="D666" s="80"/>
      <c r="E666" s="256"/>
      <c r="F666" s="235"/>
      <c r="G666" s="256"/>
    </row>
    <row r="667" spans="1:7" ht="15" customHeight="1" x14ac:dyDescent="0.2">
      <c r="A667" s="1"/>
      <c r="B667" s="1"/>
      <c r="C667" s="257"/>
      <c r="D667" s="80"/>
      <c r="E667" s="256"/>
      <c r="F667" s="235"/>
      <c r="G667" s="256"/>
    </row>
    <row r="668" spans="1:7" ht="15" customHeight="1" x14ac:dyDescent="0.2">
      <c r="A668" s="1"/>
      <c r="B668" s="1"/>
      <c r="C668" s="257"/>
      <c r="D668" s="80"/>
      <c r="E668" s="256"/>
      <c r="F668" s="235"/>
      <c r="G668" s="256"/>
    </row>
    <row r="669" spans="1:7" ht="15" customHeight="1" x14ac:dyDescent="0.2">
      <c r="A669" s="1"/>
      <c r="B669" s="1"/>
      <c r="C669" s="257"/>
      <c r="D669" s="80"/>
      <c r="E669" s="256"/>
      <c r="F669" s="235"/>
      <c r="G669" s="256"/>
    </row>
    <row r="670" spans="1:7" ht="15" customHeight="1" x14ac:dyDescent="0.2">
      <c r="A670" s="1"/>
      <c r="B670" s="1"/>
      <c r="C670" s="257"/>
      <c r="D670" s="80"/>
      <c r="E670" s="256"/>
      <c r="F670" s="235"/>
      <c r="G670" s="256"/>
    </row>
    <row r="671" spans="1:7" ht="15" customHeight="1" x14ac:dyDescent="0.2">
      <c r="A671" s="1"/>
      <c r="B671" s="1"/>
      <c r="C671" s="257"/>
      <c r="D671" s="80"/>
      <c r="E671" s="256"/>
      <c r="F671" s="235"/>
      <c r="G671" s="256"/>
    </row>
    <row r="672" spans="1:7" ht="15" customHeight="1" x14ac:dyDescent="0.2">
      <c r="A672" s="1"/>
      <c r="B672" s="1"/>
      <c r="C672" s="257"/>
      <c r="D672" s="80"/>
      <c r="E672" s="256"/>
      <c r="F672" s="235"/>
      <c r="G672" s="256"/>
    </row>
    <row r="673" spans="1:7" ht="15" customHeight="1" x14ac:dyDescent="0.2">
      <c r="A673" s="1"/>
      <c r="B673" s="1"/>
      <c r="C673" s="257"/>
      <c r="D673" s="80"/>
      <c r="E673" s="256"/>
      <c r="F673" s="235"/>
      <c r="G673" s="256"/>
    </row>
    <row r="674" spans="1:7" ht="15" customHeight="1" x14ac:dyDescent="0.2">
      <c r="A674" s="1"/>
      <c r="B674" s="1"/>
      <c r="C674" s="257"/>
      <c r="D674" s="80"/>
      <c r="E674" s="256"/>
      <c r="F674" s="235"/>
      <c r="G674" s="256"/>
    </row>
    <row r="675" spans="1:7" ht="15" customHeight="1" x14ac:dyDescent="0.2">
      <c r="A675" s="1"/>
      <c r="B675" s="1"/>
      <c r="C675" s="257"/>
      <c r="D675" s="80"/>
      <c r="E675" s="256"/>
      <c r="F675" s="235"/>
      <c r="G675" s="256"/>
    </row>
    <row r="676" spans="1:7" ht="15" customHeight="1" x14ac:dyDescent="0.2">
      <c r="A676" s="1"/>
      <c r="B676" s="1"/>
      <c r="C676" s="257"/>
      <c r="D676" s="80"/>
      <c r="E676" s="256"/>
      <c r="F676" s="235"/>
      <c r="G676" s="256"/>
    </row>
    <row r="677" spans="1:7" ht="15" customHeight="1" x14ac:dyDescent="0.2">
      <c r="A677" s="1"/>
      <c r="B677" s="1"/>
      <c r="C677" s="257"/>
      <c r="D677" s="80"/>
      <c r="E677" s="256"/>
      <c r="F677" s="235"/>
      <c r="G677" s="256"/>
    </row>
    <row r="678" spans="1:7" ht="15" customHeight="1" x14ac:dyDescent="0.2">
      <c r="A678" s="1"/>
      <c r="B678" s="1"/>
      <c r="C678" s="257"/>
      <c r="D678" s="80"/>
      <c r="E678" s="256"/>
      <c r="F678" s="235"/>
      <c r="G678" s="256"/>
    </row>
    <row r="679" spans="1:7" ht="15" customHeight="1" x14ac:dyDescent="0.2">
      <c r="A679" s="1"/>
      <c r="B679" s="1"/>
      <c r="C679" s="257"/>
      <c r="D679" s="80"/>
      <c r="E679" s="256"/>
      <c r="F679" s="235"/>
      <c r="G679" s="256"/>
    </row>
    <row r="680" spans="1:7" ht="15" customHeight="1" x14ac:dyDescent="0.2">
      <c r="A680" s="1"/>
      <c r="B680" s="1"/>
      <c r="C680" s="257"/>
      <c r="D680" s="80"/>
      <c r="E680" s="256"/>
      <c r="F680" s="235"/>
      <c r="G680" s="256"/>
    </row>
    <row r="681" spans="1:7" ht="15" customHeight="1" x14ac:dyDescent="0.2">
      <c r="A681" s="1"/>
      <c r="B681" s="1"/>
      <c r="C681" s="257"/>
      <c r="D681" s="80"/>
      <c r="E681" s="256"/>
      <c r="F681" s="235"/>
      <c r="G681" s="256"/>
    </row>
    <row r="682" spans="1:7" ht="15" customHeight="1" x14ac:dyDescent="0.2">
      <c r="A682" s="1"/>
      <c r="B682" s="1"/>
      <c r="C682" s="257"/>
      <c r="D682" s="80"/>
      <c r="E682" s="256"/>
      <c r="F682" s="235"/>
      <c r="G682" s="256"/>
    </row>
    <row r="683" spans="1:7" ht="15" customHeight="1" x14ac:dyDescent="0.2">
      <c r="A683" s="1"/>
      <c r="B683" s="1"/>
      <c r="C683" s="257"/>
      <c r="D683" s="80"/>
      <c r="E683" s="256"/>
      <c r="F683" s="235"/>
      <c r="G683" s="256"/>
    </row>
    <row r="684" spans="1:7" ht="15" customHeight="1" x14ac:dyDescent="0.2">
      <c r="A684" s="1"/>
      <c r="B684" s="1"/>
      <c r="C684" s="257"/>
      <c r="D684" s="80"/>
      <c r="E684" s="256"/>
      <c r="F684" s="235"/>
      <c r="G684" s="256"/>
    </row>
    <row r="685" spans="1:7" ht="15" customHeight="1" x14ac:dyDescent="0.2">
      <c r="A685" s="1"/>
      <c r="B685" s="1"/>
      <c r="C685" s="257"/>
      <c r="D685" s="80"/>
      <c r="E685" s="256"/>
      <c r="F685" s="235"/>
      <c r="G685" s="256"/>
    </row>
    <row r="686" spans="1:7" ht="15" customHeight="1" x14ac:dyDescent="0.2">
      <c r="A686" s="1"/>
      <c r="B686" s="1"/>
      <c r="C686" s="257"/>
      <c r="D686" s="80"/>
      <c r="E686" s="256"/>
      <c r="F686" s="235"/>
      <c r="G686" s="256"/>
    </row>
    <row r="687" spans="1:7" ht="15" customHeight="1" x14ac:dyDescent="0.2">
      <c r="A687" s="1"/>
      <c r="B687" s="1"/>
      <c r="C687" s="257"/>
      <c r="D687" s="80"/>
      <c r="E687" s="256"/>
      <c r="F687" s="235"/>
      <c r="G687" s="256"/>
    </row>
    <row r="688" spans="1:7" ht="15" customHeight="1" x14ac:dyDescent="0.2">
      <c r="A688" s="1"/>
      <c r="B688" s="1"/>
      <c r="C688" s="257"/>
      <c r="D688" s="80"/>
      <c r="E688" s="256"/>
      <c r="F688" s="235"/>
      <c r="G688" s="256"/>
    </row>
    <row r="689" spans="1:7" ht="15" customHeight="1" x14ac:dyDescent="0.2">
      <c r="A689" s="1"/>
      <c r="B689" s="1"/>
      <c r="C689" s="257"/>
      <c r="D689" s="80"/>
      <c r="E689" s="256"/>
      <c r="F689" s="235"/>
      <c r="G689" s="256"/>
    </row>
    <row r="690" spans="1:7" ht="15" customHeight="1" x14ac:dyDescent="0.2">
      <c r="A690" s="1"/>
      <c r="B690" s="1"/>
      <c r="C690" s="257"/>
      <c r="D690" s="80"/>
      <c r="E690" s="256"/>
      <c r="F690" s="235"/>
      <c r="G690" s="256"/>
    </row>
    <row r="691" spans="1:7" ht="15" customHeight="1" x14ac:dyDescent="0.2">
      <c r="A691" s="1"/>
      <c r="B691" s="1"/>
      <c r="C691" s="257"/>
      <c r="D691" s="80"/>
      <c r="E691" s="256"/>
      <c r="F691" s="235"/>
      <c r="G691" s="256"/>
    </row>
    <row r="692" spans="1:7" ht="15" customHeight="1" x14ac:dyDescent="0.2">
      <c r="A692" s="1"/>
      <c r="B692" s="1"/>
      <c r="C692" s="257"/>
      <c r="D692" s="80"/>
      <c r="E692" s="256"/>
      <c r="F692" s="235"/>
      <c r="G692" s="256"/>
    </row>
    <row r="693" spans="1:7" ht="15" customHeight="1" x14ac:dyDescent="0.2">
      <c r="A693" s="1"/>
      <c r="B693" s="1"/>
      <c r="C693" s="257"/>
      <c r="D693" s="80"/>
      <c r="E693" s="256"/>
      <c r="F693" s="235"/>
      <c r="G693" s="256"/>
    </row>
    <row r="694" spans="1:7" ht="15" customHeight="1" x14ac:dyDescent="0.2">
      <c r="A694" s="1"/>
      <c r="B694" s="1"/>
      <c r="C694" s="257"/>
      <c r="D694" s="80"/>
      <c r="E694" s="256"/>
      <c r="F694" s="235"/>
      <c r="G694" s="256"/>
    </row>
    <row r="695" spans="1:7" ht="15" customHeight="1" x14ac:dyDescent="0.2">
      <c r="A695" s="1"/>
      <c r="B695" s="1"/>
      <c r="C695" s="257"/>
      <c r="D695" s="80"/>
      <c r="E695" s="256"/>
      <c r="F695" s="235"/>
      <c r="G695" s="256"/>
    </row>
    <row r="696" spans="1:7" ht="15" customHeight="1" x14ac:dyDescent="0.2">
      <c r="A696" s="1"/>
      <c r="B696" s="1"/>
      <c r="C696" s="257"/>
      <c r="D696" s="80"/>
      <c r="E696" s="256"/>
      <c r="F696" s="235"/>
      <c r="G696" s="256"/>
    </row>
    <row r="697" spans="1:7" ht="15" customHeight="1" x14ac:dyDescent="0.2">
      <c r="A697" s="1"/>
      <c r="B697" s="1"/>
      <c r="C697" s="257"/>
      <c r="D697" s="80"/>
      <c r="E697" s="256"/>
      <c r="F697" s="235"/>
      <c r="G697" s="256"/>
    </row>
    <row r="698" spans="1:7" ht="15" customHeight="1" x14ac:dyDescent="0.2">
      <c r="A698" s="1"/>
      <c r="B698" s="1"/>
      <c r="C698" s="257"/>
      <c r="D698" s="80"/>
      <c r="E698" s="256"/>
      <c r="F698" s="235"/>
      <c r="G698" s="256"/>
    </row>
    <row r="699" spans="1:7" ht="15" customHeight="1" x14ac:dyDescent="0.2">
      <c r="A699" s="1"/>
      <c r="B699" s="1"/>
      <c r="C699" s="257"/>
      <c r="D699" s="80"/>
      <c r="E699" s="256"/>
      <c r="F699" s="235"/>
      <c r="G699" s="256"/>
    </row>
    <row r="700" spans="1:7" ht="15" customHeight="1" x14ac:dyDescent="0.2">
      <c r="A700" s="1"/>
      <c r="B700" s="1"/>
      <c r="C700" s="257"/>
      <c r="D700" s="80"/>
      <c r="E700" s="256"/>
      <c r="F700" s="235"/>
      <c r="G700" s="256"/>
    </row>
    <row r="701" spans="1:7" ht="15" customHeight="1" x14ac:dyDescent="0.2">
      <c r="A701" s="1"/>
      <c r="B701" s="1"/>
      <c r="C701" s="257"/>
      <c r="D701" s="80"/>
      <c r="E701" s="256"/>
      <c r="F701" s="235"/>
      <c r="G701" s="256"/>
    </row>
    <row r="702" spans="1:7" ht="15" customHeight="1" x14ac:dyDescent="0.2">
      <c r="A702" s="1"/>
      <c r="B702" s="1"/>
      <c r="C702" s="257"/>
      <c r="D702" s="80"/>
      <c r="E702" s="256"/>
      <c r="F702" s="235"/>
      <c r="G702" s="256"/>
    </row>
    <row r="703" spans="1:7" ht="15" customHeight="1" x14ac:dyDescent="0.2">
      <c r="A703" s="1"/>
      <c r="B703" s="1"/>
      <c r="C703" s="257"/>
      <c r="D703" s="80"/>
      <c r="E703" s="256"/>
      <c r="F703" s="235"/>
      <c r="G703" s="256"/>
    </row>
    <row r="704" spans="1:7" ht="15" customHeight="1" x14ac:dyDescent="0.2">
      <c r="A704" s="1"/>
      <c r="B704" s="1"/>
      <c r="C704" s="257"/>
      <c r="D704" s="80"/>
      <c r="E704" s="256"/>
      <c r="F704" s="235"/>
      <c r="G704" s="256"/>
    </row>
    <row r="705" spans="1:7" ht="15" customHeight="1" x14ac:dyDescent="0.2">
      <c r="A705" s="1"/>
      <c r="B705" s="1"/>
      <c r="C705" s="257"/>
      <c r="D705" s="80"/>
      <c r="E705" s="256"/>
      <c r="F705" s="235"/>
      <c r="G705" s="256"/>
    </row>
    <row r="706" spans="1:7" ht="15" customHeight="1" x14ac:dyDescent="0.2">
      <c r="A706" s="1"/>
      <c r="B706" s="1"/>
      <c r="C706" s="257"/>
      <c r="D706" s="80"/>
      <c r="E706" s="256"/>
      <c r="F706" s="235"/>
      <c r="G706" s="256"/>
    </row>
    <row r="707" spans="1:7" ht="15" customHeight="1" x14ac:dyDescent="0.2">
      <c r="A707" s="1"/>
      <c r="B707" s="1"/>
      <c r="C707" s="257"/>
      <c r="D707" s="80"/>
      <c r="E707" s="256"/>
      <c r="F707" s="235"/>
      <c r="G707" s="256"/>
    </row>
    <row r="708" spans="1:7" ht="15" customHeight="1" x14ac:dyDescent="0.2">
      <c r="A708" s="1"/>
      <c r="B708" s="1"/>
      <c r="C708" s="257"/>
      <c r="D708" s="80"/>
      <c r="E708" s="256"/>
      <c r="F708" s="235"/>
      <c r="G708" s="256"/>
    </row>
    <row r="709" spans="1:7" ht="15" customHeight="1" x14ac:dyDescent="0.2">
      <c r="A709" s="1"/>
      <c r="B709" s="1"/>
      <c r="C709" s="257"/>
      <c r="D709" s="80"/>
      <c r="E709" s="256"/>
      <c r="F709" s="235"/>
      <c r="G709" s="256"/>
    </row>
    <row r="710" spans="1:7" ht="15" customHeight="1" x14ac:dyDescent="0.2">
      <c r="A710" s="1"/>
      <c r="B710" s="1"/>
      <c r="C710" s="257"/>
      <c r="D710" s="80"/>
      <c r="E710" s="256"/>
      <c r="F710" s="235"/>
      <c r="G710" s="256"/>
    </row>
    <row r="711" spans="1:7" ht="15" customHeight="1" x14ac:dyDescent="0.2">
      <c r="A711" s="1"/>
      <c r="B711" s="1"/>
      <c r="C711" s="257"/>
      <c r="D711" s="80"/>
      <c r="E711" s="256"/>
      <c r="F711" s="235"/>
      <c r="G711" s="256"/>
    </row>
    <row r="712" spans="1:7" ht="15" customHeight="1" x14ac:dyDescent="0.2">
      <c r="A712" s="1"/>
      <c r="B712" s="1"/>
      <c r="C712" s="257"/>
      <c r="D712" s="80"/>
      <c r="E712" s="256"/>
      <c r="F712" s="235"/>
      <c r="G712" s="256"/>
    </row>
    <row r="713" spans="1:7" ht="15" customHeight="1" x14ac:dyDescent="0.2">
      <c r="A713" s="1"/>
      <c r="B713" s="1"/>
      <c r="C713" s="257"/>
      <c r="D713" s="80"/>
      <c r="E713" s="256"/>
      <c r="F713" s="235"/>
      <c r="G713" s="256"/>
    </row>
    <row r="714" spans="1:7" ht="15" customHeight="1" x14ac:dyDescent="0.2">
      <c r="A714" s="1"/>
      <c r="B714" s="1"/>
      <c r="C714" s="257"/>
      <c r="D714" s="80"/>
      <c r="E714" s="256"/>
      <c r="F714" s="235"/>
      <c r="G714" s="256"/>
    </row>
    <row r="715" spans="1:7" ht="15" customHeight="1" x14ac:dyDescent="0.2">
      <c r="A715" s="1"/>
      <c r="B715" s="1"/>
      <c r="C715" s="257"/>
      <c r="D715" s="80"/>
      <c r="E715" s="256"/>
      <c r="F715" s="235"/>
      <c r="G715" s="256"/>
    </row>
    <row r="716" spans="1:7" ht="15" customHeight="1" x14ac:dyDescent="0.2">
      <c r="A716" s="1"/>
      <c r="B716" s="1"/>
      <c r="C716" s="257"/>
      <c r="D716" s="80"/>
      <c r="E716" s="256"/>
      <c r="F716" s="235"/>
      <c r="G716" s="256"/>
    </row>
    <row r="717" spans="1:7" ht="15" customHeight="1" x14ac:dyDescent="0.2">
      <c r="A717" s="1"/>
      <c r="B717" s="1"/>
      <c r="C717" s="257"/>
      <c r="D717" s="80"/>
      <c r="E717" s="256"/>
      <c r="F717" s="235"/>
      <c r="G717" s="256"/>
    </row>
    <row r="718" spans="1:7" ht="15" customHeight="1" x14ac:dyDescent="0.2">
      <c r="A718" s="1"/>
      <c r="B718" s="1"/>
      <c r="C718" s="257"/>
      <c r="D718" s="80"/>
      <c r="E718" s="256"/>
      <c r="F718" s="235"/>
      <c r="G718" s="256"/>
    </row>
    <row r="719" spans="1:7" ht="15" customHeight="1" x14ac:dyDescent="0.2">
      <c r="A719" s="1"/>
      <c r="B719" s="1"/>
      <c r="C719" s="257"/>
      <c r="D719" s="80"/>
      <c r="E719" s="256"/>
      <c r="F719" s="235"/>
      <c r="G719" s="256"/>
    </row>
    <row r="720" spans="1:7" ht="15" customHeight="1" x14ac:dyDescent="0.2">
      <c r="A720" s="1"/>
      <c r="B720" s="1"/>
      <c r="C720" s="257"/>
      <c r="D720" s="80"/>
      <c r="E720" s="256"/>
      <c r="F720" s="235"/>
      <c r="G720" s="256"/>
    </row>
    <row r="721" spans="1:7" ht="15" customHeight="1" x14ac:dyDescent="0.2">
      <c r="A721" s="1"/>
      <c r="B721" s="1"/>
      <c r="C721" s="257"/>
      <c r="D721" s="80"/>
      <c r="E721" s="256"/>
      <c r="F721" s="235"/>
      <c r="G721" s="256"/>
    </row>
    <row r="722" spans="1:7" ht="15" customHeight="1" x14ac:dyDescent="0.2">
      <c r="A722" s="1"/>
      <c r="B722" s="1"/>
      <c r="C722" s="257"/>
      <c r="D722" s="80"/>
      <c r="E722" s="256"/>
      <c r="F722" s="235"/>
      <c r="G722" s="256"/>
    </row>
    <row r="723" spans="1:7" ht="15" customHeight="1" x14ac:dyDescent="0.2">
      <c r="A723" s="1"/>
      <c r="B723" s="1"/>
      <c r="C723" s="257"/>
      <c r="D723" s="80"/>
      <c r="E723" s="256"/>
      <c r="F723" s="235"/>
      <c r="G723" s="256"/>
    </row>
    <row r="724" spans="1:7" ht="15" customHeight="1" x14ac:dyDescent="0.2">
      <c r="A724" s="1"/>
      <c r="B724" s="1"/>
      <c r="C724" s="257"/>
      <c r="D724" s="80"/>
      <c r="E724" s="256"/>
      <c r="F724" s="235"/>
      <c r="G724" s="256"/>
    </row>
    <row r="725" spans="1:7" ht="15" customHeight="1" x14ac:dyDescent="0.2">
      <c r="A725" s="1"/>
      <c r="B725" s="1"/>
      <c r="C725" s="257"/>
      <c r="D725" s="80"/>
      <c r="E725" s="256"/>
      <c r="F725" s="235"/>
      <c r="G725" s="256"/>
    </row>
    <row r="726" spans="1:7" ht="15" customHeight="1" x14ac:dyDescent="0.2">
      <c r="A726" s="1"/>
      <c r="B726" s="1"/>
      <c r="C726" s="257"/>
      <c r="D726" s="80"/>
      <c r="E726" s="256"/>
      <c r="F726" s="235"/>
      <c r="G726" s="256"/>
    </row>
    <row r="727" spans="1:7" ht="15" customHeight="1" x14ac:dyDescent="0.2">
      <c r="A727" s="1"/>
      <c r="B727" s="1"/>
      <c r="C727" s="257"/>
      <c r="D727" s="80"/>
      <c r="E727" s="256"/>
      <c r="F727" s="235"/>
      <c r="G727" s="256"/>
    </row>
    <row r="728" spans="1:7" ht="15" customHeight="1" x14ac:dyDescent="0.2">
      <c r="A728" s="1"/>
      <c r="B728" s="1"/>
      <c r="C728" s="257"/>
      <c r="D728" s="80"/>
      <c r="E728" s="256"/>
      <c r="F728" s="235"/>
      <c r="G728" s="256"/>
    </row>
    <row r="729" spans="1:7" ht="15" customHeight="1" x14ac:dyDescent="0.2">
      <c r="A729" s="1"/>
      <c r="B729" s="1"/>
      <c r="C729" s="257"/>
      <c r="D729" s="80"/>
      <c r="E729" s="256"/>
      <c r="F729" s="235"/>
      <c r="G729" s="256"/>
    </row>
    <row r="730" spans="1:7" ht="15" customHeight="1" x14ac:dyDescent="0.2">
      <c r="A730" s="1"/>
      <c r="B730" s="1"/>
      <c r="C730" s="257"/>
      <c r="D730" s="80"/>
      <c r="E730" s="256"/>
      <c r="F730" s="235"/>
      <c r="G730" s="256"/>
    </row>
    <row r="731" spans="1:7" ht="15" customHeight="1" x14ac:dyDescent="0.2">
      <c r="A731" s="1"/>
      <c r="B731" s="1"/>
      <c r="C731" s="257"/>
      <c r="D731" s="80"/>
      <c r="E731" s="256"/>
      <c r="F731" s="235"/>
      <c r="G731" s="256"/>
    </row>
    <row r="732" spans="1:7" ht="15" customHeight="1" x14ac:dyDescent="0.2">
      <c r="A732" s="1"/>
      <c r="B732" s="1"/>
      <c r="C732" s="257"/>
      <c r="D732" s="80"/>
      <c r="E732" s="256"/>
      <c r="F732" s="235"/>
      <c r="G732" s="256"/>
    </row>
    <row r="733" spans="1:7" ht="15" customHeight="1" x14ac:dyDescent="0.2">
      <c r="A733" s="1"/>
      <c r="B733" s="1"/>
      <c r="C733" s="257"/>
      <c r="D733" s="80"/>
      <c r="E733" s="256"/>
      <c r="F733" s="235"/>
      <c r="G733" s="256"/>
    </row>
    <row r="734" spans="1:7" ht="15" customHeight="1" x14ac:dyDescent="0.2">
      <c r="A734" s="1"/>
      <c r="B734" s="1"/>
      <c r="C734" s="257"/>
      <c r="D734" s="80"/>
      <c r="E734" s="256"/>
      <c r="F734" s="235"/>
      <c r="G734" s="256"/>
    </row>
    <row r="735" spans="1:7" ht="15" customHeight="1" x14ac:dyDescent="0.2">
      <c r="A735" s="1"/>
      <c r="B735" s="1"/>
      <c r="C735" s="257"/>
      <c r="D735" s="80"/>
      <c r="E735" s="256"/>
      <c r="F735" s="235"/>
      <c r="G735" s="256"/>
    </row>
    <row r="736" spans="1:7" ht="15" customHeight="1" x14ac:dyDescent="0.2">
      <c r="A736" s="1"/>
      <c r="B736" s="1"/>
      <c r="C736" s="257"/>
      <c r="D736" s="80"/>
      <c r="E736" s="256"/>
      <c r="F736" s="235"/>
      <c r="G736" s="256"/>
    </row>
    <row r="737" spans="1:7" ht="15" customHeight="1" x14ac:dyDescent="0.2">
      <c r="A737" s="1"/>
      <c r="B737" s="1"/>
      <c r="C737" s="257"/>
      <c r="D737" s="80"/>
      <c r="E737" s="256"/>
      <c r="F737" s="235"/>
      <c r="G737" s="256"/>
    </row>
    <row r="738" spans="1:7" ht="15" customHeight="1" x14ac:dyDescent="0.2">
      <c r="A738" s="1"/>
      <c r="B738" s="1"/>
      <c r="C738" s="257"/>
      <c r="D738" s="80"/>
      <c r="E738" s="256"/>
      <c r="F738" s="235"/>
      <c r="G738" s="256"/>
    </row>
    <row r="739" spans="1:7" ht="15" customHeight="1" x14ac:dyDescent="0.2">
      <c r="A739" s="1"/>
      <c r="B739" s="1"/>
      <c r="C739" s="257"/>
      <c r="D739" s="80"/>
      <c r="E739" s="256"/>
      <c r="F739" s="235"/>
      <c r="G739" s="256"/>
    </row>
    <row r="740" spans="1:7" ht="15" customHeight="1" x14ac:dyDescent="0.2">
      <c r="A740" s="1"/>
      <c r="B740" s="1"/>
      <c r="C740" s="257"/>
      <c r="D740" s="80"/>
      <c r="E740" s="256"/>
      <c r="F740" s="235"/>
      <c r="G740" s="256"/>
    </row>
    <row r="741" spans="1:7" ht="15" customHeight="1" x14ac:dyDescent="0.2">
      <c r="A741" s="1"/>
      <c r="B741" s="1"/>
      <c r="C741" s="257"/>
      <c r="D741" s="80"/>
      <c r="E741" s="256"/>
      <c r="F741" s="235"/>
      <c r="G741" s="256"/>
    </row>
    <row r="742" spans="1:7" ht="15" customHeight="1" x14ac:dyDescent="0.2">
      <c r="A742" s="1"/>
      <c r="B742" s="1"/>
      <c r="C742" s="257"/>
      <c r="D742" s="80"/>
      <c r="E742" s="256"/>
      <c r="F742" s="235"/>
      <c r="G742" s="256"/>
    </row>
    <row r="743" spans="1:7" ht="15" customHeight="1" x14ac:dyDescent="0.2">
      <c r="A743" s="1"/>
      <c r="B743" s="1"/>
      <c r="C743" s="257"/>
      <c r="D743" s="80"/>
      <c r="E743" s="256"/>
      <c r="F743" s="235"/>
      <c r="G743" s="256"/>
    </row>
    <row r="744" spans="1:7" ht="15" customHeight="1" x14ac:dyDescent="0.2">
      <c r="A744" s="1"/>
      <c r="B744" s="1"/>
      <c r="C744" s="257"/>
      <c r="D744" s="80"/>
      <c r="E744" s="256"/>
      <c r="F744" s="235"/>
      <c r="G744" s="256"/>
    </row>
    <row r="745" spans="1:7" ht="15" customHeight="1" x14ac:dyDescent="0.2">
      <c r="A745" s="1"/>
      <c r="B745" s="1"/>
      <c r="C745" s="257"/>
      <c r="D745" s="80"/>
      <c r="E745" s="256"/>
      <c r="F745" s="235"/>
      <c r="G745" s="256"/>
    </row>
    <row r="746" spans="1:7" ht="15" customHeight="1" x14ac:dyDescent="0.2">
      <c r="A746" s="1"/>
      <c r="B746" s="1"/>
      <c r="C746" s="257"/>
      <c r="D746" s="80"/>
      <c r="E746" s="256"/>
      <c r="F746" s="235"/>
      <c r="G746" s="256"/>
    </row>
    <row r="747" spans="1:7" ht="15" customHeight="1" x14ac:dyDescent="0.2">
      <c r="A747" s="1"/>
      <c r="B747" s="1"/>
      <c r="C747" s="257"/>
      <c r="D747" s="80"/>
      <c r="E747" s="256"/>
      <c r="F747" s="235"/>
      <c r="G747" s="256"/>
    </row>
    <row r="748" spans="1:7" ht="15" customHeight="1" x14ac:dyDescent="0.2">
      <c r="A748" s="1"/>
      <c r="B748" s="1"/>
      <c r="C748" s="257"/>
      <c r="D748" s="80"/>
      <c r="E748" s="256"/>
      <c r="F748" s="235"/>
      <c r="G748" s="256"/>
    </row>
    <row r="749" spans="1:7" ht="15" customHeight="1" x14ac:dyDescent="0.2">
      <c r="A749" s="1"/>
      <c r="B749" s="1"/>
      <c r="C749" s="257"/>
      <c r="D749" s="80"/>
      <c r="E749" s="256"/>
      <c r="F749" s="235"/>
      <c r="G749" s="256"/>
    </row>
    <row r="750" spans="1:7" ht="15" customHeight="1" x14ac:dyDescent="0.2">
      <c r="A750" s="1"/>
      <c r="B750" s="1"/>
      <c r="C750" s="257"/>
      <c r="D750" s="80"/>
      <c r="E750" s="256"/>
      <c r="F750" s="235"/>
      <c r="G750" s="256"/>
    </row>
    <row r="751" spans="1:7" ht="15" customHeight="1" x14ac:dyDescent="0.2">
      <c r="A751" s="1"/>
      <c r="B751" s="1"/>
      <c r="C751" s="257"/>
      <c r="D751" s="80"/>
      <c r="E751" s="256"/>
      <c r="F751" s="235"/>
      <c r="G751" s="256"/>
    </row>
    <row r="752" spans="1:7" ht="15" customHeight="1" x14ac:dyDescent="0.2">
      <c r="A752" s="1"/>
      <c r="B752" s="1"/>
      <c r="C752" s="257"/>
      <c r="D752" s="80"/>
      <c r="E752" s="256"/>
      <c r="F752" s="235"/>
      <c r="G752" s="256"/>
    </row>
    <row r="753" spans="1:7" ht="15" customHeight="1" x14ac:dyDescent="0.2">
      <c r="A753" s="1"/>
      <c r="B753" s="1"/>
      <c r="C753" s="257"/>
      <c r="D753" s="80"/>
      <c r="E753" s="256"/>
      <c r="F753" s="235"/>
      <c r="G753" s="256"/>
    </row>
    <row r="754" spans="1:7" ht="15" customHeight="1" x14ac:dyDescent="0.2">
      <c r="A754" s="1"/>
      <c r="B754" s="1"/>
      <c r="C754" s="257"/>
      <c r="D754" s="80"/>
      <c r="E754" s="256"/>
      <c r="F754" s="235"/>
      <c r="G754" s="256"/>
    </row>
    <row r="755" spans="1:7" ht="15" customHeight="1" x14ac:dyDescent="0.2">
      <c r="A755" s="1"/>
      <c r="B755" s="1"/>
      <c r="C755" s="257"/>
      <c r="D755" s="80"/>
      <c r="E755" s="256"/>
      <c r="F755" s="235"/>
      <c r="G755" s="256"/>
    </row>
    <row r="756" spans="1:7" ht="15" customHeight="1" x14ac:dyDescent="0.2">
      <c r="A756" s="1"/>
      <c r="B756" s="1"/>
      <c r="C756" s="257"/>
      <c r="D756" s="80"/>
      <c r="E756" s="256"/>
      <c r="F756" s="235"/>
      <c r="G756" s="256"/>
    </row>
    <row r="757" spans="1:7" ht="15" customHeight="1" x14ac:dyDescent="0.2">
      <c r="A757" s="1"/>
      <c r="B757" s="1"/>
      <c r="C757" s="257"/>
      <c r="D757" s="80"/>
      <c r="E757" s="256"/>
      <c r="F757" s="235"/>
      <c r="G757" s="256"/>
    </row>
    <row r="758" spans="1:7" ht="15" customHeight="1" x14ac:dyDescent="0.2">
      <c r="A758" s="1"/>
      <c r="B758" s="1"/>
      <c r="C758" s="257"/>
      <c r="D758" s="80"/>
      <c r="E758" s="256"/>
      <c r="F758" s="235"/>
      <c r="G758" s="256"/>
    </row>
    <row r="759" spans="1:7" ht="15" customHeight="1" x14ac:dyDescent="0.2">
      <c r="A759" s="1"/>
      <c r="B759" s="1"/>
      <c r="C759" s="257"/>
      <c r="D759" s="80"/>
      <c r="E759" s="256"/>
      <c r="F759" s="235"/>
      <c r="G759" s="256"/>
    </row>
    <row r="760" spans="1:7" ht="15" customHeight="1" x14ac:dyDescent="0.2">
      <c r="A760" s="1"/>
      <c r="B760" s="1"/>
      <c r="C760" s="257"/>
      <c r="D760" s="80"/>
      <c r="E760" s="256"/>
      <c r="F760" s="235"/>
      <c r="G760" s="256"/>
    </row>
    <row r="761" spans="1:7" ht="15" customHeight="1" x14ac:dyDescent="0.2">
      <c r="A761" s="1"/>
      <c r="B761" s="1"/>
      <c r="C761" s="257"/>
      <c r="D761" s="80"/>
      <c r="E761" s="256"/>
      <c r="F761" s="235"/>
      <c r="G761" s="256"/>
    </row>
    <row r="762" spans="1:7" ht="15" customHeight="1" x14ac:dyDescent="0.2">
      <c r="A762" s="1"/>
      <c r="B762" s="1"/>
      <c r="C762" s="257"/>
      <c r="D762" s="80"/>
      <c r="E762" s="256"/>
      <c r="F762" s="235"/>
      <c r="G762" s="256"/>
    </row>
    <row r="763" spans="1:7" ht="15" customHeight="1" x14ac:dyDescent="0.2">
      <c r="A763" s="1"/>
      <c r="B763" s="1"/>
      <c r="C763" s="257"/>
      <c r="D763" s="80"/>
      <c r="E763" s="256"/>
      <c r="F763" s="235"/>
      <c r="G763" s="256"/>
    </row>
    <row r="764" spans="1:7" ht="15" customHeight="1" x14ac:dyDescent="0.2">
      <c r="A764" s="1"/>
      <c r="B764" s="1"/>
      <c r="C764" s="257"/>
      <c r="D764" s="80"/>
      <c r="E764" s="256"/>
      <c r="F764" s="235"/>
      <c r="G764" s="256"/>
    </row>
    <row r="765" spans="1:7" ht="15" customHeight="1" x14ac:dyDescent="0.2">
      <c r="A765" s="1"/>
      <c r="B765" s="1"/>
      <c r="C765" s="257"/>
      <c r="D765" s="80"/>
      <c r="E765" s="256"/>
      <c r="F765" s="235"/>
      <c r="G765" s="256"/>
    </row>
    <row r="766" spans="1:7" ht="15" customHeight="1" x14ac:dyDescent="0.2">
      <c r="A766" s="1"/>
      <c r="B766" s="1"/>
      <c r="C766" s="257"/>
      <c r="D766" s="80"/>
      <c r="E766" s="256"/>
      <c r="F766" s="235"/>
      <c r="G766" s="256"/>
    </row>
    <row r="767" spans="1:7" ht="15" customHeight="1" x14ac:dyDescent="0.2">
      <c r="A767" s="1"/>
      <c r="B767" s="1"/>
      <c r="C767" s="257"/>
      <c r="D767" s="80"/>
      <c r="E767" s="256"/>
      <c r="F767" s="235"/>
      <c r="G767" s="256"/>
    </row>
    <row r="768" spans="1:7" ht="15" customHeight="1" x14ac:dyDescent="0.2">
      <c r="A768" s="1"/>
      <c r="B768" s="1"/>
      <c r="C768" s="257"/>
      <c r="D768" s="80"/>
      <c r="E768" s="256"/>
      <c r="F768" s="235"/>
      <c r="G768" s="256"/>
    </row>
    <row r="769" spans="1:7" ht="15" customHeight="1" x14ac:dyDescent="0.2">
      <c r="A769" s="1"/>
      <c r="B769" s="1"/>
      <c r="C769" s="257"/>
      <c r="D769" s="80"/>
      <c r="E769" s="256"/>
      <c r="F769" s="235"/>
      <c r="G769" s="256"/>
    </row>
    <row r="770" spans="1:7" ht="15" customHeight="1" x14ac:dyDescent="0.2">
      <c r="A770" s="1"/>
      <c r="B770" s="1"/>
      <c r="C770" s="257"/>
      <c r="D770" s="80"/>
      <c r="E770" s="256"/>
      <c r="F770" s="235"/>
      <c r="G770" s="256"/>
    </row>
    <row r="771" spans="1:7" ht="15" customHeight="1" x14ac:dyDescent="0.2">
      <c r="A771" s="1"/>
      <c r="B771" s="1"/>
      <c r="C771" s="257"/>
      <c r="D771" s="80"/>
      <c r="E771" s="256"/>
      <c r="F771" s="235"/>
      <c r="G771" s="256"/>
    </row>
    <row r="772" spans="1:7" ht="15" customHeight="1" x14ac:dyDescent="0.2">
      <c r="A772" s="1"/>
      <c r="B772" s="1"/>
      <c r="C772" s="257"/>
      <c r="D772" s="80"/>
      <c r="E772" s="256"/>
      <c r="F772" s="235"/>
      <c r="G772" s="256"/>
    </row>
    <row r="773" spans="1:7" ht="15" customHeight="1" x14ac:dyDescent="0.2">
      <c r="A773" s="1"/>
      <c r="B773" s="1"/>
      <c r="C773" s="257"/>
      <c r="D773" s="80"/>
      <c r="E773" s="256"/>
      <c r="F773" s="235"/>
      <c r="G773" s="256"/>
    </row>
    <row r="774" spans="1:7" ht="15" customHeight="1" x14ac:dyDescent="0.2">
      <c r="A774" s="1"/>
      <c r="B774" s="1"/>
      <c r="C774" s="257"/>
      <c r="D774" s="80"/>
      <c r="E774" s="256"/>
      <c r="F774" s="235"/>
      <c r="G774" s="256"/>
    </row>
    <row r="775" spans="1:7" ht="15" customHeight="1" x14ac:dyDescent="0.2">
      <c r="A775" s="1"/>
      <c r="B775" s="1"/>
      <c r="C775" s="257"/>
      <c r="D775" s="80"/>
      <c r="E775" s="256"/>
      <c r="F775" s="235"/>
      <c r="G775" s="256"/>
    </row>
    <row r="776" spans="1:7" ht="15" customHeight="1" x14ac:dyDescent="0.2">
      <c r="A776" s="1"/>
      <c r="B776" s="1"/>
      <c r="C776" s="257"/>
      <c r="D776" s="80"/>
      <c r="E776" s="256"/>
      <c r="F776" s="235"/>
      <c r="G776" s="256"/>
    </row>
    <row r="777" spans="1:7" ht="15" customHeight="1" x14ac:dyDescent="0.2">
      <c r="A777" s="1"/>
      <c r="B777" s="1"/>
      <c r="C777" s="257"/>
      <c r="D777" s="80"/>
      <c r="E777" s="256"/>
      <c r="F777" s="235"/>
      <c r="G777" s="256"/>
    </row>
    <row r="778" spans="1:7" ht="15" customHeight="1" x14ac:dyDescent="0.2">
      <c r="A778" s="1"/>
      <c r="B778" s="1"/>
      <c r="C778" s="257"/>
      <c r="D778" s="80"/>
      <c r="E778" s="256"/>
      <c r="F778" s="235"/>
      <c r="G778" s="256"/>
    </row>
    <row r="779" spans="1:7" ht="15" customHeight="1" x14ac:dyDescent="0.2">
      <c r="A779" s="1"/>
      <c r="B779" s="1"/>
      <c r="C779" s="257"/>
      <c r="D779" s="80"/>
      <c r="E779" s="256"/>
      <c r="F779" s="235"/>
      <c r="G779" s="256"/>
    </row>
    <row r="780" spans="1:7" ht="15" customHeight="1" x14ac:dyDescent="0.2">
      <c r="A780" s="1"/>
      <c r="B780" s="1"/>
      <c r="C780" s="257"/>
      <c r="D780" s="80"/>
      <c r="E780" s="256"/>
      <c r="F780" s="235"/>
      <c r="G780" s="256"/>
    </row>
    <row r="781" spans="1:7" ht="15" customHeight="1" x14ac:dyDescent="0.2">
      <c r="A781" s="1"/>
      <c r="B781" s="1"/>
      <c r="C781" s="257"/>
      <c r="D781" s="80"/>
      <c r="E781" s="256"/>
      <c r="F781" s="235"/>
      <c r="G781" s="256"/>
    </row>
    <row r="782" spans="1:7" ht="15" customHeight="1" x14ac:dyDescent="0.2">
      <c r="A782" s="1"/>
      <c r="B782" s="1"/>
      <c r="C782" s="257"/>
      <c r="D782" s="80"/>
      <c r="E782" s="256"/>
      <c r="F782" s="235"/>
      <c r="G782" s="256"/>
    </row>
    <row r="783" spans="1:7" ht="15" customHeight="1" x14ac:dyDescent="0.2">
      <c r="A783" s="1"/>
      <c r="B783" s="1"/>
      <c r="C783" s="257"/>
      <c r="D783" s="80"/>
      <c r="E783" s="256"/>
      <c r="F783" s="235"/>
      <c r="G783" s="256"/>
    </row>
    <row r="784" spans="1:7" ht="15" customHeight="1" x14ac:dyDescent="0.2">
      <c r="A784" s="1"/>
      <c r="B784" s="1"/>
      <c r="C784" s="257"/>
      <c r="D784" s="80"/>
      <c r="E784" s="256"/>
      <c r="F784" s="235"/>
      <c r="G784" s="256"/>
    </row>
    <row r="785" spans="1:7" ht="15" customHeight="1" x14ac:dyDescent="0.2">
      <c r="A785" s="1"/>
      <c r="B785" s="1"/>
      <c r="C785" s="257"/>
      <c r="D785" s="80"/>
      <c r="E785" s="256"/>
      <c r="F785" s="235"/>
      <c r="G785" s="256"/>
    </row>
    <row r="786" spans="1:7" ht="15" customHeight="1" x14ac:dyDescent="0.2">
      <c r="A786" s="1"/>
      <c r="B786" s="1"/>
      <c r="C786" s="257"/>
      <c r="D786" s="80"/>
      <c r="E786" s="256"/>
      <c r="F786" s="235"/>
      <c r="G786" s="256"/>
    </row>
    <row r="787" spans="1:7" ht="15" customHeight="1" x14ac:dyDescent="0.2">
      <c r="A787" s="1"/>
      <c r="B787" s="1"/>
      <c r="C787" s="257"/>
      <c r="D787" s="80"/>
      <c r="E787" s="256"/>
      <c r="F787" s="235"/>
      <c r="G787" s="256"/>
    </row>
    <row r="788" spans="1:7" ht="15" customHeight="1" x14ac:dyDescent="0.2">
      <c r="A788" s="1"/>
      <c r="B788" s="1"/>
      <c r="C788" s="257"/>
      <c r="D788" s="80"/>
      <c r="E788" s="256"/>
      <c r="F788" s="235"/>
      <c r="G788" s="256"/>
    </row>
    <row r="789" spans="1:7" ht="15" customHeight="1" x14ac:dyDescent="0.2">
      <c r="A789" s="1"/>
      <c r="B789" s="1"/>
      <c r="C789" s="257"/>
      <c r="D789" s="80"/>
      <c r="E789" s="256"/>
      <c r="F789" s="235"/>
      <c r="G789" s="256"/>
    </row>
    <row r="790" spans="1:7" ht="15" customHeight="1" x14ac:dyDescent="0.2">
      <c r="A790" s="1"/>
      <c r="B790" s="1"/>
      <c r="C790" s="257"/>
      <c r="D790" s="80"/>
      <c r="E790" s="256"/>
      <c r="F790" s="235"/>
      <c r="G790" s="256"/>
    </row>
    <row r="791" spans="1:7" ht="15" customHeight="1" x14ac:dyDescent="0.2">
      <c r="A791" s="1"/>
      <c r="B791" s="1"/>
      <c r="C791" s="257"/>
      <c r="D791" s="80"/>
      <c r="E791" s="256"/>
      <c r="F791" s="235"/>
      <c r="G791" s="256"/>
    </row>
    <row r="792" spans="1:7" ht="15" customHeight="1" x14ac:dyDescent="0.2">
      <c r="A792" s="1"/>
      <c r="B792" s="1"/>
      <c r="C792" s="257"/>
      <c r="D792" s="80"/>
      <c r="E792" s="256"/>
      <c r="F792" s="235"/>
      <c r="G792" s="256"/>
    </row>
  </sheetData>
  <phoneticPr fontId="21" type="noConversion"/>
  <pageMargins left="0.7" right="0.7" top="0.75" bottom="0.75" header="0.3" footer="0.3"/>
  <pictur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20"/>
  <sheetViews>
    <sheetView workbookViewId="0"/>
  </sheetViews>
  <sheetFormatPr defaultColWidth="14" defaultRowHeight="12.75" x14ac:dyDescent="0.2"/>
  <cols>
    <col min="1" max="1" width="20" customWidth="1"/>
    <col min="2" max="20" width="9" customWidth="1"/>
  </cols>
  <sheetData>
    <row r="1" spans="1:1" ht="14.1" customHeight="1" x14ac:dyDescent="0.2">
      <c r="A1" s="288" t="s">
        <v>472</v>
      </c>
    </row>
    <row r="2" spans="1:1" ht="14.1" customHeight="1" x14ac:dyDescent="0.2">
      <c r="A2" s="287" t="s">
        <v>193</v>
      </c>
    </row>
    <row r="3" spans="1:1" ht="14.1" customHeight="1" x14ac:dyDescent="0.2">
      <c r="A3" s="287" t="s">
        <v>764</v>
      </c>
    </row>
    <row r="4" spans="1:1" ht="14.1" customHeight="1" x14ac:dyDescent="0.2">
      <c r="A4" s="287" t="s">
        <v>298</v>
      </c>
    </row>
    <row r="5" spans="1:1" ht="14.1" customHeight="1" x14ac:dyDescent="0.2">
      <c r="A5" s="287" t="s">
        <v>631</v>
      </c>
    </row>
    <row r="6" spans="1:1" ht="14.1" customHeight="1" x14ac:dyDescent="0.2">
      <c r="A6" s="287" t="s">
        <v>918</v>
      </c>
    </row>
    <row r="7" spans="1:1" ht="14.1" customHeight="1" x14ac:dyDescent="0.2">
      <c r="A7" s="287" t="s">
        <v>1216</v>
      </c>
    </row>
    <row r="8" spans="1:1" ht="14.1" customHeight="1" x14ac:dyDescent="0.2">
      <c r="A8" s="287" t="s">
        <v>1249</v>
      </c>
    </row>
    <row r="9" spans="1:1" ht="14.1" customHeight="1" x14ac:dyDescent="0.2">
      <c r="A9" s="287" t="s">
        <v>4260</v>
      </c>
    </row>
    <row r="10" spans="1:1" ht="14.1" customHeight="1" x14ac:dyDescent="0.2">
      <c r="A10" s="287" t="s">
        <v>225</v>
      </c>
    </row>
    <row r="11" spans="1:1" ht="14.1" customHeight="1" x14ac:dyDescent="0.2">
      <c r="A11" s="287" t="s">
        <v>1314</v>
      </c>
    </row>
    <row r="12" spans="1:1" ht="14.1" customHeight="1" x14ac:dyDescent="0.2">
      <c r="A12" s="287" t="s">
        <v>293</v>
      </c>
    </row>
    <row r="13" spans="1:1" ht="14.1" customHeight="1" x14ac:dyDescent="0.2"/>
    <row r="14" spans="1:1" ht="14.1" customHeight="1" x14ac:dyDescent="0.2"/>
    <row r="15" spans="1:1" ht="14.1" customHeight="1" x14ac:dyDescent="0.2"/>
    <row r="16" spans="1:1" ht="14.1" customHeight="1" x14ac:dyDescent="0.2"/>
    <row r="17" ht="14.1" customHeight="1" x14ac:dyDescent="0.2"/>
    <row r="18" ht="14.1" customHeight="1" x14ac:dyDescent="0.2"/>
    <row r="19" ht="14.1" customHeight="1" x14ac:dyDescent="0.2"/>
    <row r="20" ht="14.1" customHeight="1" x14ac:dyDescent="0.2"/>
  </sheetData>
  <phoneticPr fontId="21" type="noConversion"/>
  <pageMargins left="0.7" right="0.7" top="0.75" bottom="0.75" header="0.3" footer="0.3"/>
  <pictur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34"/>
  <sheetViews>
    <sheetView workbookViewId="0"/>
  </sheetViews>
  <sheetFormatPr defaultColWidth="14" defaultRowHeight="12.75" x14ac:dyDescent="0.2"/>
  <cols>
    <col min="1" max="1" width="33" customWidth="1"/>
    <col min="2" max="2" width="43" customWidth="1"/>
    <col min="3" max="3" width="20" customWidth="1"/>
    <col min="4" max="4" width="18" customWidth="1"/>
    <col min="5" max="20" width="9" customWidth="1"/>
  </cols>
  <sheetData>
    <row r="1" spans="1:6" ht="14.1" customHeight="1" x14ac:dyDescent="0.2">
      <c r="A1" s="299" t="s">
        <v>146</v>
      </c>
      <c r="B1" s="299" t="s">
        <v>4261</v>
      </c>
      <c r="C1" s="299" t="s">
        <v>4262</v>
      </c>
      <c r="D1" s="299" t="s">
        <v>4263</v>
      </c>
      <c r="E1" s="299" t="s">
        <v>4264</v>
      </c>
      <c r="F1" s="299" t="s">
        <v>4265</v>
      </c>
    </row>
    <row r="2" spans="1:6" ht="14.1" customHeight="1" x14ac:dyDescent="0.2">
      <c r="A2" s="291" t="s">
        <v>279</v>
      </c>
      <c r="B2" s="59" t="s">
        <v>4266</v>
      </c>
      <c r="C2" s="59" t="s">
        <v>4267</v>
      </c>
      <c r="D2" s="289">
        <v>0.02</v>
      </c>
      <c r="E2" s="59"/>
      <c r="F2" s="59"/>
    </row>
    <row r="3" spans="1:6" ht="14.1" customHeight="1" x14ac:dyDescent="0.2">
      <c r="A3" s="291" t="s">
        <v>279</v>
      </c>
      <c r="B3" s="59" t="s">
        <v>4268</v>
      </c>
      <c r="C3" s="59" t="s">
        <v>4269</v>
      </c>
      <c r="D3" s="289"/>
      <c r="E3" s="59"/>
      <c r="F3" s="59"/>
    </row>
    <row r="4" spans="1:6" ht="14.1" customHeight="1" x14ac:dyDescent="0.2">
      <c r="A4" s="302" t="s">
        <v>296</v>
      </c>
      <c r="B4" s="59" t="s">
        <v>4270</v>
      </c>
      <c r="C4" s="59" t="s">
        <v>4267</v>
      </c>
      <c r="D4" s="289">
        <v>0.04</v>
      </c>
      <c r="E4" s="59"/>
      <c r="F4" s="59"/>
    </row>
    <row r="5" spans="1:6" ht="14.1" customHeight="1" x14ac:dyDescent="0.2">
      <c r="A5" s="302" t="s">
        <v>296</v>
      </c>
      <c r="B5" s="59" t="s">
        <v>4271</v>
      </c>
      <c r="C5" s="59" t="s">
        <v>4269</v>
      </c>
      <c r="D5" s="289"/>
      <c r="E5" s="59"/>
      <c r="F5" s="59"/>
    </row>
    <row r="6" spans="1:6" ht="14.1" customHeight="1" x14ac:dyDescent="0.2">
      <c r="A6" s="295" t="s">
        <v>395</v>
      </c>
      <c r="B6" s="59" t="s">
        <v>4272</v>
      </c>
      <c r="C6" s="59" t="s">
        <v>4267</v>
      </c>
      <c r="D6" s="289">
        <v>0.04</v>
      </c>
      <c r="E6" s="59"/>
      <c r="F6" s="59"/>
    </row>
    <row r="7" spans="1:6" ht="14.1" customHeight="1" x14ac:dyDescent="0.2">
      <c r="A7" s="295" t="s">
        <v>395</v>
      </c>
      <c r="B7" s="59" t="s">
        <v>4273</v>
      </c>
      <c r="C7" s="59" t="s">
        <v>4269</v>
      </c>
      <c r="D7" s="289"/>
      <c r="E7" s="59"/>
      <c r="F7" s="59"/>
    </row>
    <row r="8" spans="1:6" ht="14.1" customHeight="1" x14ac:dyDescent="0.2">
      <c r="A8" s="292" t="s">
        <v>354</v>
      </c>
      <c r="B8" s="59" t="s">
        <v>4274</v>
      </c>
      <c r="C8" s="59" t="s">
        <v>4267</v>
      </c>
      <c r="D8" s="289">
        <v>0.04</v>
      </c>
      <c r="E8" s="59"/>
      <c r="F8" s="59"/>
    </row>
    <row r="9" spans="1:6" ht="14.1" customHeight="1" x14ac:dyDescent="0.2">
      <c r="A9" s="292" t="s">
        <v>354</v>
      </c>
      <c r="B9" s="59" t="s">
        <v>4275</v>
      </c>
      <c r="C9" s="59" t="s">
        <v>4269</v>
      </c>
      <c r="D9" s="289"/>
      <c r="E9" s="59"/>
      <c r="F9" s="59"/>
    </row>
    <row r="10" spans="1:6" ht="14.1" customHeight="1" x14ac:dyDescent="0.2">
      <c r="A10" s="109" t="s">
        <v>335</v>
      </c>
      <c r="B10" s="59" t="s">
        <v>4276</v>
      </c>
      <c r="C10" s="59" t="s">
        <v>4267</v>
      </c>
      <c r="D10" s="289">
        <v>0.02</v>
      </c>
      <c r="E10" s="59"/>
      <c r="F10" s="59"/>
    </row>
    <row r="11" spans="1:6" ht="14.1" customHeight="1" x14ac:dyDescent="0.2">
      <c r="A11" s="109" t="s">
        <v>335</v>
      </c>
      <c r="B11" s="59" t="s">
        <v>4277</v>
      </c>
      <c r="C11" s="59" t="s">
        <v>4269</v>
      </c>
      <c r="D11" s="289"/>
      <c r="E11" s="59"/>
      <c r="F11" s="59"/>
    </row>
    <row r="12" spans="1:6" ht="14.1" customHeight="1" x14ac:dyDescent="0.2">
      <c r="A12" s="69" t="s">
        <v>341</v>
      </c>
      <c r="B12" s="59" t="s">
        <v>4278</v>
      </c>
      <c r="C12" s="59" t="s">
        <v>4267</v>
      </c>
      <c r="D12" s="289">
        <v>0.02</v>
      </c>
      <c r="E12" s="59"/>
      <c r="F12" s="59"/>
    </row>
    <row r="13" spans="1:6" ht="14.1" customHeight="1" x14ac:dyDescent="0.2">
      <c r="A13" s="69" t="s">
        <v>341</v>
      </c>
      <c r="B13" s="59" t="s">
        <v>4279</v>
      </c>
      <c r="C13" s="59" t="s">
        <v>4269</v>
      </c>
      <c r="D13" s="289"/>
      <c r="E13" s="59"/>
      <c r="F13" s="59"/>
    </row>
    <row r="14" spans="1:6" ht="14.1" customHeight="1" x14ac:dyDescent="0.2">
      <c r="A14" s="300" t="s">
        <v>366</v>
      </c>
      <c r="B14" s="59" t="s">
        <v>4280</v>
      </c>
      <c r="C14" s="59" t="s">
        <v>4267</v>
      </c>
      <c r="D14" s="289">
        <v>0.02</v>
      </c>
      <c r="E14" s="59"/>
      <c r="F14" s="59"/>
    </row>
    <row r="15" spans="1:6" ht="14.1" customHeight="1" x14ac:dyDescent="0.2">
      <c r="A15" s="300" t="s">
        <v>366</v>
      </c>
      <c r="B15" s="59" t="s">
        <v>4281</v>
      </c>
      <c r="C15" s="59" t="s">
        <v>4269</v>
      </c>
      <c r="D15" s="289"/>
      <c r="E15" s="59"/>
      <c r="F15" s="59"/>
    </row>
    <row r="16" spans="1:6" ht="14.1" customHeight="1" x14ac:dyDescent="0.2">
      <c r="A16" s="296" t="s">
        <v>368</v>
      </c>
      <c r="B16" s="59" t="s">
        <v>4282</v>
      </c>
      <c r="C16" s="59" t="s">
        <v>4267</v>
      </c>
      <c r="D16" s="289">
        <v>0.02</v>
      </c>
      <c r="E16" s="59"/>
      <c r="F16" s="59"/>
    </row>
    <row r="17" spans="1:20" ht="14.1" customHeight="1" x14ac:dyDescent="0.2">
      <c r="A17" s="296" t="s">
        <v>368</v>
      </c>
      <c r="B17" s="59" t="s">
        <v>4283</v>
      </c>
      <c r="C17" s="59" t="s">
        <v>4269</v>
      </c>
      <c r="D17" s="289"/>
      <c r="E17" s="59"/>
      <c r="F17" s="59"/>
    </row>
    <row r="18" spans="1:20" ht="14.1" customHeight="1" x14ac:dyDescent="0.2">
      <c r="A18" s="301" t="s">
        <v>188</v>
      </c>
      <c r="B18" s="59" t="s">
        <v>4284</v>
      </c>
      <c r="C18" s="59" t="s">
        <v>4267</v>
      </c>
      <c r="D18" s="289">
        <v>0.01</v>
      </c>
      <c r="E18" s="59"/>
      <c r="F18" s="59"/>
    </row>
    <row r="19" spans="1:20" ht="14.1" customHeight="1" x14ac:dyDescent="0.2">
      <c r="A19" s="301" t="s">
        <v>188</v>
      </c>
      <c r="B19" s="59" t="s">
        <v>4285</v>
      </c>
      <c r="C19" s="59" t="s">
        <v>4269</v>
      </c>
      <c r="D19" s="289"/>
      <c r="E19" s="59"/>
      <c r="F19" s="59"/>
    </row>
    <row r="20" spans="1:20" ht="14.1" customHeight="1" x14ac:dyDescent="0.2">
      <c r="A20" s="293" t="s">
        <v>401</v>
      </c>
      <c r="B20" s="59" t="s">
        <v>4286</v>
      </c>
      <c r="C20" s="59" t="s">
        <v>4267</v>
      </c>
      <c r="D20" s="289">
        <v>0.02</v>
      </c>
      <c r="E20" s="59"/>
      <c r="F20" s="59"/>
    </row>
    <row r="21" spans="1:20" ht="14.1" customHeight="1" x14ac:dyDescent="0.2">
      <c r="A21" s="293" t="s">
        <v>401</v>
      </c>
      <c r="B21" s="59" t="s">
        <v>4287</v>
      </c>
      <c r="C21" s="59" t="s">
        <v>4269</v>
      </c>
      <c r="D21" s="289"/>
      <c r="E21" s="59"/>
      <c r="F21" s="59"/>
    </row>
    <row r="22" spans="1:20" ht="12.95" customHeight="1" x14ac:dyDescent="0.2">
      <c r="A22" s="294" t="s">
        <v>408</v>
      </c>
      <c r="B22" s="59" t="s">
        <v>4288</v>
      </c>
      <c r="C22" s="59" t="s">
        <v>4269</v>
      </c>
      <c r="D22" s="289"/>
      <c r="E22" s="59"/>
      <c r="F22" s="59"/>
    </row>
    <row r="23" spans="1:20" ht="12.95" customHeight="1" x14ac:dyDescent="0.2">
      <c r="A23" s="294" t="s">
        <v>408</v>
      </c>
      <c r="B23" s="59" t="s">
        <v>4289</v>
      </c>
      <c r="C23" s="59" t="s">
        <v>4267</v>
      </c>
      <c r="D23" s="289">
        <v>0.01</v>
      </c>
      <c r="E23" s="59"/>
      <c r="F23" s="59"/>
    </row>
    <row r="24" spans="1:20" ht="12.95" customHeight="1" x14ac:dyDescent="0.2">
      <c r="A24" s="303" t="s">
        <v>412</v>
      </c>
      <c r="B24" s="59" t="s">
        <v>4290</v>
      </c>
      <c r="C24" s="59" t="s">
        <v>4267</v>
      </c>
      <c r="D24" s="289">
        <v>0.1</v>
      </c>
      <c r="E24" s="59"/>
      <c r="F24" s="59"/>
    </row>
    <row r="25" spans="1:20" ht="12.95" customHeight="1" x14ac:dyDescent="0.2">
      <c r="A25" s="69" t="s">
        <v>376</v>
      </c>
      <c r="B25" s="59" t="s">
        <v>4291</v>
      </c>
      <c r="C25" s="59" t="s">
        <v>4267</v>
      </c>
      <c r="D25" s="289">
        <v>0.1</v>
      </c>
      <c r="E25" s="59"/>
      <c r="F25" s="59"/>
    </row>
    <row r="26" spans="1:20" ht="12.95" customHeight="1" x14ac:dyDescent="0.2">
      <c r="A26" s="304" t="s">
        <v>385</v>
      </c>
      <c r="B26" s="59" t="s">
        <v>4292</v>
      </c>
      <c r="C26" s="59" t="s">
        <v>4267</v>
      </c>
      <c r="D26" s="289">
        <v>0.01</v>
      </c>
      <c r="E26" s="59"/>
      <c r="F26" s="59"/>
    </row>
    <row r="27" spans="1:20" ht="12.95" customHeight="1" x14ac:dyDescent="0.2">
      <c r="A27" s="290" t="s">
        <v>387</v>
      </c>
      <c r="B27" s="89" t="s">
        <v>4293</v>
      </c>
      <c r="C27" s="59" t="s">
        <v>4267</v>
      </c>
      <c r="D27" s="289">
        <v>0.05</v>
      </c>
      <c r="E27" s="59" t="s">
        <v>4294</v>
      </c>
      <c r="F27" s="59"/>
    </row>
    <row r="28" spans="1:20" ht="12.95" customHeight="1" x14ac:dyDescent="0.2">
      <c r="A28" s="290" t="s">
        <v>387</v>
      </c>
      <c r="B28" s="89" t="s">
        <v>4295</v>
      </c>
      <c r="C28" s="59" t="s">
        <v>4267</v>
      </c>
      <c r="D28" s="289">
        <v>0.01</v>
      </c>
      <c r="E28" s="59" t="s">
        <v>4294</v>
      </c>
      <c r="F28" s="59"/>
    </row>
    <row r="29" spans="1:20" ht="12.95" customHeight="1" x14ac:dyDescent="0.2">
      <c r="A29" s="290" t="s">
        <v>387</v>
      </c>
      <c r="B29" s="89" t="s">
        <v>4296</v>
      </c>
      <c r="C29" s="59" t="s">
        <v>4269</v>
      </c>
      <c r="D29" s="289"/>
      <c r="E29" s="59"/>
      <c r="F29" s="59"/>
    </row>
    <row r="30" spans="1:20" ht="15" customHeight="1" x14ac:dyDescent="0.2">
      <c r="A30" s="297" t="s">
        <v>185</v>
      </c>
      <c r="B30" s="89" t="s">
        <v>4297</v>
      </c>
      <c r="C30" s="89" t="s">
        <v>4269</v>
      </c>
      <c r="D30" s="298"/>
      <c r="E30" s="89"/>
      <c r="F30" s="89"/>
      <c r="G30" s="98"/>
      <c r="H30" s="98"/>
      <c r="I30" s="98"/>
      <c r="J30" s="98"/>
      <c r="K30" s="98"/>
      <c r="L30" s="98"/>
      <c r="M30" s="98"/>
      <c r="N30" s="98"/>
      <c r="O30" s="98"/>
      <c r="P30" s="98"/>
      <c r="Q30" s="98"/>
      <c r="R30" s="98"/>
      <c r="S30" s="98"/>
      <c r="T30" s="98"/>
    </row>
    <row r="31" spans="1:20" ht="15" customHeight="1" x14ac:dyDescent="0.2">
      <c r="A31" s="297" t="s">
        <v>185</v>
      </c>
      <c r="B31" s="89" t="s">
        <v>4298</v>
      </c>
      <c r="C31" s="89" t="s">
        <v>4267</v>
      </c>
      <c r="D31" s="298">
        <v>0.1</v>
      </c>
      <c r="E31" s="89"/>
      <c r="F31" s="89"/>
      <c r="G31" s="98"/>
      <c r="H31" s="98"/>
      <c r="I31" s="98"/>
      <c r="J31" s="98"/>
      <c r="K31" s="98"/>
      <c r="L31" s="98"/>
      <c r="M31" s="98"/>
      <c r="N31" s="98"/>
      <c r="O31" s="98"/>
      <c r="P31" s="98"/>
      <c r="Q31" s="98"/>
      <c r="R31" s="98"/>
      <c r="S31" s="98"/>
      <c r="T31" s="98"/>
    </row>
    <row r="32" spans="1:20" ht="15" customHeight="1" x14ac:dyDescent="0.2">
      <c r="A32" s="306" t="s">
        <v>429</v>
      </c>
      <c r="B32" s="89" t="s">
        <v>4299</v>
      </c>
      <c r="C32" s="89" t="s">
        <v>4267</v>
      </c>
      <c r="D32" s="298">
        <v>0.01</v>
      </c>
      <c r="E32" s="89"/>
      <c r="F32" s="89"/>
      <c r="G32" s="98"/>
      <c r="H32" s="98"/>
      <c r="I32" s="98"/>
      <c r="J32" s="98"/>
      <c r="K32" s="98"/>
      <c r="L32" s="98"/>
      <c r="M32" s="98"/>
      <c r="N32" s="98"/>
      <c r="O32" s="98"/>
      <c r="P32" s="98"/>
      <c r="Q32" s="98"/>
      <c r="R32" s="98"/>
      <c r="S32" s="98"/>
      <c r="T32" s="98"/>
    </row>
    <row r="33" spans="1:20" ht="15" customHeight="1" x14ac:dyDescent="0.2">
      <c r="A33" s="305" t="s">
        <v>456</v>
      </c>
      <c r="B33" s="89" t="s">
        <v>4300</v>
      </c>
      <c r="C33" s="89" t="s">
        <v>4269</v>
      </c>
      <c r="D33" s="298"/>
      <c r="E33" s="89"/>
      <c r="F33" s="89"/>
      <c r="G33" s="98"/>
      <c r="H33" s="98"/>
      <c r="I33" s="98"/>
      <c r="J33" s="98"/>
      <c r="K33" s="98"/>
      <c r="L33" s="98"/>
      <c r="M33" s="98"/>
      <c r="N33" s="98"/>
      <c r="O33" s="98"/>
      <c r="P33" s="98"/>
      <c r="Q33" s="98"/>
      <c r="R33" s="98"/>
      <c r="S33" s="98"/>
      <c r="T33" s="98"/>
    </row>
    <row r="34" spans="1:20" ht="15" customHeight="1" x14ac:dyDescent="0.2">
      <c r="A34" s="305" t="s">
        <v>456</v>
      </c>
      <c r="B34" s="89" t="s">
        <v>4301</v>
      </c>
      <c r="C34" s="89" t="s">
        <v>4267</v>
      </c>
      <c r="D34" s="298">
        <v>0.01</v>
      </c>
      <c r="E34" s="89"/>
      <c r="F34" s="89"/>
      <c r="G34" s="98"/>
      <c r="H34" s="98"/>
      <c r="I34" s="98"/>
      <c r="J34" s="98"/>
      <c r="K34" s="98"/>
      <c r="L34" s="98"/>
      <c r="M34" s="98"/>
      <c r="N34" s="98"/>
      <c r="O34" s="98"/>
      <c r="P34" s="98"/>
      <c r="Q34" s="98"/>
      <c r="R34" s="98"/>
      <c r="S34" s="98"/>
      <c r="T34" s="98"/>
    </row>
  </sheetData>
  <phoneticPr fontId="21" type="noConversion"/>
  <conditionalFormatting sqref="A1:F1">
    <cfRule type="cellIs" dxfId="2" priority="2" stopIfTrue="1" operator="equal">
      <formula>"None"</formula>
    </cfRule>
  </conditionalFormatting>
  <conditionalFormatting sqref="B1">
    <cfRule type="cellIs" dxfId="1" priority="3" stopIfTrue="1" operator="equal">
      <formula>"Outport"</formula>
    </cfRule>
  </conditionalFormatting>
  <conditionalFormatting sqref="B1">
    <cfRule type="cellIs" dxfId="0" priority="4" stopIfTrue="1" operator="equal">
      <formula>"Inport"</formula>
    </cfRule>
  </conditionalFormatting>
  <dataValidations count="1">
    <dataValidation type="list" allowBlank="1" showErrorMessage="1" sqref="C2:C34">
      <formula1>"TimingEvent,InitEvent,OperationInvokedEvent,BackgroundEvent"</formula1>
    </dataValidation>
  </dataValidations>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10</vt:i4>
      </vt:variant>
    </vt:vector>
  </HeadingPairs>
  <TitlesOfParts>
    <vt:vector size="10" baseType="lpstr">
      <vt:lpstr>README</vt:lpstr>
      <vt:lpstr>ChangeHistory</vt:lpstr>
      <vt:lpstr>Interface_Platform</vt:lpstr>
      <vt:lpstr>DataType_Platform</vt:lpstr>
      <vt:lpstr>Interface_T1GC</vt:lpstr>
      <vt:lpstr>DataType_T1GC</vt:lpstr>
      <vt:lpstr>Interface_E01</vt:lpstr>
      <vt:lpstr>DataType_E01</vt:lpstr>
      <vt:lpstr>BaseType</vt:lpstr>
      <vt:lpstr>InternalBehavior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Chloe Zhu （大卓智能）</cp:lastModifiedBy>
  <dcterms:modified xsi:type="dcterms:W3CDTF">2025-02-08T07:52:18Z</dcterms:modified>
</cp:coreProperties>
</file>